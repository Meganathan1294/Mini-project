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800161b77681d/Documents/"/>
    </mc:Choice>
  </mc:AlternateContent>
  <xr:revisionPtr revIDLastSave="254" documentId="8_{6BD4C608-3885-46D8-917E-F464CC59AE26}" xr6:coauthVersionLast="47" xr6:coauthVersionMax="47" xr10:uidLastSave="{51E67D0E-9DBC-4448-A21B-B48CE8980D28}"/>
  <bookViews>
    <workbookView xWindow="-108" yWindow="-108" windowWidth="23256" windowHeight="12456" activeTab="1" xr2:uid="{88C57B34-0442-420E-A619-7EBF0D0D252E}"/>
  </bookViews>
  <sheets>
    <sheet name="Snitch_Fashion_Sales_Uncleaned" sheetId="1" r:id="rId1"/>
    <sheet name="Cleaned dataset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 a="1"/>
  <c r="Q2" i="2"/>
  <c r="Q3" i="2" a="1"/>
  <c r="Q3" i="2"/>
  <c r="Q4" i="2" a="1"/>
  <c r="Q4" i="2"/>
  <c r="Q5" i="2" a="1"/>
  <c r="Q5" i="2"/>
  <c r="Q6" i="2" a="1"/>
  <c r="Q6" i="2"/>
  <c r="Q7" i="2" a="1"/>
  <c r="Q7" i="2"/>
  <c r="Q8" i="2" a="1"/>
  <c r="Q8" i="2"/>
  <c r="Q9" i="2" a="1"/>
  <c r="Q9" i="2"/>
  <c r="Q10" i="2" a="1"/>
  <c r="Q10" i="2"/>
  <c r="Q11" i="2" a="1"/>
  <c r="Q11" i="2"/>
  <c r="Q12" i="2" a="1"/>
  <c r="Q12" i="2"/>
  <c r="Q13" i="2" a="1"/>
  <c r="Q13" i="2"/>
  <c r="Q14" i="2" a="1"/>
  <c r="Q14" i="2" s="1"/>
  <c r="Q15" i="2" a="1"/>
  <c r="Q15" i="2"/>
  <c r="Q16" i="2" a="1"/>
  <c r="Q16" i="2"/>
  <c r="Q17" i="2" a="1"/>
  <c r="Q17" i="2"/>
  <c r="Q18" i="2" a="1"/>
  <c r="Q18" i="2"/>
  <c r="Q19" i="2" a="1"/>
  <c r="Q19" i="2"/>
  <c r="Q20" i="2" a="1"/>
  <c r="Q20" i="2" s="1"/>
  <c r="Q21" i="2" a="1"/>
  <c r="Q21" i="2"/>
  <c r="Q22" i="2" a="1"/>
  <c r="Q22" i="2"/>
  <c r="Q23" i="2" a="1"/>
  <c r="Q23" i="2"/>
  <c r="Q24" i="2" a="1"/>
  <c r="Q24" i="2"/>
  <c r="Q25" i="2" a="1"/>
  <c r="Q25" i="2"/>
  <c r="Q26" i="2" a="1"/>
  <c r="Q26" i="2" s="1"/>
  <c r="Q27" i="2" a="1"/>
  <c r="Q27" i="2"/>
  <c r="Q28" i="2" a="1"/>
  <c r="Q28" i="2"/>
  <c r="Q29" i="2" a="1"/>
  <c r="Q29" i="2"/>
  <c r="Q30" i="2" a="1"/>
  <c r="Q30" i="2"/>
  <c r="Q31" i="2" a="1"/>
  <c r="Q31" i="2"/>
  <c r="Q32" i="2" a="1"/>
  <c r="Q32" i="2" s="1"/>
  <c r="Q33" i="2" a="1"/>
  <c r="Q33" i="2"/>
  <c r="Q34" i="2" a="1"/>
  <c r="Q34" i="2"/>
  <c r="Q35" i="2" a="1"/>
  <c r="Q35" i="2"/>
  <c r="Q36" i="2" a="1"/>
  <c r="Q36" i="2"/>
  <c r="Q37" i="2" a="1"/>
  <c r="Q37" i="2"/>
  <c r="Q38" i="2" a="1"/>
  <c r="Q38" i="2" s="1"/>
  <c r="Q39" i="2" a="1"/>
  <c r="Q39" i="2"/>
  <c r="Q40" i="2" a="1"/>
  <c r="Q40" i="2"/>
  <c r="Q41" i="2" a="1"/>
  <c r="Q41" i="2"/>
  <c r="Q42" i="2" a="1"/>
  <c r="Q42" i="2"/>
  <c r="Q43" i="2" a="1"/>
  <c r="Q43" i="2"/>
  <c r="Q44" i="2" a="1"/>
  <c r="Q44" i="2" s="1"/>
  <c r="Q45" i="2" a="1"/>
  <c r="Q45" i="2"/>
  <c r="Q46" i="2" a="1"/>
  <c r="Q46" i="2"/>
  <c r="Q47" i="2" a="1"/>
  <c r="Q47" i="2"/>
  <c r="Q48" i="2" a="1"/>
  <c r="Q48" i="2"/>
  <c r="Q49" i="2" a="1"/>
  <c r="Q49" i="2"/>
  <c r="Q50" i="2" a="1"/>
  <c r="Q50" i="2" s="1"/>
  <c r="Q51" i="2" a="1"/>
  <c r="Q51" i="2"/>
  <c r="Q52" i="2" a="1"/>
  <c r="Q52" i="2"/>
  <c r="Q53" i="2" a="1"/>
  <c r="Q53" i="2"/>
  <c r="Q54" i="2" a="1"/>
  <c r="Q54" i="2"/>
  <c r="Q55" i="2" a="1"/>
  <c r="Q55" i="2"/>
  <c r="Q56" i="2" a="1"/>
  <c r="Q56" i="2" s="1"/>
  <c r="Q57" i="2" a="1"/>
  <c r="Q57" i="2"/>
  <c r="Q58" i="2" a="1"/>
  <c r="Q58" i="2"/>
  <c r="Q59" i="2" a="1"/>
  <c r="Q59" i="2"/>
  <c r="Q60" i="2" a="1"/>
  <c r="Q60" i="2"/>
  <c r="Q61" i="2" a="1"/>
  <c r="Q61" i="2"/>
  <c r="Q62" i="2" a="1"/>
  <c r="Q62" i="2" s="1"/>
  <c r="Q63" i="2" a="1"/>
  <c r="Q63" i="2"/>
  <c r="Q64" i="2" a="1"/>
  <c r="Q64" i="2"/>
  <c r="Q65" i="2" a="1"/>
  <c r="Q65" i="2"/>
  <c r="Q66" i="2" a="1"/>
  <c r="Q66" i="2"/>
  <c r="Q67" i="2" a="1"/>
  <c r="Q67" i="2"/>
  <c r="Q68" i="2" a="1"/>
  <c r="Q68" i="2" s="1"/>
  <c r="Q69" i="2" a="1"/>
  <c r="Q69" i="2"/>
  <c r="Q70" i="2" a="1"/>
  <c r="Q70" i="2"/>
  <c r="Q71" i="2" a="1"/>
  <c r="Q71" i="2"/>
  <c r="Q72" i="2" a="1"/>
  <c r="Q72" i="2"/>
  <c r="Q73" i="2" a="1"/>
  <c r="Q73" i="2"/>
  <c r="Q74" i="2" a="1"/>
  <c r="Q74" i="2" s="1"/>
  <c r="Q75" i="2" a="1"/>
  <c r="Q75" i="2"/>
  <c r="Q76" i="2" a="1"/>
  <c r="Q76" i="2"/>
  <c r="Q77" i="2" a="1"/>
  <c r="Q77" i="2"/>
  <c r="Q78" i="2" a="1"/>
  <c r="Q78" i="2"/>
  <c r="Q79" i="2" a="1"/>
  <c r="Q79" i="2"/>
  <c r="Q80" i="2" a="1"/>
  <c r="Q80" i="2" s="1"/>
  <c r="Q81" i="2" a="1"/>
  <c r="Q81" i="2"/>
  <c r="Q82" i="2" a="1"/>
  <c r="Q82" i="2"/>
  <c r="Q83" i="2" a="1"/>
  <c r="Q83" i="2"/>
  <c r="Q84" i="2" a="1"/>
  <c r="Q84" i="2"/>
  <c r="Q85" i="2" a="1"/>
  <c r="Q85" i="2"/>
  <c r="Q86" i="2" a="1"/>
  <c r="Q86" i="2" s="1"/>
  <c r="Q87" i="2" a="1"/>
  <c r="Q87" i="2"/>
  <c r="Q88" i="2" a="1"/>
  <c r="Q88" i="2"/>
  <c r="Q89" i="2" a="1"/>
  <c r="Q89" i="2"/>
  <c r="Q90" i="2" a="1"/>
  <c r="Q90" i="2"/>
  <c r="Q91" i="2" a="1"/>
  <c r="Q91" i="2"/>
  <c r="Q92" i="2" a="1"/>
  <c r="Q92" i="2" s="1"/>
  <c r="Q93" i="2" a="1"/>
  <c r="Q93" i="2"/>
  <c r="Q94" i="2" a="1"/>
  <c r="Q94" i="2"/>
  <c r="Q95" i="2" a="1"/>
  <c r="Q95" i="2"/>
  <c r="Q96" i="2" a="1"/>
  <c r="Q96" i="2"/>
  <c r="Q97" i="2" a="1"/>
  <c r="Q97" i="2"/>
  <c r="Q98" i="2" a="1"/>
  <c r="Q98" i="2" s="1"/>
  <c r="Q99" i="2" a="1"/>
  <c r="Q99" i="2"/>
  <c r="Q100" i="2" a="1"/>
  <c r="Q100" i="2"/>
  <c r="Q101" i="2" a="1"/>
  <c r="Q101" i="2"/>
  <c r="Q102" i="2" a="1"/>
  <c r="Q102" i="2"/>
  <c r="Q103" i="2" a="1"/>
  <c r="Q103" i="2"/>
  <c r="Q104" i="2" a="1"/>
  <c r="Q104" i="2" s="1"/>
  <c r="Q105" i="2" a="1"/>
  <c r="Q105" i="2"/>
  <c r="Q106" i="2" a="1"/>
  <c r="Q106" i="2"/>
  <c r="Q107" i="2" a="1"/>
  <c r="Q107" i="2"/>
  <c r="Q108" i="2" a="1"/>
  <c r="Q108" i="2"/>
  <c r="Q109" i="2" a="1"/>
  <c r="Q109" i="2"/>
  <c r="Q110" i="2" a="1"/>
  <c r="Q110" i="2" s="1"/>
  <c r="Q111" i="2" a="1"/>
  <c r="Q111" i="2"/>
  <c r="Q112" i="2" a="1"/>
  <c r="Q112" i="2"/>
  <c r="Q113" i="2" a="1"/>
  <c r="Q113" i="2"/>
  <c r="Q114" i="2" a="1"/>
  <c r="Q114" i="2"/>
  <c r="Q115" i="2" a="1"/>
  <c r="Q115" i="2"/>
  <c r="Q116" i="2" a="1"/>
  <c r="Q116" i="2" s="1"/>
  <c r="Q117" i="2" a="1"/>
  <c r="Q117" i="2"/>
  <c r="Q118" i="2" a="1"/>
  <c r="Q118" i="2"/>
  <c r="Q119" i="2" a="1"/>
  <c r="Q119" i="2"/>
  <c r="Q120" i="2" a="1"/>
  <c r="Q120" i="2"/>
  <c r="Q121" i="2" a="1"/>
  <c r="Q121" i="2"/>
  <c r="Q122" i="2" a="1"/>
  <c r="Q122" i="2" s="1"/>
  <c r="Q123" i="2" a="1"/>
  <c r="Q123" i="2"/>
  <c r="Q124" i="2" a="1"/>
  <c r="Q124" i="2"/>
  <c r="Q125" i="2" a="1"/>
  <c r="Q125" i="2"/>
  <c r="Q126" i="2" a="1"/>
  <c r="Q126" i="2"/>
  <c r="Q127" i="2" a="1"/>
  <c r="Q127" i="2" s="1"/>
  <c r="Q128" i="2" a="1"/>
  <c r="Q128" i="2" s="1"/>
  <c r="Q129" i="2" a="1"/>
  <c r="Q129" i="2"/>
  <c r="Q130" i="2" a="1"/>
  <c r="Q130" i="2"/>
  <c r="Q131" i="2" a="1"/>
  <c r="Q131" i="2"/>
  <c r="Q132" i="2" a="1"/>
  <c r="Q132" i="2"/>
  <c r="Q133" i="2" a="1"/>
  <c r="Q133" i="2"/>
  <c r="Q134" i="2" a="1"/>
  <c r="Q134" i="2" s="1"/>
  <c r="Q135" i="2" a="1"/>
  <c r="Q135" i="2"/>
  <c r="Q136" i="2" a="1"/>
  <c r="Q136" i="2"/>
  <c r="Q137" i="2" a="1"/>
  <c r="Q137" i="2"/>
  <c r="Q138" i="2" a="1"/>
  <c r="Q138" i="2"/>
  <c r="Q139" i="2" a="1"/>
  <c r="Q139" i="2"/>
  <c r="Q140" i="2" a="1"/>
  <c r="Q140" i="2" s="1"/>
  <c r="Q141" i="2" a="1"/>
  <c r="Q141" i="2"/>
  <c r="Q142" i="2" a="1"/>
  <c r="Q142" i="2"/>
  <c r="Q143" i="2" a="1"/>
  <c r="Q143" i="2"/>
  <c r="Q144" i="2" a="1"/>
  <c r="Q144" i="2"/>
  <c r="Q145" i="2" a="1"/>
  <c r="Q145" i="2"/>
  <c r="Q146" i="2" a="1"/>
  <c r="Q146" i="2" s="1"/>
  <c r="Q147" i="2" a="1"/>
  <c r="Q147" i="2" s="1"/>
  <c r="Q148" i="2" a="1"/>
  <c r="Q148" i="2"/>
  <c r="Q149" i="2" a="1"/>
  <c r="Q149" i="2"/>
  <c r="Q150" i="2" a="1"/>
  <c r="Q150" i="2"/>
  <c r="Q151" i="2" a="1"/>
  <c r="Q151" i="2"/>
  <c r="Q152" i="2" a="1"/>
  <c r="Q152" i="2" s="1"/>
  <c r="Q153" i="2" a="1"/>
  <c r="Q153" i="2"/>
  <c r="Q154" i="2" a="1"/>
  <c r="Q154" i="2"/>
  <c r="Q155" i="2" a="1"/>
  <c r="Q155" i="2"/>
  <c r="Q156" i="2" a="1"/>
  <c r="Q156" i="2"/>
  <c r="Q157" i="2" a="1"/>
  <c r="Q157" i="2"/>
  <c r="Q158" i="2" a="1"/>
  <c r="Q158" i="2" s="1"/>
  <c r="Q159" i="2" a="1"/>
  <c r="Q159" i="2"/>
  <c r="Q160" i="2" a="1"/>
  <c r="Q160" i="2" s="1"/>
  <c r="Q161" i="2" a="1"/>
  <c r="Q161" i="2"/>
  <c r="Q162" i="2" a="1"/>
  <c r="Q162" i="2"/>
  <c r="Q163" i="2" a="1"/>
  <c r="Q163" i="2"/>
  <c r="Q164" i="2" a="1"/>
  <c r="Q164" i="2" s="1"/>
  <c r="Q165" i="2" a="1"/>
  <c r="Q165" i="2"/>
  <c r="Q166" i="2" a="1"/>
  <c r="Q166" i="2"/>
  <c r="Q167" i="2" a="1"/>
  <c r="Q167" i="2"/>
  <c r="Q168" i="2" a="1"/>
  <c r="Q168" i="2"/>
  <c r="Q169" i="2" a="1"/>
  <c r="Q169" i="2" s="1"/>
  <c r="Q170" i="2" a="1"/>
  <c r="Q170" i="2" s="1"/>
  <c r="Q171" i="2" a="1"/>
  <c r="Q171" i="2" s="1"/>
  <c r="Q172" i="2" a="1"/>
  <c r="Q172" i="2"/>
  <c r="Q173" i="2" a="1"/>
  <c r="Q173" i="2" s="1"/>
  <c r="Q174" i="2" a="1"/>
  <c r="Q174" i="2"/>
  <c r="Q175" i="2" a="1"/>
  <c r="Q175" i="2"/>
  <c r="Q176" i="2" a="1"/>
  <c r="Q176" i="2" s="1"/>
  <c r="Q177" i="2" a="1"/>
  <c r="Q177" i="2"/>
  <c r="Q178" i="2" a="1"/>
  <c r="Q178" i="2"/>
  <c r="Q179" i="2" a="1"/>
  <c r="Q179" i="2"/>
  <c r="Q180" i="2" a="1"/>
  <c r="Q180" i="2"/>
  <c r="Q181" i="2" a="1"/>
  <c r="Q181" i="2"/>
  <c r="Q182" i="2" a="1"/>
  <c r="Q182" i="2" s="1"/>
  <c r="Q183" i="2" a="1"/>
  <c r="Q183" i="2"/>
  <c r="Q184" i="2" a="1"/>
  <c r="Q184" i="2" s="1"/>
  <c r="Q185" i="2" a="1"/>
  <c r="Q185" i="2"/>
  <c r="Q186" i="2" a="1"/>
  <c r="Q186" i="2" s="1"/>
  <c r="Q187" i="2" a="1"/>
  <c r="Q187" i="2"/>
  <c r="Q188" i="2" a="1"/>
  <c r="Q188" i="2" s="1"/>
  <c r="Q189" i="2" a="1"/>
  <c r="Q189" i="2" s="1"/>
  <c r="Q190" i="2" a="1"/>
  <c r="Q190" i="2"/>
  <c r="Q191" i="2" a="1"/>
  <c r="Q191" i="2" s="1"/>
  <c r="Q192" i="2" a="1"/>
  <c r="Q192" i="2"/>
  <c r="Q193" i="2" a="1"/>
  <c r="Q193" i="2"/>
  <c r="Q194" i="2" a="1"/>
  <c r="Q194" i="2" s="1"/>
  <c r="Q195" i="2" a="1"/>
  <c r="Q195" i="2"/>
  <c r="Q196" i="2" a="1"/>
  <c r="Q196" i="2"/>
  <c r="Q197" i="2" a="1"/>
  <c r="Q197" i="2" s="1"/>
  <c r="Q198" i="2" a="1"/>
  <c r="Q198" i="2"/>
  <c r="Q199" i="2" a="1"/>
  <c r="Q199" i="2" s="1"/>
  <c r="Q200" i="2" a="1"/>
  <c r="Q200" i="2" s="1"/>
  <c r="Q201" i="2" a="1"/>
  <c r="Q201" i="2"/>
  <c r="Q202" i="2" a="1"/>
  <c r="Q202" i="2" s="1"/>
  <c r="Q203" i="2" a="1"/>
  <c r="Q203" i="2"/>
  <c r="Q204" i="2" a="1"/>
  <c r="Q204" i="2" s="1"/>
  <c r="Q205" i="2" a="1"/>
  <c r="Q205" i="2"/>
  <c r="Q206" i="2" a="1"/>
  <c r="Q206" i="2" s="1"/>
  <c r="Q207" i="2" a="1"/>
  <c r="Q207" i="2"/>
  <c r="Q208" i="2" a="1"/>
  <c r="Q208" i="2"/>
  <c r="Q209" i="2" a="1"/>
  <c r="Q209" i="2"/>
  <c r="Q210" i="2" a="1"/>
  <c r="Q210" i="2" s="1"/>
  <c r="Q211" i="2" a="1"/>
  <c r="Q211" i="2"/>
  <c r="Q212" i="2" a="1"/>
  <c r="Q212" i="2" s="1"/>
  <c r="Q213" i="2" a="1"/>
  <c r="Q213" i="2"/>
  <c r="Q214" i="2" a="1"/>
  <c r="Q214" i="2"/>
  <c r="Q215" i="2" a="1"/>
  <c r="Q215" i="2" s="1"/>
  <c r="Q216" i="2" a="1"/>
  <c r="Q216" i="2"/>
  <c r="Q217" i="2" a="1"/>
  <c r="Q217" i="2" s="1"/>
  <c r="Q218" i="2" a="1"/>
  <c r="Q218" i="2" s="1"/>
  <c r="Q219" i="2" a="1"/>
  <c r="Q219" i="2" s="1"/>
  <c r="Q220" i="2" a="1"/>
  <c r="Q220" i="2"/>
  <c r="Q221" i="2" a="1"/>
  <c r="Q221" i="2"/>
  <c r="Q222" i="2" a="1"/>
  <c r="Q222" i="2" s="1"/>
  <c r="Q223" i="2" a="1"/>
  <c r="Q223" i="2" s="1"/>
  <c r="Q224" i="2" a="1"/>
  <c r="Q224" i="2" s="1"/>
  <c r="Q225" i="2" a="1"/>
  <c r="Q225" i="2"/>
  <c r="Q226" i="2" a="1"/>
  <c r="Q226" i="2"/>
  <c r="Q227" i="2" a="1"/>
  <c r="Q227" i="2" s="1"/>
  <c r="Q228" i="2" a="1"/>
  <c r="Q228" i="2" s="1"/>
  <c r="Q229" i="2" a="1"/>
  <c r="Q229" i="2"/>
  <c r="Q230" i="2" a="1"/>
  <c r="Q230" i="2" s="1"/>
  <c r="Q231" i="2" a="1"/>
  <c r="Q231" i="2"/>
  <c r="Q232" i="2" a="1"/>
  <c r="Q232" i="2" s="1"/>
  <c r="Q233" i="2" a="1"/>
  <c r="Q233" i="2"/>
  <c r="Q234" i="2" a="1"/>
  <c r="Q234" i="2"/>
  <c r="Q235" i="2" a="1"/>
  <c r="Q235" i="2" s="1"/>
  <c r="Q236" i="2" a="1"/>
  <c r="Q236" i="2" s="1"/>
  <c r="Q237" i="2" a="1"/>
  <c r="Q237" i="2" s="1"/>
  <c r="Q238" i="2" a="1"/>
  <c r="Q238" i="2"/>
  <c r="Q239" i="2" a="1"/>
  <c r="Q239" i="2"/>
  <c r="Q240" i="2" a="1"/>
  <c r="Q240" i="2" s="1"/>
  <c r="Q241" i="2" a="1"/>
  <c r="Q241" i="2"/>
  <c r="Q242" i="2" a="1"/>
  <c r="Q242" i="2" s="1"/>
  <c r="Q243" i="2" a="1"/>
  <c r="Q243" i="2" s="1"/>
  <c r="Q244" i="2" a="1"/>
  <c r="Q244" i="2"/>
  <c r="Q245" i="2" a="1"/>
  <c r="Q245" i="2" s="1"/>
  <c r="Q246" i="2" a="1"/>
  <c r="Q246" i="2"/>
  <c r="Q247" i="2" a="1"/>
  <c r="Q247" i="2"/>
  <c r="Q248" i="2" a="1"/>
  <c r="Q248" i="2" s="1"/>
  <c r="Q249" i="2" a="1"/>
  <c r="Q249" i="2"/>
  <c r="Q250" i="2" a="1"/>
  <c r="Q250" i="2" s="1"/>
  <c r="Q251" i="2" a="1"/>
  <c r="Q251" i="2"/>
  <c r="Q252" i="2" a="1"/>
  <c r="Q252" i="2"/>
  <c r="Q253" i="2" a="1"/>
  <c r="Q253" i="2" s="1"/>
  <c r="Q254" i="2" a="1"/>
  <c r="Q254" i="2" s="1"/>
  <c r="Q255" i="2" a="1"/>
  <c r="Q255" i="2" s="1"/>
  <c r="Q256" i="2" a="1"/>
  <c r="Q256" i="2" s="1"/>
  <c r="Q257" i="2" a="1"/>
  <c r="Q257" i="2"/>
  <c r="Q258" i="2" a="1"/>
  <c r="Q258" i="2" s="1"/>
  <c r="Q259" i="2" a="1"/>
  <c r="Q259" i="2"/>
  <c r="Q260" i="2" a="1"/>
  <c r="Q260" i="2" s="1"/>
  <c r="Q261" i="2" a="1"/>
  <c r="Q261" i="2" s="1"/>
  <c r="Q262" i="2" a="1"/>
  <c r="Q262" i="2"/>
  <c r="Q263" i="2" a="1"/>
  <c r="Q263" i="2" s="1"/>
  <c r="Q264" i="2" a="1"/>
  <c r="Q264" i="2"/>
  <c r="Q265" i="2" a="1"/>
  <c r="Q265" i="2"/>
  <c r="Q266" i="2" a="1"/>
  <c r="Q266" i="2" s="1"/>
  <c r="Q267" i="2" a="1"/>
  <c r="Q267" i="2" s="1"/>
  <c r="Q268" i="2" a="1"/>
  <c r="Q268" i="2" s="1"/>
  <c r="Q269" i="2" a="1"/>
  <c r="Q269" i="2" s="1"/>
  <c r="Q270" i="2" a="1"/>
  <c r="Q270" i="2" s="1"/>
  <c r="Q271" i="2" a="1"/>
  <c r="Q271" i="2" s="1"/>
  <c r="Q272" i="2" a="1"/>
  <c r="Q272" i="2" s="1"/>
  <c r="Q273" i="2" a="1"/>
  <c r="Q273" i="2" s="1"/>
  <c r="Q274" i="2" a="1"/>
  <c r="Q274" i="2"/>
  <c r="Q275" i="2" a="1"/>
  <c r="Q275" i="2"/>
  <c r="Q276" i="2" a="1"/>
  <c r="Q276" i="2"/>
  <c r="Q277" i="2" a="1"/>
  <c r="Q277" i="2"/>
  <c r="Q278" i="2" a="1"/>
  <c r="Q278" i="2" s="1"/>
  <c r="Q279" i="2" a="1"/>
  <c r="Q279" i="2"/>
  <c r="Q280" i="2" a="1"/>
  <c r="Q280" i="2"/>
  <c r="Q281" i="2" a="1"/>
  <c r="Q281" i="2" s="1"/>
  <c r="Q282" i="2" a="1"/>
  <c r="Q282" i="2" s="1"/>
  <c r="Q283" i="2" a="1"/>
  <c r="Q283" i="2" s="1"/>
  <c r="Q284" i="2" a="1"/>
  <c r="Q284" i="2" s="1"/>
  <c r="Q285" i="2" a="1"/>
  <c r="Q285" i="2" s="1"/>
  <c r="Q286" i="2" a="1"/>
  <c r="Q286" i="2" s="1"/>
  <c r="Q287" i="2" a="1"/>
  <c r="Q287" i="2" s="1"/>
  <c r="Q288" i="2" a="1"/>
  <c r="Q288" i="2"/>
  <c r="Q289" i="2" a="1"/>
  <c r="Q289" i="2"/>
  <c r="Q290" i="2" a="1"/>
  <c r="Q290" i="2" s="1"/>
  <c r="Q291" i="2" a="1"/>
  <c r="Q291" i="2" s="1"/>
  <c r="Q292" i="2" a="1"/>
  <c r="Q292" i="2"/>
  <c r="Q293" i="2" a="1"/>
  <c r="Q293" i="2" s="1"/>
  <c r="Q294" i="2" a="1"/>
  <c r="Q294" i="2" s="1"/>
  <c r="Q295" i="2" a="1"/>
  <c r="Q295" i="2" s="1"/>
  <c r="Q296" i="2" a="1"/>
  <c r="Q296" i="2" s="1"/>
  <c r="Q297" i="2" a="1"/>
  <c r="Q297" i="2"/>
  <c r="Q298" i="2" a="1"/>
  <c r="Q298" i="2" s="1"/>
  <c r="Q299" i="2" a="1"/>
  <c r="Q299" i="2" s="1"/>
  <c r="Q300" i="2" a="1"/>
  <c r="Q300" i="2"/>
  <c r="Q301" i="2" a="1"/>
  <c r="Q301" i="2"/>
  <c r="Q302" i="2" a="1"/>
  <c r="Q302" i="2" s="1"/>
  <c r="Q303" i="2" a="1"/>
  <c r="Q303" i="2" s="1"/>
  <c r="Q304" i="2" a="1"/>
  <c r="Q304" i="2" s="1"/>
  <c r="Q305" i="2" a="1"/>
  <c r="Q305" i="2"/>
  <c r="Q306" i="2" a="1"/>
  <c r="Q306" i="2"/>
  <c r="Q307" i="2" a="1"/>
  <c r="Q307" i="2" s="1"/>
  <c r="Q308" i="2" a="1"/>
  <c r="Q308" i="2" s="1"/>
  <c r="Q309" i="2" a="1"/>
  <c r="Q309" i="2"/>
  <c r="Q310" i="2" a="1"/>
  <c r="Q310" i="2"/>
  <c r="Q311" i="2" a="1"/>
  <c r="Q311" i="2" s="1"/>
  <c r="Q312" i="2" a="1"/>
  <c r="Q312" i="2" s="1"/>
  <c r="Q313" i="2" a="1"/>
  <c r="Q313" i="2"/>
  <c r="Q314" i="2" a="1"/>
  <c r="Q314" i="2" s="1"/>
  <c r="Q315" i="2" a="1"/>
  <c r="Q315" i="2" s="1"/>
  <c r="Q316" i="2" a="1"/>
  <c r="Q316" i="2" s="1"/>
  <c r="Q317" i="2" a="1"/>
  <c r="Q317" i="2" s="1"/>
  <c r="Q318" i="2" a="1"/>
  <c r="Q318" i="2"/>
  <c r="Q319" i="2" a="1"/>
  <c r="Q319" i="2" s="1"/>
  <c r="Q320" i="2" a="1"/>
  <c r="Q320" i="2" s="1"/>
  <c r="Q321" i="2" a="1"/>
  <c r="Q321" i="2"/>
  <c r="Q322" i="2" a="1"/>
  <c r="Q322" i="2"/>
  <c r="Q323" i="2" a="1"/>
  <c r="Q323" i="2"/>
  <c r="Q324" i="2" a="1"/>
  <c r="Q324" i="2" s="1"/>
  <c r="Q325" i="2" a="1"/>
  <c r="Q325" i="2" s="1"/>
  <c r="Q326" i="2" a="1"/>
  <c r="Q326" i="2" s="1"/>
  <c r="Q327" i="2" a="1"/>
  <c r="Q327" i="2"/>
  <c r="Q328" i="2" a="1"/>
  <c r="Q328" i="2" s="1"/>
  <c r="Q329" i="2" a="1"/>
  <c r="Q329" i="2" s="1"/>
  <c r="Q330" i="2" a="1"/>
  <c r="Q330" i="2" s="1"/>
  <c r="Q331" i="2" a="1"/>
  <c r="Q331" i="2"/>
  <c r="Q332" i="2" a="1"/>
  <c r="Q332" i="2" s="1"/>
  <c r="Q333" i="2" a="1"/>
  <c r="Q333" i="2" s="1"/>
  <c r="Q334" i="2" a="1"/>
  <c r="Q334" i="2" s="1"/>
  <c r="Q335" i="2" a="1"/>
  <c r="Q335" i="2"/>
  <c r="Q336" i="2" a="1"/>
  <c r="Q336" i="2" s="1"/>
  <c r="Q337" i="2" a="1"/>
  <c r="Q337" i="2" s="1"/>
  <c r="Q338" i="2" a="1"/>
  <c r="Q338" i="2" s="1"/>
  <c r="Q339" i="2" a="1"/>
  <c r="Q339" i="2"/>
  <c r="Q340" i="2" a="1"/>
  <c r="Q340" i="2" s="1"/>
  <c r="Q341" i="2" a="1"/>
  <c r="Q341" i="2" s="1"/>
  <c r="Q342" i="2" a="1"/>
  <c r="Q342" i="2"/>
  <c r="Q343" i="2" a="1"/>
  <c r="Q343" i="2" s="1"/>
  <c r="Q344" i="2" a="1"/>
  <c r="Q344" i="2" s="1"/>
  <c r="Q345" i="2" a="1"/>
  <c r="Q345" i="2"/>
  <c r="Q346" i="2" a="1"/>
  <c r="Q346" i="2" s="1"/>
  <c r="Q347" i="2" a="1"/>
  <c r="Q347" i="2"/>
  <c r="Q348" i="2" a="1"/>
  <c r="Q348" i="2"/>
  <c r="Q349" i="2" a="1"/>
  <c r="Q349" i="2"/>
  <c r="Q350" i="2" a="1"/>
  <c r="Q350" i="2" s="1"/>
  <c r="Q351" i="2" a="1"/>
  <c r="Q351" i="2"/>
  <c r="Q352" i="2" a="1"/>
  <c r="Q352" i="2" s="1"/>
  <c r="Q353" i="2" a="1"/>
  <c r="Q353" i="2"/>
  <c r="Q354" i="2" a="1"/>
  <c r="Q354" i="2" s="1"/>
  <c r="Q355" i="2" a="1"/>
  <c r="Q355" i="2"/>
  <c r="Q356" i="2" a="1"/>
  <c r="Q356" i="2" s="1"/>
  <c r="Q357" i="2" a="1"/>
  <c r="Q357" i="2" s="1"/>
  <c r="Q358" i="2" a="1"/>
  <c r="Q358" i="2" s="1"/>
  <c r="Q359" i="2" a="1"/>
  <c r="Q359" i="2"/>
  <c r="Q360" i="2" a="1"/>
  <c r="Q360" i="2" s="1"/>
  <c r="Q361" i="2" a="1"/>
  <c r="Q361" i="2"/>
  <c r="Q362" i="2" a="1"/>
  <c r="Q362" i="2" s="1"/>
  <c r="Q363" i="2" a="1"/>
  <c r="Q363" i="2" s="1"/>
  <c r="Q364" i="2" a="1"/>
  <c r="Q364" i="2"/>
  <c r="Q365" i="2" a="1"/>
  <c r="Q365" i="2" s="1"/>
  <c r="Q366" i="2" a="1"/>
  <c r="Q366" i="2"/>
  <c r="Q367" i="2" a="1"/>
  <c r="Q367" i="2" s="1"/>
  <c r="Q368" i="2" a="1"/>
  <c r="Q368" i="2" s="1"/>
  <c r="Q369" i="2" a="1"/>
  <c r="Q369" i="2" s="1"/>
  <c r="Q370" i="2" a="1"/>
  <c r="Q370" i="2" s="1"/>
  <c r="Q371" i="2" a="1"/>
  <c r="Q371" i="2" s="1"/>
  <c r="Q372" i="2" a="1"/>
  <c r="Q372" i="2" s="1"/>
  <c r="Q373" i="2" a="1"/>
  <c r="Q373" i="2"/>
  <c r="Q374" i="2" a="1"/>
  <c r="Q374" i="2" s="1"/>
  <c r="Q375" i="2" a="1"/>
  <c r="Q375" i="2"/>
  <c r="Q376" i="2" a="1"/>
  <c r="Q376" i="2" s="1"/>
  <c r="Q377" i="2" a="1"/>
  <c r="Q377" i="2"/>
  <c r="Q378" i="2" a="1"/>
  <c r="Q378" i="2" s="1"/>
  <c r="Q379" i="2" a="1"/>
  <c r="Q379" i="2" s="1"/>
  <c r="Q380" i="2" a="1"/>
  <c r="Q380" i="2" s="1"/>
  <c r="Q381" i="2" a="1"/>
  <c r="Q381" i="2" s="1"/>
  <c r="Q382" i="2" a="1"/>
  <c r="Q382" i="2"/>
  <c r="Q383" i="2" a="1"/>
  <c r="Q383" i="2" s="1"/>
  <c r="Q384" i="2" a="1"/>
  <c r="Q384" i="2"/>
  <c r="Q385" i="2" a="1"/>
  <c r="Q385" i="2" s="1"/>
  <c r="Q386" i="2" a="1"/>
  <c r="Q386" i="2" s="1"/>
  <c r="Q387" i="2" a="1"/>
  <c r="Q387" i="2"/>
  <c r="Q388" i="2" a="1"/>
  <c r="Q388" i="2" s="1"/>
  <c r="Q389" i="2" a="1"/>
  <c r="Q389" i="2" s="1"/>
  <c r="Q390" i="2" a="1"/>
  <c r="Q390" i="2"/>
  <c r="Q391" i="2" a="1"/>
  <c r="Q391" i="2"/>
  <c r="Q392" i="2" a="1"/>
  <c r="Q392" i="2" s="1"/>
  <c r="Q393" i="2" a="1"/>
  <c r="Q393" i="2" s="1"/>
  <c r="Q394" i="2" a="1"/>
  <c r="Q394" i="2" s="1"/>
  <c r="Q395" i="2" a="1"/>
  <c r="Q395" i="2" s="1"/>
  <c r="Q396" i="2" a="1"/>
  <c r="Q396" i="2" s="1"/>
  <c r="Q397" i="2" a="1"/>
  <c r="Q397" i="2"/>
  <c r="Q398" i="2" a="1"/>
  <c r="Q398" i="2" s="1"/>
  <c r="Q399" i="2" a="1"/>
  <c r="Q399" i="2"/>
  <c r="Q400" i="2" a="1"/>
  <c r="Q400" i="2" s="1"/>
  <c r="Q401" i="2" a="1"/>
  <c r="Q401" i="2" s="1"/>
  <c r="Q402" i="2" a="1"/>
  <c r="Q402" i="2" s="1"/>
  <c r="Q403" i="2" a="1"/>
  <c r="Q403" i="2"/>
  <c r="Q404" i="2" a="1"/>
  <c r="Q404" i="2" s="1"/>
  <c r="Q405" i="2" a="1"/>
  <c r="Q405" i="2" s="1"/>
  <c r="Q406" i="2" a="1"/>
  <c r="Q406" i="2"/>
  <c r="Q407" i="2" a="1"/>
  <c r="Q407" i="2" s="1"/>
  <c r="Q408" i="2" a="1"/>
  <c r="Q408" i="2" s="1"/>
  <c r="Q409" i="2" a="1"/>
  <c r="Q409" i="2"/>
  <c r="Q410" i="2" a="1"/>
  <c r="Q410" i="2" s="1"/>
  <c r="Q411" i="2" a="1"/>
  <c r="Q411" i="2"/>
  <c r="Q412" i="2" a="1"/>
  <c r="Q412" i="2" s="1"/>
  <c r="Q413" i="2" a="1"/>
  <c r="Q413" i="2" s="1"/>
  <c r="Q414" i="2" a="1"/>
  <c r="Q414" i="2"/>
  <c r="Q415" i="2" a="1"/>
  <c r="Q415" i="2" s="1"/>
  <c r="Q416" i="2" a="1"/>
  <c r="Q416" i="2" s="1"/>
  <c r="Q417" i="2" a="1"/>
  <c r="Q417" i="2" s="1"/>
  <c r="Q418" i="2" a="1"/>
  <c r="Q418" i="2"/>
  <c r="Q419" i="2" a="1"/>
  <c r="Q419" i="2" s="1"/>
  <c r="Q420" i="2" a="1"/>
  <c r="Q420" i="2" s="1"/>
  <c r="Q421" i="2" a="1"/>
  <c r="Q421" i="2"/>
  <c r="Q422" i="2" a="1"/>
  <c r="Q422" i="2" s="1"/>
  <c r="Q423" i="2" a="1"/>
  <c r="Q423" i="2" s="1"/>
  <c r="Q424" i="2" a="1"/>
  <c r="Q424" i="2"/>
  <c r="Q425" i="2" a="1"/>
  <c r="Q425" i="2" s="1"/>
  <c r="Q426" i="2" a="1"/>
  <c r="Q426" i="2"/>
  <c r="Q427" i="2" a="1"/>
  <c r="Q427" i="2" s="1"/>
  <c r="Q428" i="2" a="1"/>
  <c r="Q428" i="2" s="1"/>
  <c r="Q429" i="2" a="1"/>
  <c r="Q429" i="2"/>
  <c r="Q430" i="2" a="1"/>
  <c r="Q430" i="2" s="1"/>
  <c r="Q431" i="2" a="1"/>
  <c r="Q431" i="2"/>
  <c r="Q432" i="2" a="1"/>
  <c r="Q432" i="2"/>
  <c r="Q433" i="2" a="1"/>
  <c r="Q433" i="2" s="1"/>
  <c r="Q434" i="2" a="1"/>
  <c r="Q434" i="2" s="1"/>
  <c r="Q435" i="2" a="1"/>
  <c r="Q435" i="2" s="1"/>
  <c r="Q436" i="2" a="1"/>
  <c r="Q436" i="2"/>
  <c r="Q437" i="2" a="1"/>
  <c r="Q437" i="2" s="1"/>
  <c r="Q438" i="2" a="1"/>
  <c r="Q438" i="2"/>
  <c r="Q439" i="2" a="1"/>
  <c r="Q439" i="2"/>
  <c r="Q440" i="2" a="1"/>
  <c r="Q440" i="2" s="1"/>
  <c r="Q441" i="2" a="1"/>
  <c r="Q441" i="2" s="1"/>
  <c r="Q442" i="2" a="1"/>
  <c r="Q442" i="2"/>
  <c r="Q443" i="2" a="1"/>
  <c r="Q443" i="2" s="1"/>
  <c r="Q444" i="2" a="1"/>
  <c r="Q444" i="2"/>
  <c r="Q445" i="2" a="1"/>
  <c r="Q445" i="2" s="1"/>
  <c r="Q446" i="2" a="1"/>
  <c r="Q446" i="2" s="1"/>
  <c r="Q447" i="2" a="1"/>
  <c r="Q447" i="2" s="1"/>
  <c r="Q448" i="2" a="1"/>
  <c r="Q448" i="2" s="1"/>
  <c r="Q449" i="2" a="1"/>
  <c r="Q449" i="2" s="1"/>
  <c r="Q450" i="2" a="1"/>
  <c r="Q450" i="2" s="1"/>
  <c r="Q451" i="2" a="1"/>
  <c r="Q451" i="2"/>
  <c r="Q452" i="2" a="1"/>
  <c r="Q452" i="2" s="1"/>
  <c r="Q453" i="2" a="1"/>
  <c r="Q453" i="2"/>
  <c r="Q454" i="2" a="1"/>
  <c r="Q454" i="2" s="1"/>
  <c r="Q455" i="2" a="1"/>
  <c r="Q455" i="2"/>
  <c r="Q456" i="2" a="1"/>
  <c r="Q456" i="2"/>
  <c r="Q457" i="2" a="1"/>
  <c r="Q457" i="2" s="1"/>
  <c r="Q458" i="2" a="1"/>
  <c r="Q458" i="2" s="1"/>
  <c r="Q459" i="2" a="1"/>
  <c r="Q459" i="2" s="1"/>
  <c r="Q460" i="2" a="1"/>
  <c r="Q460" i="2"/>
  <c r="Q461" i="2" a="1"/>
  <c r="Q461" i="2" s="1"/>
  <c r="Q462" i="2" a="1"/>
  <c r="Q462" i="2" s="1"/>
  <c r="Q463" i="2" a="1"/>
  <c r="Q463" i="2"/>
  <c r="Q464" i="2" a="1"/>
  <c r="Q464" i="2" s="1"/>
  <c r="Q465" i="2" a="1"/>
  <c r="Q465" i="2"/>
  <c r="Q466" i="2" a="1"/>
  <c r="Q466" i="2" s="1"/>
  <c r="Q467" i="2" a="1"/>
  <c r="Q467" i="2"/>
  <c r="Q468" i="2" a="1"/>
  <c r="Q468" i="2"/>
  <c r="Q469" i="2" a="1"/>
  <c r="Q469" i="2" s="1"/>
  <c r="Q470" i="2" a="1"/>
  <c r="Q470" i="2" s="1"/>
  <c r="Q471" i="2" a="1"/>
  <c r="Q471" i="2" s="1"/>
  <c r="Q472" i="2" a="1"/>
  <c r="Q472" i="2"/>
  <c r="Q473" i="2" a="1"/>
  <c r="Q473" i="2"/>
  <c r="Q474" i="2" a="1"/>
  <c r="Q474" i="2" s="1"/>
  <c r="Q475" i="2" a="1"/>
  <c r="Q475" i="2" s="1"/>
  <c r="Q476" i="2" a="1"/>
  <c r="Q476" i="2" s="1"/>
  <c r="Q477" i="2" a="1"/>
  <c r="Q477" i="2"/>
  <c r="Q478" i="2" a="1"/>
  <c r="Q478" i="2" s="1"/>
  <c r="Q479" i="2" a="1"/>
  <c r="Q479" i="2"/>
  <c r="Q480" i="2" a="1"/>
  <c r="Q480" i="2"/>
  <c r="Q481" i="2" a="1"/>
  <c r="Q481" i="2"/>
  <c r="Q482" i="2" a="1"/>
  <c r="Q482" i="2" s="1"/>
  <c r="Q483" i="2" a="1"/>
  <c r="Q483" i="2" s="1"/>
  <c r="Q484" i="2" a="1"/>
  <c r="Q484" i="2" s="1"/>
  <c r="Q485" i="2" a="1"/>
  <c r="Q485" i="2"/>
  <c r="Q486" i="2" a="1"/>
  <c r="Q486" i="2" s="1"/>
  <c r="Q487" i="2" a="1"/>
  <c r="Q487" i="2" s="1"/>
  <c r="Q488" i="2" a="1"/>
  <c r="Q488" i="2" s="1"/>
  <c r="Q489" i="2" a="1"/>
  <c r="Q489" i="2" s="1"/>
  <c r="Q490" i="2" a="1"/>
  <c r="Q490" i="2" s="1"/>
  <c r="Q491" i="2" a="1"/>
  <c r="Q491" i="2" s="1"/>
  <c r="Q492" i="2" a="1"/>
  <c r="Q492" i="2"/>
  <c r="Q493" i="2" a="1"/>
  <c r="Q493" i="2" s="1"/>
  <c r="Q494" i="2" a="1"/>
  <c r="Q494" i="2" s="1"/>
  <c r="Q495" i="2" a="1"/>
  <c r="Q495" i="2" s="1"/>
  <c r="Q496" i="2" a="1"/>
  <c r="Q496" i="2" s="1"/>
  <c r="Q497" i="2" a="1"/>
  <c r="Q497" i="2"/>
  <c r="Q498" i="2" a="1"/>
  <c r="Q498" i="2" s="1"/>
  <c r="Q499" i="2" a="1"/>
  <c r="Q499" i="2"/>
  <c r="Q500" i="2" a="1"/>
  <c r="Q500" i="2" s="1"/>
  <c r="Q501" i="2" a="1"/>
  <c r="Q501" i="2"/>
  <c r="Q502" i="2" a="1"/>
  <c r="Q502" i="2" s="1"/>
  <c r="Q503" i="2" a="1"/>
  <c r="Q503" i="2" s="1"/>
  <c r="Q504" i="2" a="1"/>
  <c r="Q504" i="2" s="1"/>
  <c r="Q505" i="2" a="1"/>
  <c r="Q505" i="2"/>
  <c r="Q506" i="2" a="1"/>
  <c r="Q506" i="2" s="1"/>
  <c r="Q507" i="2" a="1"/>
  <c r="Q507" i="2" s="1"/>
  <c r="Q508" i="2" a="1"/>
  <c r="Q508" i="2"/>
  <c r="Q509" i="2" a="1"/>
  <c r="Q509" i="2" s="1"/>
  <c r="Q510" i="2" a="1"/>
  <c r="Q510" i="2" s="1"/>
  <c r="Q511" i="2" a="1"/>
  <c r="Q511" i="2" s="1"/>
  <c r="Q512" i="2" a="1"/>
  <c r="Q512" i="2" s="1"/>
  <c r="Q513" i="2" a="1"/>
  <c r="Q513" i="2"/>
  <c r="Q514" i="2" a="1"/>
  <c r="Q514" i="2"/>
  <c r="Q515" i="2" a="1"/>
  <c r="Q515" i="2" s="1"/>
  <c r="Q516" i="2" a="1"/>
  <c r="Q516" i="2" s="1"/>
  <c r="Q517" i="2" a="1"/>
  <c r="Q517" i="2"/>
  <c r="Q518" i="2" a="1"/>
  <c r="Q518" i="2" s="1"/>
  <c r="Q519" i="2" a="1"/>
  <c r="Q519" i="2"/>
  <c r="Q520" i="2" a="1"/>
  <c r="Q520" i="2" s="1"/>
  <c r="Q521" i="2" a="1"/>
  <c r="Q521" i="2"/>
  <c r="Q522" i="2" a="1"/>
  <c r="Q522" i="2" s="1"/>
  <c r="Q523" i="2" a="1"/>
  <c r="Q523" i="2" s="1"/>
  <c r="Q524" i="2" a="1"/>
  <c r="Q524" i="2"/>
  <c r="Q525" i="2" a="1"/>
  <c r="Q525" i="2" s="1"/>
  <c r="Q526" i="2" a="1"/>
  <c r="Q526" i="2" s="1"/>
  <c r="Q527" i="2" a="1"/>
  <c r="Q527" i="2" s="1"/>
  <c r="Q528" i="2" a="1"/>
  <c r="Q528" i="2"/>
  <c r="Q529" i="2" a="1"/>
  <c r="Q529" i="2"/>
  <c r="Q530" i="2" a="1"/>
  <c r="Q530" i="2" s="1"/>
  <c r="Q531" i="2" a="1"/>
  <c r="Q531" i="2" s="1"/>
  <c r="Q532" i="2" a="1"/>
  <c r="Q532" i="2" s="1"/>
  <c r="Q533" i="2" a="1"/>
  <c r="Q533" i="2"/>
  <c r="Q534" i="2" a="1"/>
  <c r="Q534" i="2"/>
  <c r="Q535" i="2" a="1"/>
  <c r="Q535" i="2" s="1"/>
  <c r="Q536" i="2" a="1"/>
  <c r="Q536" i="2" s="1"/>
  <c r="Q537" i="2" a="1"/>
  <c r="Q537" i="2"/>
  <c r="Q538" i="2" a="1"/>
  <c r="Q538" i="2" s="1"/>
  <c r="Q539" i="2" a="1"/>
  <c r="Q539" i="2"/>
  <c r="Q540" i="2" a="1"/>
  <c r="Q540" i="2" s="1"/>
  <c r="Q541" i="2" a="1"/>
  <c r="Q541" i="2"/>
  <c r="Q542" i="2" a="1"/>
  <c r="Q542" i="2" s="1"/>
  <c r="Q543" i="2" a="1"/>
  <c r="Q543" i="2" s="1"/>
  <c r="Q544" i="2" a="1"/>
  <c r="Q544" i="2" s="1"/>
  <c r="Q545" i="2" a="1"/>
  <c r="Q545" i="2" s="1"/>
  <c r="Q546" i="2" a="1"/>
  <c r="Q546" i="2"/>
  <c r="Q547" i="2" a="1"/>
  <c r="Q547" i="2"/>
  <c r="Q548" i="2" a="1"/>
  <c r="Q548" i="2" s="1"/>
  <c r="Q549" i="2" a="1"/>
  <c r="Q549" i="2" s="1"/>
  <c r="Q550" i="2" a="1"/>
  <c r="Q550" i="2" s="1"/>
  <c r="Q551" i="2" a="1"/>
  <c r="Q551" i="2" s="1"/>
  <c r="Q552" i="2" a="1"/>
  <c r="Q552" i="2"/>
  <c r="Q553" i="2" a="1"/>
  <c r="Q553" i="2" s="1"/>
  <c r="Q554" i="2" a="1"/>
  <c r="Q554" i="2"/>
  <c r="Q555" i="2" a="1"/>
  <c r="Q555" i="2" s="1"/>
  <c r="Q556" i="2" a="1"/>
  <c r="Q556" i="2" s="1"/>
  <c r="Q557" i="2" a="1"/>
  <c r="Q557" i="2"/>
  <c r="Q558" i="2" a="1"/>
  <c r="Q558" i="2" s="1"/>
  <c r="Q559" i="2" a="1"/>
  <c r="Q559" i="2"/>
  <c r="Q560" i="2" a="1"/>
  <c r="Q560" i="2"/>
  <c r="Q561" i="2" a="1"/>
  <c r="Q561" i="2" s="1"/>
  <c r="Q562" i="2" a="1"/>
  <c r="Q562" i="2" s="1"/>
  <c r="Q563" i="2" a="1"/>
  <c r="Q563" i="2" s="1"/>
  <c r="Q564" i="2" a="1"/>
  <c r="Q564" i="2" s="1"/>
  <c r="Q565" i="2" a="1"/>
  <c r="Q565" i="2"/>
  <c r="Q566" i="2" a="1"/>
  <c r="Q566" i="2" s="1"/>
  <c r="Q567" i="2" a="1"/>
  <c r="Q567" i="2"/>
  <c r="Q568" i="2" a="1"/>
  <c r="Q568" i="2" s="1"/>
  <c r="Q569" i="2" a="1"/>
  <c r="Q569" i="2" s="1"/>
  <c r="Q570" i="2" a="1"/>
  <c r="Q570" i="2"/>
  <c r="Q571" i="2" a="1"/>
  <c r="Q571" i="2" s="1"/>
  <c r="Q572" i="2" a="1"/>
  <c r="Q572" i="2"/>
  <c r="Q573" i="2" a="1"/>
  <c r="Q573" i="2"/>
  <c r="Q574" i="2" a="1"/>
  <c r="Q574" i="2" s="1"/>
  <c r="Q575" i="2" a="1"/>
  <c r="Q575" i="2" s="1"/>
  <c r="Q576" i="2" a="1"/>
  <c r="Q576" i="2" s="1"/>
  <c r="Q577" i="2" a="1"/>
  <c r="Q577" i="2" s="1"/>
  <c r="Q578" i="2" a="1"/>
  <c r="Q578" i="2"/>
  <c r="Q579" i="2" a="1"/>
  <c r="Q579" i="2" s="1"/>
  <c r="Q580" i="2" a="1"/>
  <c r="Q580" i="2" s="1"/>
  <c r="Q581" i="2" a="1"/>
  <c r="Q581" i="2" s="1"/>
  <c r="Q582" i="2" a="1"/>
  <c r="Q582" i="2" s="1"/>
  <c r="Q583" i="2" a="1"/>
  <c r="Q583" i="2"/>
  <c r="Q584" i="2" a="1"/>
  <c r="Q584" i="2" s="1"/>
  <c r="Q585" i="2" a="1"/>
  <c r="Q585" i="2"/>
  <c r="Q586" i="2" a="1"/>
  <c r="Q586" i="2" s="1"/>
  <c r="Q587" i="2" a="1"/>
  <c r="Q587" i="2"/>
  <c r="Q588" i="2" a="1"/>
  <c r="Q588" i="2" s="1"/>
  <c r="Q589" i="2" a="1"/>
  <c r="Q589" i="2" s="1"/>
  <c r="Q590" i="2" a="1"/>
  <c r="Q590" i="2" s="1"/>
  <c r="Q591" i="2" a="1"/>
  <c r="Q591" i="2"/>
  <c r="Q592" i="2" a="1"/>
  <c r="Q592" i="2" s="1"/>
  <c r="Q593" i="2" a="1"/>
  <c r="Q593" i="2"/>
  <c r="Q594" i="2" a="1"/>
  <c r="Q594" i="2" s="1"/>
  <c r="Q595" i="2" a="1"/>
  <c r="Q595" i="2" s="1"/>
  <c r="Q596" i="2" a="1"/>
  <c r="Q596" i="2"/>
  <c r="Q597" i="2" a="1"/>
  <c r="Q597" i="2" s="1"/>
  <c r="Q598" i="2" a="1"/>
  <c r="Q598" i="2" s="1"/>
  <c r="Q599" i="2" a="1"/>
  <c r="Q599" i="2" s="1"/>
  <c r="Q600" i="2" a="1"/>
  <c r="Q600" i="2"/>
  <c r="Q601" i="2" a="1"/>
  <c r="Q601" i="2" s="1"/>
  <c r="Q602" i="2" a="1"/>
  <c r="Q602" i="2" s="1"/>
  <c r="Q603" i="2" a="1"/>
  <c r="Q603" i="2" s="1"/>
  <c r="Q604" i="2" a="1"/>
  <c r="Q604" i="2" s="1"/>
  <c r="Q605" i="2" a="1"/>
  <c r="Q605" i="2"/>
  <c r="Q606" i="2" a="1"/>
  <c r="Q606" i="2"/>
  <c r="Q607" i="2" a="1"/>
  <c r="Q607" i="2" s="1"/>
  <c r="Q608" i="2" a="1"/>
  <c r="Q608" i="2" s="1"/>
  <c r="Q609" i="2" a="1"/>
  <c r="Q609" i="2"/>
  <c r="Q610" i="2" a="1"/>
  <c r="Q610" i="2" s="1"/>
  <c r="Q611" i="2" a="1"/>
  <c r="Q611" i="2"/>
  <c r="Q612" i="2" a="1"/>
  <c r="Q612" i="2" s="1"/>
  <c r="Q613" i="2" a="1"/>
  <c r="Q613" i="2"/>
  <c r="Q614" i="2" a="1"/>
  <c r="Q614" i="2" s="1"/>
  <c r="Q615" i="2" a="1"/>
  <c r="Q615" i="2" s="1"/>
  <c r="Q616" i="2" a="1"/>
  <c r="Q616" i="2" s="1"/>
  <c r="Q617" i="2" a="1"/>
  <c r="Q617" i="2" s="1"/>
  <c r="Q618" i="2" a="1"/>
  <c r="Q618" i="2"/>
  <c r="Q619" i="2" a="1"/>
  <c r="Q619" i="2"/>
  <c r="Q620" i="2" a="1"/>
  <c r="Q620" i="2"/>
  <c r="Q621" i="2" a="1"/>
  <c r="Q621" i="2" s="1"/>
  <c r="Q622" i="2" a="1"/>
  <c r="Q622" i="2" s="1"/>
  <c r="Q623" i="2" a="1"/>
  <c r="Q623" i="2" s="1"/>
  <c r="Q624" i="2" a="1"/>
  <c r="Q624" i="2"/>
  <c r="Q625" i="2" a="1"/>
  <c r="Q625" i="2" s="1"/>
  <c r="Q626" i="2" a="1"/>
  <c r="Q626" i="2"/>
  <c r="Q627" i="2" a="1"/>
  <c r="Q627" i="2" s="1"/>
  <c r="Q628" i="2" a="1"/>
  <c r="Q628" i="2" s="1"/>
  <c r="Q629" i="2" a="1"/>
  <c r="Q629" i="2"/>
  <c r="Q630" i="2" a="1"/>
  <c r="Q630" i="2" s="1"/>
  <c r="Q631" i="2" a="1"/>
  <c r="Q631" i="2"/>
  <c r="Q632" i="2" a="1"/>
  <c r="Q632" i="2"/>
  <c r="Q633" i="2" a="1"/>
  <c r="Q633" i="2"/>
  <c r="Q634" i="2" a="1"/>
  <c r="Q634" i="2" s="1"/>
  <c r="Q635" i="2" a="1"/>
  <c r="Q635" i="2" s="1"/>
  <c r="Q636" i="2" a="1"/>
  <c r="Q636" i="2" s="1"/>
  <c r="Q637" i="2" a="1"/>
  <c r="Q637" i="2"/>
  <c r="Q638" i="2" a="1"/>
  <c r="Q638" i="2" s="1"/>
  <c r="Q639" i="2" a="1"/>
  <c r="Q639" i="2"/>
  <c r="Q640" i="2" a="1"/>
  <c r="Q640" i="2" s="1"/>
  <c r="Q641" i="2" a="1"/>
  <c r="Q641" i="2" s="1"/>
  <c r="Q642" i="2" a="1"/>
  <c r="Q642" i="2"/>
  <c r="Q643" i="2" a="1"/>
  <c r="Q643" i="2" s="1"/>
  <c r="Q644" i="2" a="1"/>
  <c r="Q644" i="2"/>
  <c r="Q645" i="2" a="1"/>
  <c r="Q645" i="2"/>
  <c r="Q646" i="2" a="1"/>
  <c r="Q646" i="2" s="1"/>
  <c r="Q647" i="2" a="1"/>
  <c r="Q647" i="2"/>
  <c r="Q648" i="2" a="1"/>
  <c r="Q648" i="2" s="1"/>
  <c r="Q649" i="2" a="1"/>
  <c r="Q649" i="2" s="1"/>
  <c r="Q650" i="2" a="1"/>
  <c r="Q650" i="2"/>
  <c r="Q651" i="2" a="1"/>
  <c r="Q651" i="2" s="1"/>
  <c r="Q652" i="2" a="1"/>
  <c r="Q652" i="2" s="1"/>
  <c r="Q653" i="2" a="1"/>
  <c r="Q653" i="2"/>
  <c r="Q654" i="2" a="1"/>
  <c r="Q654" i="2" s="1"/>
  <c r="Q655" i="2" a="1"/>
  <c r="Q655" i="2"/>
  <c r="Q656" i="2" a="1"/>
  <c r="Q656" i="2" s="1"/>
  <c r="Q657" i="2" a="1"/>
  <c r="Q657" i="2"/>
  <c r="Q658" i="2" a="1"/>
  <c r="Q658" i="2" s="1"/>
  <c r="Q659" i="2" a="1"/>
  <c r="Q659" i="2"/>
  <c r="Q660" i="2" a="1"/>
  <c r="Q660" i="2"/>
  <c r="Q661" i="2" a="1"/>
  <c r="Q661" i="2" s="1"/>
  <c r="Q662" i="2" a="1"/>
  <c r="Q662" i="2" s="1"/>
  <c r="Q663" i="2" a="1"/>
  <c r="Q663" i="2" s="1"/>
  <c r="Q664" i="2" a="1"/>
  <c r="Q664" i="2" s="1"/>
  <c r="Q665" i="2" a="1"/>
  <c r="Q665" i="2"/>
  <c r="Q666" i="2" a="1"/>
  <c r="Q666" i="2"/>
  <c r="Q667" i="2" a="1"/>
  <c r="Q667" i="2" s="1"/>
  <c r="Q668" i="2" a="1"/>
  <c r="Q668" i="2"/>
  <c r="Q669" i="2" a="1"/>
  <c r="Q669" i="2" s="1"/>
  <c r="Q670" i="2" a="1"/>
  <c r="Q670" i="2" s="1"/>
  <c r="Q671" i="2" a="1"/>
  <c r="Q671" i="2"/>
  <c r="Q672" i="2" a="1"/>
  <c r="Q672" i="2"/>
  <c r="Q673" i="2" a="1"/>
  <c r="Q673" i="2"/>
  <c r="Q674" i="2" a="1"/>
  <c r="Q674" i="2" s="1"/>
  <c r="Q675" i="2" a="1"/>
  <c r="Q675" i="2" s="1"/>
  <c r="Q676" i="2" a="1"/>
  <c r="Q676" i="2" s="1"/>
  <c r="Q677" i="2" a="1"/>
  <c r="Q677" i="2"/>
  <c r="Q678" i="2" a="1"/>
  <c r="Q678" i="2"/>
  <c r="Q679" i="2" a="1"/>
  <c r="Q679" i="2"/>
  <c r="Q680" i="2" a="1"/>
  <c r="Q680" i="2" s="1"/>
  <c r="Q681" i="2" a="1"/>
  <c r="Q681" i="2"/>
  <c r="Q682" i="2" a="1"/>
  <c r="Q682" i="2" s="1"/>
  <c r="Q683" i="2" a="1"/>
  <c r="Q683" i="2" s="1"/>
  <c r="Q684" i="2" a="1"/>
  <c r="Q684" i="2"/>
  <c r="Q685" i="2" a="1"/>
  <c r="Q685" i="2"/>
  <c r="Q686" i="2" a="1"/>
  <c r="Q686" i="2"/>
  <c r="Q687" i="2" a="1"/>
  <c r="Q687" i="2" s="1"/>
  <c r="Q688" i="2" a="1"/>
  <c r="Q688" i="2" s="1"/>
  <c r="Q689" i="2" a="1"/>
  <c r="Q689" i="2" s="1"/>
  <c r="Q690" i="2" a="1"/>
  <c r="Q690" i="2"/>
  <c r="Q691" i="2" a="1"/>
  <c r="Q691" i="2"/>
  <c r="Q692" i="2" a="1"/>
  <c r="Q692" i="2"/>
  <c r="Q693" i="2" a="1"/>
  <c r="Q693" i="2" s="1"/>
  <c r="Q694" i="2" a="1"/>
  <c r="Q694" i="2" s="1"/>
  <c r="Q695" i="2" a="1"/>
  <c r="Q695" i="2" s="1"/>
  <c r="Q696" i="2" a="1"/>
  <c r="Q696" i="2"/>
  <c r="Q697" i="2" a="1"/>
  <c r="Q697" i="2"/>
  <c r="Q698" i="2" a="1"/>
  <c r="Q698" i="2"/>
  <c r="Q699" i="2" a="1"/>
  <c r="Q699" i="2"/>
  <c r="Q700" i="2" a="1"/>
  <c r="Q700" i="2" s="1"/>
  <c r="Q701" i="2" a="1"/>
  <c r="Q701" i="2"/>
  <c r="Q702" i="2" a="1"/>
  <c r="Q702" i="2" s="1"/>
  <c r="Q703" i="2" a="1"/>
  <c r="Q703" i="2"/>
  <c r="Q704" i="2" a="1"/>
  <c r="Q704" i="2"/>
  <c r="Q705" i="2" a="1"/>
  <c r="Q705" i="2"/>
  <c r="Q706" i="2" a="1"/>
  <c r="Q706" i="2" s="1"/>
  <c r="Q707" i="2" a="1"/>
  <c r="Q707" i="2" s="1"/>
  <c r="Q708" i="2" a="1"/>
  <c r="Q708" i="2"/>
  <c r="Q709" i="2" a="1"/>
  <c r="Q709" i="2"/>
  <c r="Q710" i="2" a="1"/>
  <c r="Q710" i="2"/>
  <c r="Q711" i="2" a="1"/>
  <c r="Q711" i="2"/>
  <c r="Q712" i="2" a="1"/>
  <c r="Q712" i="2" s="1"/>
  <c r="Q713" i="2" a="1"/>
  <c r="Q713" i="2" s="1"/>
  <c r="Q714" i="2" a="1"/>
  <c r="Q714" i="2"/>
  <c r="Q715" i="2" a="1"/>
  <c r="Q715" i="2" s="1"/>
  <c r="Q716" i="2" a="1"/>
  <c r="Q716" i="2"/>
  <c r="Q717" i="2" a="1"/>
  <c r="Q717" i="2"/>
  <c r="Q718" i="2" a="1"/>
  <c r="Q718" i="2" s="1"/>
  <c r="Q719" i="2" a="1"/>
  <c r="Q719" i="2"/>
  <c r="Q720" i="2" a="1"/>
  <c r="Q720" i="2" s="1"/>
  <c r="Q721" i="2" a="1"/>
  <c r="Q721" i="2"/>
  <c r="Q722" i="2" a="1"/>
  <c r="Q722" i="2"/>
  <c r="Q723" i="2" a="1"/>
  <c r="Q723" i="2"/>
  <c r="Q724" i="2" a="1"/>
  <c r="Q724" i="2" s="1"/>
  <c r="Q725" i="2" a="1"/>
  <c r="Q725" i="2"/>
  <c r="Q726" i="2" a="1"/>
  <c r="Q726" i="2" s="1"/>
  <c r="Q727" i="2" a="1"/>
  <c r="Q727" i="2"/>
  <c r="Q728" i="2" a="1"/>
  <c r="Q728" i="2" s="1"/>
  <c r="Q729" i="2" a="1"/>
  <c r="Q729" i="2"/>
  <c r="Q730" i="2" a="1"/>
  <c r="Q730" i="2" s="1"/>
  <c r="Q731" i="2" a="1"/>
  <c r="Q731" i="2"/>
  <c r="Q732" i="2" a="1"/>
  <c r="Q732" i="2"/>
  <c r="Q733" i="2" a="1"/>
  <c r="Q733" i="2" s="1"/>
  <c r="Q734" i="2" a="1"/>
  <c r="Q734" i="2"/>
  <c r="Q735" i="2" a="1"/>
  <c r="Q735" i="2"/>
  <c r="Q736" i="2" a="1"/>
  <c r="Q736" i="2" s="1"/>
  <c r="Q737" i="2" a="1"/>
  <c r="Q737" i="2"/>
  <c r="Q738" i="2" a="1"/>
  <c r="Q738" i="2"/>
  <c r="Q739" i="2" a="1"/>
  <c r="Q739" i="2"/>
  <c r="Q740" i="2" a="1"/>
  <c r="Q740" i="2"/>
  <c r="Q741" i="2" a="1"/>
  <c r="Q741" i="2" s="1"/>
  <c r="Q742" i="2" a="1"/>
  <c r="Q742" i="2" s="1"/>
  <c r="Q743" i="2" a="1"/>
  <c r="Q743" i="2"/>
  <c r="Q744" i="2" a="1"/>
  <c r="Q744" i="2"/>
  <c r="Q745" i="2" a="1"/>
  <c r="Q745" i="2"/>
  <c r="Q746" i="2" a="1"/>
  <c r="Q746" i="2" s="1"/>
  <c r="Q747" i="2" a="1"/>
  <c r="Q747" i="2"/>
  <c r="Q748" i="2" a="1"/>
  <c r="Q748" i="2" s="1"/>
  <c r="Q749" i="2" a="1"/>
  <c r="Q749" i="2"/>
  <c r="Q750" i="2" a="1"/>
  <c r="Q750" i="2"/>
  <c r="Q751" i="2" a="1"/>
  <c r="Q751" i="2"/>
  <c r="Q752" i="2" a="1"/>
  <c r="Q752" i="2"/>
  <c r="Q753" i="2" a="1"/>
  <c r="Q753" i="2"/>
  <c r="Q754" i="2" a="1"/>
  <c r="Q754" i="2" s="1"/>
  <c r="Q755" i="2" a="1"/>
  <c r="Q755" i="2"/>
  <c r="Q756" i="2" a="1"/>
  <c r="Q756" i="2"/>
  <c r="Q757" i="2" a="1"/>
  <c r="Q757" i="2"/>
  <c r="Q758" i="2" a="1"/>
  <c r="Q758" i="2"/>
  <c r="Q759" i="2" a="1"/>
  <c r="Q759" i="2" s="1"/>
  <c r="Q760" i="2" a="1"/>
  <c r="Q760" i="2" s="1"/>
  <c r="Q761" i="2" a="1"/>
  <c r="Q761" i="2"/>
  <c r="Q762" i="2" a="1"/>
  <c r="Q762" i="2"/>
  <c r="Q763" i="2" a="1"/>
  <c r="Q763" i="2"/>
  <c r="Q764" i="2" a="1"/>
  <c r="Q764" i="2"/>
  <c r="Q765" i="2" a="1"/>
  <c r="Q765" i="2"/>
  <c r="Q766" i="2" a="1"/>
  <c r="Q766" i="2" s="1"/>
  <c r="Q767" i="2" a="1"/>
  <c r="Q767" i="2"/>
  <c r="Q768" i="2" a="1"/>
  <c r="Q768" i="2"/>
  <c r="Q769" i="2" a="1"/>
  <c r="Q769" i="2"/>
  <c r="Q770" i="2" a="1"/>
  <c r="Q770" i="2"/>
  <c r="Q771" i="2" a="1"/>
  <c r="Q771" i="2"/>
  <c r="Q772" i="2" a="1"/>
  <c r="Q772" i="2" s="1"/>
  <c r="Q773" i="2" a="1"/>
  <c r="Q773" i="2"/>
  <c r="Q774" i="2" a="1"/>
  <c r="Q774" i="2"/>
  <c r="Q775" i="2" a="1"/>
  <c r="Q775" i="2"/>
  <c r="Q776" i="2" a="1"/>
  <c r="Q776" i="2"/>
  <c r="Q777" i="2" a="1"/>
  <c r="Q777" i="2"/>
  <c r="Q778" i="2" a="1"/>
  <c r="Q778" i="2" s="1"/>
  <c r="Q779" i="2" a="1"/>
  <c r="Q779" i="2" s="1"/>
  <c r="Q780" i="2" a="1"/>
  <c r="Q780" i="2"/>
  <c r="Q781" i="2" a="1"/>
  <c r="Q781" i="2"/>
  <c r="Q782" i="2" a="1"/>
  <c r="Q782" i="2"/>
  <c r="Q783" i="2" a="1"/>
  <c r="Q783" i="2"/>
  <c r="Q784" i="2" a="1"/>
  <c r="Q784" i="2" s="1"/>
  <c r="Q785" i="2" a="1"/>
  <c r="Q785" i="2"/>
  <c r="Q786" i="2" a="1"/>
  <c r="Q786" i="2"/>
  <c r="Q787" i="2" a="1"/>
  <c r="Q787" i="2"/>
  <c r="Q788" i="2" a="1"/>
  <c r="Q788" i="2"/>
  <c r="Q789" i="2" a="1"/>
  <c r="Q789" i="2"/>
  <c r="Q790" i="2" a="1"/>
  <c r="Q790" i="2" s="1"/>
  <c r="Q791" i="2" a="1"/>
  <c r="Q791" i="2"/>
  <c r="Q792" i="2" a="1"/>
  <c r="Q792" i="2" s="1"/>
  <c r="Q793" i="2" a="1"/>
  <c r="Q793" i="2"/>
  <c r="Q794" i="2" a="1"/>
  <c r="Q794" i="2"/>
  <c r="Q795" i="2" a="1"/>
  <c r="Q795" i="2"/>
  <c r="Q796" i="2" a="1"/>
  <c r="Q796" i="2" s="1"/>
  <c r="Q797" i="2" a="1"/>
  <c r="Q797" i="2"/>
  <c r="Q798" i="2" a="1"/>
  <c r="Q798" i="2"/>
  <c r="Q799" i="2" a="1"/>
  <c r="Q799" i="2"/>
  <c r="Q800" i="2" a="1"/>
  <c r="Q800" i="2"/>
  <c r="Q801" i="2" a="1"/>
  <c r="Q801" i="2"/>
  <c r="Q802" i="2" a="1"/>
  <c r="Q802" i="2" s="1"/>
  <c r="Q803" i="2" a="1"/>
  <c r="Q803" i="2"/>
  <c r="Q804" i="2" a="1"/>
  <c r="Q804" i="2"/>
  <c r="Q805" i="2" a="1"/>
  <c r="Q805" i="2" s="1"/>
  <c r="Q806" i="2" a="1"/>
  <c r="Q806" i="2"/>
  <c r="Q807" i="2" a="1"/>
  <c r="Q807" i="2"/>
  <c r="Q808" i="2" a="1"/>
  <c r="Q808" i="2" s="1"/>
  <c r="Q809" i="2" a="1"/>
  <c r="Q809" i="2"/>
  <c r="Q810" i="2" a="1"/>
  <c r="Q810" i="2"/>
  <c r="Q811" i="2" a="1"/>
  <c r="Q811" i="2"/>
  <c r="Q812" i="2" a="1"/>
  <c r="Q812" i="2"/>
  <c r="Q813" i="2" a="1"/>
  <c r="Q813" i="2"/>
  <c r="Q814" i="2" a="1"/>
  <c r="Q814" i="2" s="1"/>
  <c r="Q815" i="2" a="1"/>
  <c r="Q815" i="2"/>
  <c r="Q816" i="2" a="1"/>
  <c r="Q816" i="2"/>
  <c r="Q817" i="2" a="1"/>
  <c r="Q817" i="2"/>
  <c r="Q818" i="2" a="1"/>
  <c r="Q818" i="2" s="1"/>
  <c r="Q819" i="2" a="1"/>
  <c r="Q819" i="2"/>
  <c r="Q820" i="2" a="1"/>
  <c r="Q820" i="2" s="1"/>
  <c r="Q821" i="2" a="1"/>
  <c r="Q821" i="2"/>
  <c r="Q822" i="2" a="1"/>
  <c r="Q822" i="2"/>
  <c r="Q823" i="2" a="1"/>
  <c r="Q823" i="2"/>
  <c r="Q824" i="2" a="1"/>
  <c r="Q824" i="2"/>
  <c r="Q825" i="2" a="1"/>
  <c r="Q825" i="2"/>
  <c r="Q826" i="2" a="1"/>
  <c r="Q826" i="2" s="1"/>
  <c r="Q827" i="2" a="1"/>
  <c r="Q827" i="2"/>
  <c r="Q828" i="2" a="1"/>
  <c r="Q828" i="2"/>
  <c r="Q829" i="2" a="1"/>
  <c r="Q829" i="2"/>
  <c r="Q830" i="2" a="1"/>
  <c r="Q830" i="2"/>
  <c r="Q831" i="2" a="1"/>
  <c r="Q831" i="2" s="1"/>
  <c r="Q832" i="2" a="1"/>
  <c r="Q832" i="2" s="1"/>
  <c r="Q833" i="2" a="1"/>
  <c r="Q833" i="2"/>
  <c r="Q834" i="2" a="1"/>
  <c r="Q834" i="2"/>
  <c r="Q835" i="2" a="1"/>
  <c r="Q835" i="2"/>
  <c r="Q836" i="2" a="1"/>
  <c r="Q836" i="2"/>
  <c r="Q837" i="2" a="1"/>
  <c r="Q837" i="2"/>
  <c r="Q838" i="2" a="1"/>
  <c r="Q838" i="2" s="1"/>
  <c r="Q839" i="2" a="1"/>
  <c r="Q839" i="2" s="1"/>
  <c r="Q840" i="2" a="1"/>
  <c r="Q840" i="2"/>
  <c r="Q841" i="2" a="1"/>
  <c r="Q841" i="2"/>
  <c r="Q842" i="2" a="1"/>
  <c r="Q842" i="2"/>
  <c r="Q843" i="2" a="1"/>
  <c r="Q843" i="2"/>
  <c r="Q844" i="2" a="1"/>
  <c r="Q844" i="2" s="1"/>
  <c r="Q845" i="2" a="1"/>
  <c r="Q845" i="2"/>
  <c r="Q846" i="2" a="1"/>
  <c r="Q846" i="2"/>
  <c r="Q847" i="2" a="1"/>
  <c r="Q847" i="2"/>
  <c r="Q848" i="2" a="1"/>
  <c r="Q848" i="2"/>
  <c r="Q849" i="2" a="1"/>
  <c r="Q849" i="2"/>
  <c r="Q850" i="2" a="1"/>
  <c r="Q850" i="2" s="1"/>
  <c r="Q851" i="2" a="1"/>
  <c r="Q851" i="2" s="1"/>
  <c r="Q852" i="2" a="1"/>
  <c r="Q852" i="2"/>
  <c r="Q853" i="2" a="1"/>
  <c r="Q853" i="2"/>
  <c r="Q854" i="2" a="1"/>
  <c r="Q854" i="2"/>
  <c r="Q855" i="2" a="1"/>
  <c r="Q855" i="2"/>
  <c r="Q856" i="2" a="1"/>
  <c r="Q856" i="2" s="1"/>
  <c r="Q857" i="2" a="1"/>
  <c r="Q857" i="2"/>
  <c r="Q858" i="2" a="1"/>
  <c r="Q858" i="2"/>
  <c r="Q859" i="2" a="1"/>
  <c r="Q859" i="2" s="1"/>
  <c r="Q860" i="2" a="1"/>
  <c r="Q860" i="2"/>
  <c r="Q861" i="2" a="1"/>
  <c r="Q861" i="2"/>
  <c r="Q862" i="2" a="1"/>
  <c r="Q862" i="2" s="1"/>
  <c r="Q863" i="2" a="1"/>
  <c r="Q863" i="2"/>
  <c r="Q864" i="2" a="1"/>
  <c r="Q864" i="2" s="1"/>
  <c r="Q865" i="2" a="1"/>
  <c r="Q865" i="2"/>
  <c r="Q866" i="2" a="1"/>
  <c r="Q866" i="2" s="1"/>
  <c r="Q867" i="2" a="1"/>
  <c r="Q867" i="2"/>
  <c r="Q868" i="2" a="1"/>
  <c r="Q868" i="2"/>
  <c r="Q869" i="2" a="1"/>
  <c r="Q869" i="2"/>
  <c r="Q870" i="2" a="1"/>
  <c r="Q870" i="2" s="1"/>
  <c r="Q871" i="2" a="1"/>
  <c r="Q871" i="2"/>
  <c r="Q872" i="2" a="1"/>
  <c r="Q872" i="2"/>
  <c r="Q873" i="2" a="1"/>
  <c r="Q873" i="2"/>
  <c r="Q874" i="2" a="1"/>
  <c r="Q874" i="2"/>
  <c r="Q875" i="2" a="1"/>
  <c r="Q875" i="2"/>
  <c r="Q876" i="2" a="1"/>
  <c r="Q876" i="2" s="1"/>
  <c r="Q877" i="2" a="1"/>
  <c r="Q877" i="2"/>
  <c r="Q878" i="2" a="1"/>
  <c r="Q878" i="2"/>
  <c r="Q879" i="2" a="1"/>
  <c r="Q879" i="2" s="1"/>
  <c r="Q880" i="2" a="1"/>
  <c r="Q880" i="2"/>
  <c r="Q881" i="2" a="1"/>
  <c r="Q881" i="2"/>
  <c r="Q882" i="2" a="1"/>
  <c r="Q882" i="2" s="1"/>
  <c r="Q883" i="2" a="1"/>
  <c r="Q883" i="2" s="1"/>
  <c r="Q884" i="2" a="1"/>
  <c r="Q884" i="2"/>
  <c r="Q885" i="2" a="1"/>
  <c r="Q885" i="2"/>
  <c r="Q886" i="2" a="1"/>
  <c r="Q886" i="2"/>
  <c r="Q887" i="2" a="1"/>
  <c r="Q887" i="2"/>
  <c r="Q888" i="2" a="1"/>
  <c r="Q888" i="2" s="1"/>
  <c r="Q889" i="2" a="1"/>
  <c r="Q889" i="2"/>
  <c r="Q890" i="2" a="1"/>
  <c r="Q890" i="2"/>
  <c r="Q891" i="2" a="1"/>
  <c r="Q891" i="2"/>
  <c r="Q892" i="2" a="1"/>
  <c r="Q892" i="2" s="1"/>
  <c r="Q893" i="2" a="1"/>
  <c r="Q893" i="2"/>
  <c r="Q894" i="2" a="1"/>
  <c r="Q894" i="2" s="1"/>
  <c r="Q895" i="2" a="1"/>
  <c r="Q895" i="2"/>
  <c r="Q896" i="2" a="1"/>
  <c r="Q896" i="2" s="1"/>
  <c r="Q897" i="2" a="1"/>
  <c r="Q897" i="2"/>
  <c r="Q898" i="2" a="1"/>
  <c r="Q898" i="2"/>
  <c r="Q899" i="2" a="1"/>
  <c r="Q899" i="2"/>
  <c r="Q900" i="2" a="1"/>
  <c r="Q900" i="2" s="1"/>
  <c r="Q901" i="2" a="1"/>
  <c r="Q901" i="2"/>
  <c r="Q902" i="2" a="1"/>
  <c r="Q902" i="2"/>
  <c r="Q903" i="2" a="1"/>
  <c r="Q903" i="2"/>
  <c r="Q904" i="2" a="1"/>
  <c r="Q904" i="2"/>
  <c r="Q905" i="2" a="1"/>
  <c r="Q905" i="2" s="1"/>
  <c r="Q906" i="2" a="1"/>
  <c r="Q906" i="2" s="1"/>
  <c r="Q907" i="2" a="1"/>
  <c r="Q907" i="2"/>
  <c r="Q908" i="2" a="1"/>
  <c r="Q908" i="2"/>
  <c r="Q909" i="2" a="1"/>
  <c r="Q909" i="2" s="1"/>
  <c r="Q910" i="2" a="1"/>
  <c r="Q910" i="2"/>
  <c r="Q911" i="2" a="1"/>
  <c r="Q911" i="2"/>
  <c r="Q912" i="2" a="1"/>
  <c r="Q912" i="2" s="1"/>
  <c r="Q913" i="2" a="1"/>
  <c r="Q913" i="2"/>
  <c r="Q914" i="2" a="1"/>
  <c r="Q914" i="2"/>
  <c r="Q915" i="2" a="1"/>
  <c r="Q915" i="2"/>
  <c r="Q916" i="2" a="1"/>
  <c r="Q916" i="2"/>
  <c r="Q917" i="2" a="1"/>
  <c r="Q917" i="2"/>
  <c r="Q918" i="2" a="1"/>
  <c r="Q918" i="2" s="1"/>
  <c r="Q919" i="2" a="1"/>
  <c r="Q919" i="2"/>
  <c r="Q920" i="2" a="1"/>
  <c r="Q920" i="2"/>
  <c r="Q921" i="2" a="1"/>
  <c r="Q921" i="2"/>
  <c r="Q922" i="2" a="1"/>
  <c r="Q922" i="2" s="1"/>
  <c r="Q923" i="2" a="1"/>
  <c r="Q923" i="2"/>
  <c r="Q924" i="2" a="1"/>
  <c r="Q924" i="2" s="1"/>
  <c r="Q925" i="2" a="1"/>
  <c r="Q925" i="2" s="1"/>
  <c r="Q926" i="2" a="1"/>
  <c r="Q926" i="2" s="1"/>
  <c r="Q927" i="2" a="1"/>
  <c r="Q927" i="2"/>
  <c r="Q928" i="2" a="1"/>
  <c r="Q928" i="2"/>
  <c r="Q929" i="2" a="1"/>
  <c r="Q929" i="2"/>
  <c r="Q930" i="2" a="1"/>
  <c r="Q930" i="2" s="1"/>
  <c r="Q931" i="2" a="1"/>
  <c r="Q931" i="2"/>
  <c r="Q932" i="2" a="1"/>
  <c r="Q932" i="2"/>
  <c r="Q933" i="2" a="1"/>
  <c r="Q933" i="2"/>
  <c r="Q934" i="2" a="1"/>
  <c r="Q934" i="2"/>
  <c r="Q935" i="2" a="1"/>
  <c r="Q935" i="2" s="1"/>
  <c r="Q936" i="2" a="1"/>
  <c r="Q936" i="2" s="1"/>
  <c r="Q937" i="2" a="1"/>
  <c r="Q937" i="2"/>
  <c r="Q938" i="2" a="1"/>
  <c r="Q938" i="2" s="1"/>
  <c r="Q939" i="2" a="1"/>
  <c r="Q939" i="2" s="1"/>
  <c r="Q940" i="2" a="1"/>
  <c r="Q940" i="2"/>
  <c r="Q941" i="2" a="1"/>
  <c r="Q941" i="2"/>
  <c r="Q942" i="2" a="1"/>
  <c r="Q942" i="2" s="1"/>
  <c r="Q943" i="2" a="1"/>
  <c r="Q943" i="2"/>
  <c r="Q944" i="2" a="1"/>
  <c r="Q944" i="2"/>
  <c r="Q945" i="2" a="1"/>
  <c r="Q945" i="2"/>
  <c r="Q946" i="2" a="1"/>
  <c r="Q946" i="2"/>
  <c r="Q947" i="2" a="1"/>
  <c r="Q947" i="2"/>
  <c r="Q948" i="2" a="1"/>
  <c r="Q948" i="2" s="1"/>
  <c r="Q949" i="2" a="1"/>
  <c r="Q949" i="2"/>
  <c r="Q950" i="2" a="1"/>
  <c r="Q950" i="2"/>
  <c r="Q951" i="2" a="1"/>
  <c r="Q951" i="2" s="1"/>
  <c r="Q952" i="2" a="1"/>
  <c r="Q952" i="2" s="1"/>
  <c r="Q953" i="2" a="1"/>
  <c r="Q953" i="2"/>
  <c r="Q954" i="2" a="1"/>
  <c r="Q954" i="2" s="1"/>
  <c r="Q955" i="2" a="1"/>
  <c r="Q955" i="2" s="1"/>
  <c r="Q956" i="2" a="1"/>
  <c r="Q956" i="2"/>
  <c r="Q957" i="2" a="1"/>
  <c r="Q957" i="2"/>
  <c r="Q958" i="2" a="1"/>
  <c r="Q958" i="2"/>
  <c r="Q959" i="2" a="1"/>
  <c r="Q959" i="2" s="1"/>
  <c r="Q960" i="2" a="1"/>
  <c r="Q960" i="2" s="1"/>
  <c r="Q961" i="2" a="1"/>
  <c r="Q961" i="2"/>
  <c r="Q962" i="2" a="1"/>
  <c r="Q962" i="2"/>
  <c r="Q963" i="2" a="1"/>
  <c r="Q963" i="2"/>
  <c r="Q964" i="2" a="1"/>
  <c r="Q964" i="2" s="1"/>
  <c r="Q965" i="2" a="1"/>
  <c r="Q965" i="2"/>
  <c r="Q966" i="2" a="1"/>
  <c r="Q966" i="2" s="1"/>
  <c r="Q967" i="2" a="1"/>
  <c r="Q967" i="2"/>
  <c r="Q968" i="2" a="1"/>
  <c r="Q968" i="2" s="1"/>
  <c r="Q969" i="2" a="1"/>
  <c r="Q969" i="2"/>
  <c r="Q970" i="2" a="1"/>
  <c r="Q970" i="2"/>
  <c r="Q971" i="2" a="1"/>
  <c r="Q971" i="2"/>
  <c r="Q972" i="2" a="1"/>
  <c r="Q972" i="2" s="1"/>
  <c r="Q973" i="2" a="1"/>
  <c r="Q973" i="2"/>
  <c r="Q974" i="2" a="1"/>
  <c r="Q974" i="2"/>
  <c r="Q975" i="2" a="1"/>
  <c r="Q975" i="2"/>
  <c r="Q976" i="2" a="1"/>
  <c r="Q976" i="2"/>
  <c r="Q977" i="2" a="1"/>
  <c r="Q977" i="2" s="1"/>
  <c r="Q978" i="2" a="1"/>
  <c r="Q978" i="2" s="1"/>
  <c r="Q979" i="2" a="1"/>
  <c r="Q979" i="2" s="1"/>
  <c r="Q980" i="2" a="1"/>
  <c r="Q980" i="2" s="1"/>
  <c r="Q981" i="2" a="1"/>
  <c r="Q981" i="2" s="1"/>
  <c r="Q982" i="2" a="1"/>
  <c r="Q982" i="2"/>
  <c r="Q983" i="2" a="1"/>
  <c r="Q983" i="2"/>
  <c r="Q984" i="2" a="1"/>
  <c r="Q984" i="2" s="1"/>
  <c r="Q985" i="2" a="1"/>
  <c r="Q985" i="2"/>
  <c r="Q986" i="2" a="1"/>
  <c r="Q986" i="2"/>
  <c r="Q987" i="2" a="1"/>
  <c r="Q987" i="2"/>
  <c r="Q988" i="2" a="1"/>
  <c r="Q988" i="2"/>
  <c r="Q989" i="2" a="1"/>
  <c r="Q989" i="2"/>
  <c r="Q990" i="2" a="1"/>
  <c r="Q990" i="2" s="1"/>
  <c r="Q991" i="2" a="1"/>
  <c r="Q991" i="2" s="1"/>
  <c r="Q992" i="2" a="1"/>
  <c r="Q992" i="2" s="1"/>
  <c r="Q993" i="2" a="1"/>
  <c r="Q993" i="2"/>
  <c r="Q994" i="2" a="1"/>
  <c r="Q994" i="2" s="1"/>
  <c r="Q995" i="2" a="1"/>
  <c r="Q995" i="2"/>
  <c r="Q996" i="2" a="1"/>
  <c r="Q996" i="2" s="1"/>
  <c r="Q997" i="2" a="1"/>
  <c r="Q997" i="2"/>
  <c r="Q998" i="2" a="1"/>
  <c r="Q998" i="2"/>
  <c r="Q999" i="2" a="1"/>
  <c r="Q999" i="2"/>
  <c r="Q1000" i="2" a="1"/>
  <c r="Q1000" i="2"/>
  <c r="Q1001" i="2" a="1"/>
  <c r="Q1001" i="2"/>
  <c r="Q1002" i="2" a="1"/>
  <c r="Q1002" i="2" s="1"/>
  <c r="Q1003" i="2" a="1"/>
  <c r="Q1003" i="2"/>
  <c r="Q1004" i="2" a="1"/>
  <c r="Q1004" i="2" s="1"/>
  <c r="Q1005" i="2" a="1"/>
  <c r="Q1005" i="2" s="1"/>
  <c r="Q1006" i="2" a="1"/>
  <c r="Q1006" i="2"/>
  <c r="Q1007" i="2" a="1"/>
  <c r="Q1007" i="2" s="1"/>
  <c r="Q1008" i="2" a="1"/>
  <c r="Q1008" i="2" s="1"/>
  <c r="Q1009" i="2" a="1"/>
  <c r="Q1009" i="2"/>
  <c r="Q1010" i="2" a="1"/>
  <c r="Q1010" i="2"/>
  <c r="Q1011" i="2" a="1"/>
  <c r="Q1011" i="2"/>
  <c r="Q1012" i="2" a="1"/>
  <c r="Q1012" i="2"/>
  <c r="Q1013" i="2" a="1"/>
  <c r="Q1013" i="2"/>
  <c r="Q1014" i="2" a="1"/>
  <c r="Q1014" i="2" s="1"/>
  <c r="Q1015" i="2" a="1"/>
  <c r="Q1015" i="2"/>
  <c r="Q1016" i="2" a="1"/>
  <c r="Q1016" i="2"/>
  <c r="Q1017" i="2" a="1"/>
  <c r="Q1017" i="2" s="1"/>
  <c r="Q1018" i="2" a="1"/>
  <c r="Q1018" i="2" s="1"/>
  <c r="Q1019" i="2" a="1"/>
  <c r="Q1019" i="2"/>
  <c r="Q1020" i="2" a="1"/>
  <c r="Q1020" i="2" s="1"/>
  <c r="Q1021" i="2" a="1"/>
  <c r="Q1021" i="2"/>
  <c r="Q1022" i="2" a="1"/>
  <c r="Q1022" i="2"/>
  <c r="Q1023" i="2" a="1"/>
  <c r="Q1023" i="2"/>
  <c r="Q1024" i="2" a="1"/>
  <c r="Q1024" i="2"/>
  <c r="Q1025" i="2" a="1"/>
  <c r="Q1025" i="2"/>
  <c r="Q1026" i="2" a="1"/>
  <c r="Q1026" i="2" s="1"/>
  <c r="Q1027" i="2" a="1"/>
  <c r="Q1027" i="2" s="1"/>
  <c r="Q1028" i="2" a="1"/>
  <c r="Q1028" i="2"/>
  <c r="Q1029" i="2" a="1"/>
  <c r="Q1029" i="2"/>
  <c r="Q1030" i="2" a="1"/>
  <c r="Q1030" i="2" s="1"/>
  <c r="Q1031" i="2" a="1"/>
  <c r="Q1031" i="2" s="1"/>
  <c r="Q1032" i="2" a="1"/>
  <c r="Q1032" i="2" s="1"/>
  <c r="Q1033" i="2" a="1"/>
  <c r="Q1033" i="2"/>
  <c r="Q1034" i="2" a="1"/>
  <c r="Q1034" i="2"/>
  <c r="Q1035" i="2" a="1"/>
  <c r="Q1035" i="2"/>
  <c r="Q1036" i="2" a="1"/>
  <c r="Q1036" i="2"/>
  <c r="Q1037" i="2" a="1"/>
  <c r="Q1037" i="2"/>
  <c r="Q1038" i="2" a="1"/>
  <c r="Q1038" i="2" s="1"/>
  <c r="Q1039" i="2" a="1"/>
  <c r="Q1039" i="2"/>
  <c r="Q1040" i="2" a="1"/>
  <c r="Q1040" i="2" s="1"/>
  <c r="Q1041" i="2" a="1"/>
  <c r="Q1041" i="2"/>
  <c r="Q1042" i="2" a="1"/>
  <c r="Q1042" i="2"/>
  <c r="Q1043" i="2" a="1"/>
  <c r="Q1043" i="2" s="1"/>
  <c r="Q1044" i="2" a="1"/>
  <c r="Q1044" i="2" s="1"/>
  <c r="Q1045" i="2" a="1"/>
  <c r="Q1045" i="2"/>
  <c r="Q1046" i="2" a="1"/>
  <c r="Q1046" i="2"/>
  <c r="Q1047" i="2" a="1"/>
  <c r="Q1047" i="2"/>
  <c r="Q1048" i="2" a="1"/>
  <c r="Q1048" i="2"/>
  <c r="Q1049" i="2" a="1"/>
  <c r="Q1049" i="2"/>
  <c r="Q1050" i="2" a="1"/>
  <c r="Q1050" i="2" s="1"/>
  <c r="Q1051" i="2" a="1"/>
  <c r="Q1051" i="2" s="1"/>
  <c r="Q1052" i="2" a="1"/>
  <c r="Q1052" i="2"/>
  <c r="Q1053" i="2" a="1"/>
  <c r="Q1053" i="2" s="1"/>
  <c r="Q1054" i="2" a="1"/>
  <c r="Q1054" i="2"/>
  <c r="Q1055" i="2" a="1"/>
  <c r="Q1055" i="2"/>
  <c r="Q1056" i="2" a="1"/>
  <c r="Q1056" i="2" s="1"/>
  <c r="Q1057" i="2" a="1"/>
  <c r="Q1057" i="2"/>
  <c r="Q1058" i="2" a="1"/>
  <c r="Q1058" i="2"/>
  <c r="Q1059" i="2" a="1"/>
  <c r="Q1059" i="2"/>
  <c r="Q1060" i="2" a="1"/>
  <c r="Q1060" i="2"/>
  <c r="Q1061" i="2" a="1"/>
  <c r="Q1061" i="2"/>
  <c r="Q1062" i="2" a="1"/>
  <c r="Q1062" i="2" s="1"/>
  <c r="Q1063" i="2" a="1"/>
  <c r="Q1063" i="2"/>
  <c r="Q1064" i="2" a="1"/>
  <c r="Q1064" i="2" s="1"/>
  <c r="Q1065" i="2" a="1"/>
  <c r="Q1065" i="2"/>
  <c r="Q1066" i="2" a="1"/>
  <c r="Q1066" i="2" s="1"/>
  <c r="Q1067" i="2" a="1"/>
  <c r="Q1067" i="2"/>
  <c r="Q1068" i="2" a="1"/>
  <c r="Q1068" i="2" s="1"/>
  <c r="Q1069" i="2" a="1"/>
  <c r="Q1069" i="2"/>
  <c r="Q1070" i="2" a="1"/>
  <c r="Q1070" i="2"/>
  <c r="Q1071" i="2" a="1"/>
  <c r="Q1071" i="2"/>
  <c r="Q1072" i="2" a="1"/>
  <c r="Q1072" i="2"/>
  <c r="Q1073" i="2" a="1"/>
  <c r="Q1073" i="2"/>
  <c r="Q1074" i="2" a="1"/>
  <c r="Q1074" i="2" s="1"/>
  <c r="Q1075" i="2" a="1"/>
  <c r="Q1075" i="2"/>
  <c r="Q1076" i="2" a="1"/>
  <c r="Q1076" i="2"/>
  <c r="Q1077" i="2" a="1"/>
  <c r="Q1077" i="2" s="1"/>
  <c r="Q1078" i="2" a="1"/>
  <c r="Q1078" i="2"/>
  <c r="Q1079" i="2" a="1"/>
  <c r="Q1079" i="2" s="1"/>
  <c r="Q1080" i="2" a="1"/>
  <c r="Q1080" i="2" s="1"/>
  <c r="Q1081" i="2" a="1"/>
  <c r="Q1081" i="2"/>
  <c r="Q1082" i="2" a="1"/>
  <c r="Q1082" i="2"/>
  <c r="Q1083" i="2" a="1"/>
  <c r="Q1083" i="2"/>
  <c r="Q1084" i="2" a="1"/>
  <c r="Q1084" i="2" s="1"/>
  <c r="Q1085" i="2" a="1"/>
  <c r="Q1085" i="2"/>
  <c r="Q1086" i="2" a="1"/>
  <c r="Q1086" i="2" s="1"/>
  <c r="Q1087" i="2" a="1"/>
  <c r="Q1087" i="2"/>
  <c r="Q1088" i="2" a="1"/>
  <c r="Q1088" i="2"/>
  <c r="Q1089" i="2" a="1"/>
  <c r="Q1089" i="2"/>
  <c r="Q1090" i="2" a="1"/>
  <c r="Q1090" i="2"/>
  <c r="Q1091" i="2" a="1"/>
  <c r="Q1091" i="2"/>
  <c r="Q1092" i="2" a="1"/>
  <c r="Q1092" i="2" s="1"/>
  <c r="Q1093" i="2" a="1"/>
  <c r="Q1093" i="2"/>
  <c r="Q1094" i="2" a="1"/>
  <c r="Q1094" i="2"/>
  <c r="Q1095" i="2" a="1"/>
  <c r="Q1095" i="2"/>
  <c r="Q1096" i="2" a="1"/>
  <c r="Q1096" i="2"/>
  <c r="Q1097" i="2" a="1"/>
  <c r="Q1097" i="2" s="1"/>
  <c r="Q1098" i="2" a="1"/>
  <c r="Q1098" i="2" s="1"/>
  <c r="Q1099" i="2" a="1"/>
  <c r="Q1099" i="2" s="1"/>
  <c r="Q1100" i="2" a="1"/>
  <c r="Q1100" i="2"/>
  <c r="Q1101" i="2" a="1"/>
  <c r="Q1101" i="2"/>
  <c r="Q1102" i="2" a="1"/>
  <c r="Q1102" i="2"/>
  <c r="Q1103" i="2" a="1"/>
  <c r="Q1103" i="2"/>
  <c r="Q1104" i="2" a="1"/>
  <c r="Q1104" i="2" s="1"/>
  <c r="Q1105" i="2" a="1"/>
  <c r="Q1105" i="2"/>
  <c r="Q1106" i="2" a="1"/>
  <c r="Q1106" i="2"/>
  <c r="Q1107" i="2" a="1"/>
  <c r="Q1107" i="2"/>
  <c r="Q1108" i="2" a="1"/>
  <c r="Q1108" i="2"/>
  <c r="Q1109" i="2" a="1"/>
  <c r="Q1109" i="2"/>
  <c r="Q1110" i="2" a="1"/>
  <c r="Q1110" i="2" s="1"/>
  <c r="Q1111" i="2" a="1"/>
  <c r="Q1111" i="2"/>
  <c r="Q1112" i="2" a="1"/>
  <c r="Q1112" i="2" s="1"/>
  <c r="Q1113" i="2" a="1"/>
  <c r="Q1113" i="2"/>
  <c r="Q1114" i="2" a="1"/>
  <c r="Q1114" i="2"/>
  <c r="Q1115" i="2" a="1"/>
  <c r="Q1115" i="2"/>
  <c r="Q1116" i="2" a="1"/>
  <c r="Q1116" i="2" s="1"/>
  <c r="Q1117" i="2" a="1"/>
  <c r="Q1117" i="2" s="1"/>
  <c r="Q1118" i="2" a="1"/>
  <c r="Q1118" i="2"/>
  <c r="Q1119" i="2" a="1"/>
  <c r="Q1119" i="2"/>
  <c r="Q1120" i="2" a="1"/>
  <c r="Q1120" i="2"/>
  <c r="Q1121" i="2" a="1"/>
  <c r="Q1121" i="2"/>
  <c r="Q1122" i="2" a="1"/>
  <c r="Q1122" i="2" s="1"/>
  <c r="Q1123" i="2" a="1"/>
  <c r="Q1123" i="2"/>
  <c r="Q1124" i="2" a="1"/>
  <c r="Q1124" i="2"/>
  <c r="Q1125" i="2" a="1"/>
  <c r="Q1125" i="2" s="1"/>
  <c r="Q1126" i="2" a="1"/>
  <c r="Q1126" i="2"/>
  <c r="Q1127" i="2" a="1"/>
  <c r="Q1127" i="2"/>
  <c r="Q1128" i="2" a="1"/>
  <c r="Q1128" i="2" s="1"/>
  <c r="Q1129" i="2" a="1"/>
  <c r="Q1129" i="2"/>
  <c r="Q1130" i="2" a="1"/>
  <c r="Q1130" i="2" s="1"/>
  <c r="Q1131" i="2" a="1"/>
  <c r="Q1131" i="2"/>
  <c r="Q1132" i="2" a="1"/>
  <c r="Q1132" i="2"/>
  <c r="Q1133" i="2" a="1"/>
  <c r="Q1133" i="2"/>
  <c r="Q1134" i="2" a="1"/>
  <c r="Q1134" i="2" s="1"/>
  <c r="Q1135" i="2" a="1"/>
  <c r="Q1135" i="2"/>
  <c r="Q1136" i="2" a="1"/>
  <c r="Q1136" i="2"/>
  <c r="Q1137" i="2" a="1"/>
  <c r="Q1137" i="2"/>
  <c r="Q1138" i="2" a="1"/>
  <c r="Q1138" i="2" s="1"/>
  <c r="Q1139" i="2" a="1"/>
  <c r="Q1139" i="2"/>
  <c r="Q1140" i="2" a="1"/>
  <c r="Q1140" i="2" s="1"/>
  <c r="Q1141" i="2" a="1"/>
  <c r="Q1141" i="2"/>
  <c r="Q1142" i="2" a="1"/>
  <c r="Q1142" i="2"/>
  <c r="Q1143" i="2" a="1"/>
  <c r="Q1143" i="2" s="1"/>
  <c r="Q1144" i="2" a="1"/>
  <c r="Q1144" i="2"/>
  <c r="Q1145" i="2" a="1"/>
  <c r="Q1145" i="2"/>
  <c r="Q1146" i="2" a="1"/>
  <c r="Q1146" i="2" s="1"/>
  <c r="Q1147" i="2" a="1"/>
  <c r="Q1147" i="2"/>
  <c r="Q1148" i="2" a="1"/>
  <c r="Q1148" i="2"/>
  <c r="Q1149" i="2" a="1"/>
  <c r="Q1149" i="2"/>
  <c r="Q1150" i="2" a="1"/>
  <c r="Q1150" i="2"/>
  <c r="Q1151" i="2" a="1"/>
  <c r="Q1151" i="2" s="1"/>
  <c r="Q1152" i="2" a="1"/>
  <c r="Q1152" i="2" s="1"/>
  <c r="Q1153" i="2" a="1"/>
  <c r="Q1153" i="2"/>
  <c r="Q1154" i="2" a="1"/>
  <c r="Q1154" i="2"/>
  <c r="Q1155" i="2" a="1"/>
  <c r="Q1155" i="2"/>
  <c r="Q1156" i="2" a="1"/>
  <c r="Q1156" i="2" s="1"/>
  <c r="Q1157" i="2" a="1"/>
  <c r="Q1157" i="2"/>
  <c r="Q1158" i="2" a="1"/>
  <c r="Q1158" i="2" s="1"/>
  <c r="Q1159" i="2" a="1"/>
  <c r="Q1159" i="2"/>
  <c r="Q1160" i="2" a="1"/>
  <c r="Q1160" i="2"/>
  <c r="Q1161" i="2" a="1"/>
  <c r="Q1161" i="2"/>
  <c r="Q1162" i="2" a="1"/>
  <c r="Q1162" i="2"/>
  <c r="Q1163" i="2" a="1"/>
  <c r="Q1163" i="2"/>
  <c r="Q1164" i="2" a="1"/>
  <c r="Q1164" i="2" s="1"/>
  <c r="Q1165" i="2" a="1"/>
  <c r="Q1165" i="2"/>
  <c r="Q1166" i="2" a="1"/>
  <c r="Q1166" i="2"/>
  <c r="Q1167" i="2" a="1"/>
  <c r="Q1167" i="2"/>
  <c r="Q1168" i="2" a="1"/>
  <c r="Q1168" i="2"/>
  <c r="Q1169" i="2" a="1"/>
  <c r="Q1169" i="2" s="1"/>
  <c r="Q1170" i="2" a="1"/>
  <c r="Q1170" i="2"/>
  <c r="Q1171" i="2" a="1"/>
  <c r="Q1171" i="2"/>
  <c r="Q1172" i="2" a="1"/>
  <c r="Q1172" i="2"/>
  <c r="Q1173" i="2" a="1"/>
  <c r="Q1173" i="2"/>
  <c r="Q1174" i="2" a="1"/>
  <c r="Q1174" i="2"/>
  <c r="Q1175" i="2" a="1"/>
  <c r="Q1175" i="2" s="1"/>
  <c r="Q1176" i="2" a="1"/>
  <c r="Q1176" i="2"/>
  <c r="Q1177" i="2" a="1"/>
  <c r="Q1177" i="2"/>
  <c r="Q1178" i="2" a="1"/>
  <c r="Q1178" i="2"/>
  <c r="Q1179" i="2" a="1"/>
  <c r="Q1179" i="2"/>
  <c r="Q1180" i="2" a="1"/>
  <c r="Q1180" i="2"/>
  <c r="Q1181" i="2" a="1"/>
  <c r="Q1181" i="2" s="1"/>
  <c r="Q1182" i="2" a="1"/>
  <c r="Q1182" i="2"/>
  <c r="Q1183" i="2" a="1"/>
  <c r="Q1183" i="2"/>
  <c r="Q1184" i="2" a="1"/>
  <c r="Q1184" i="2"/>
  <c r="Q1185" i="2" a="1"/>
  <c r="Q1185" i="2"/>
  <c r="Q1186" i="2" a="1"/>
  <c r="Q1186" i="2"/>
  <c r="Q1187" i="2" a="1"/>
  <c r="Q1187" i="2" s="1"/>
  <c r="Q1188" i="2" a="1"/>
  <c r="Q1188" i="2"/>
  <c r="Q1189" i="2" a="1"/>
  <c r="Q1189" i="2"/>
  <c r="Q1190" i="2" a="1"/>
  <c r="Q1190" i="2"/>
  <c r="Q1191" i="2" a="1"/>
  <c r="Q1191" i="2"/>
  <c r="Q1192" i="2" a="1"/>
  <c r="Q1192" i="2"/>
  <c r="Q1193" i="2" a="1"/>
  <c r="Q1193" i="2" s="1"/>
  <c r="Q1194" i="2" a="1"/>
  <c r="Q1194" i="2"/>
  <c r="Q1195" i="2" a="1"/>
  <c r="Q1195" i="2"/>
  <c r="Q1196" i="2" a="1"/>
  <c r="Q1196" i="2"/>
  <c r="Q1197" i="2" a="1"/>
  <c r="Q1197" i="2"/>
  <c r="Q1198" i="2" a="1"/>
  <c r="Q1198" i="2"/>
  <c r="Q1199" i="2" a="1"/>
  <c r="Q1199" i="2" s="1"/>
  <c r="Q1200" i="2" a="1"/>
  <c r="Q1200" i="2"/>
  <c r="Q1201" i="2" a="1"/>
  <c r="Q1201" i="2"/>
  <c r="Q1202" i="2" a="1"/>
  <c r="Q1202" i="2"/>
  <c r="Q1203" i="2" a="1"/>
  <c r="Q1203" i="2"/>
  <c r="Q1204" i="2" a="1"/>
  <c r="Q1204" i="2"/>
  <c r="Q1205" i="2" a="1"/>
  <c r="Q1205" i="2" s="1"/>
  <c r="Q1206" i="2" a="1"/>
  <c r="Q1206" i="2"/>
  <c r="Q1207" i="2" a="1"/>
  <c r="Q1207" i="2"/>
  <c r="Q1208" i="2" a="1"/>
  <c r="Q1208" i="2"/>
  <c r="Q1209" i="2" a="1"/>
  <c r="Q1209" i="2"/>
  <c r="Q1210" i="2" a="1"/>
  <c r="Q1210" i="2"/>
  <c r="Q1211" i="2" a="1"/>
  <c r="Q1211" i="2" s="1"/>
  <c r="Q1212" i="2" a="1"/>
  <c r="Q1212" i="2"/>
  <c r="Q1213" i="2" a="1"/>
  <c r="Q1213" i="2"/>
  <c r="Q1214" i="2" a="1"/>
  <c r="Q1214" i="2"/>
  <c r="Q1215" i="2" a="1"/>
  <c r="Q1215" i="2"/>
  <c r="Q1216" i="2" a="1"/>
  <c r="Q1216" i="2"/>
  <c r="Q1217" i="2" a="1"/>
  <c r="Q1217" i="2" s="1"/>
  <c r="Q1218" i="2" a="1"/>
  <c r="Q1218" i="2"/>
  <c r="Q1219" i="2" a="1"/>
  <c r="Q1219" i="2"/>
  <c r="Q1220" i="2" a="1"/>
  <c r="Q1220" i="2"/>
  <c r="Q1221" i="2" a="1"/>
  <c r="Q1221" i="2"/>
  <c r="Q1222" i="2" a="1"/>
  <c r="Q1222" i="2"/>
  <c r="Q1223" i="2" a="1"/>
  <c r="Q1223" i="2" s="1"/>
  <c r="Q1224" i="2" a="1"/>
  <c r="Q1224" i="2"/>
  <c r="Q1225" i="2" a="1"/>
  <c r="Q1225" i="2"/>
  <c r="Q1226" i="2" a="1"/>
  <c r="Q1226" i="2"/>
  <c r="Q1227" i="2" a="1"/>
  <c r="Q1227" i="2"/>
  <c r="Q1228" i="2" a="1"/>
  <c r="Q1228" i="2"/>
  <c r="Q1229" i="2" a="1"/>
  <c r="Q1229" i="2" s="1"/>
  <c r="Q1230" i="2" a="1"/>
  <c r="Q1230" i="2"/>
  <c r="Q1231" i="2" a="1"/>
  <c r="Q1231" i="2"/>
  <c r="Q1232" i="2" a="1"/>
  <c r="Q1232" i="2"/>
  <c r="Q1233" i="2" a="1"/>
  <c r="Q1233" i="2"/>
  <c r="Q1234" i="2" a="1"/>
  <c r="Q1234" i="2"/>
  <c r="Q1235" i="2" a="1"/>
  <c r="Q1235" i="2" s="1"/>
  <c r="Q1236" i="2" a="1"/>
  <c r="Q1236" i="2"/>
  <c r="Q1237" i="2" a="1"/>
  <c r="Q1237" i="2"/>
  <c r="Q1238" i="2" a="1"/>
  <c r="Q1238" i="2"/>
  <c r="Q1239" i="2" a="1"/>
  <c r="Q1239" i="2"/>
  <c r="Q1240" i="2" a="1"/>
  <c r="Q1240" i="2"/>
  <c r="Q1241" i="2" a="1"/>
  <c r="Q1241" i="2" s="1"/>
  <c r="Q1242" i="2" a="1"/>
  <c r="Q1242" i="2"/>
  <c r="Q1243" i="2" a="1"/>
  <c r="Q1243" i="2"/>
  <c r="Q1244" i="2" a="1"/>
  <c r="Q1244" i="2"/>
  <c r="Q1245" i="2" a="1"/>
  <c r="Q1245" i="2"/>
  <c r="Q1246" i="2" a="1"/>
  <c r="Q1246" i="2"/>
  <c r="Q1247" i="2" a="1"/>
  <c r="Q1247" i="2" s="1"/>
  <c r="Q1248" i="2" a="1"/>
  <c r="Q1248" i="2"/>
  <c r="Q1249" i="2" a="1"/>
  <c r="Q1249" i="2"/>
  <c r="Q1250" i="2" a="1"/>
  <c r="Q1250" i="2"/>
  <c r="Q1251" i="2" a="1"/>
  <c r="Q1251" i="2"/>
  <c r="Q1252" i="2" a="1"/>
  <c r="Q1252" i="2"/>
  <c r="Q1253" i="2" a="1"/>
  <c r="Q1253" i="2" s="1"/>
  <c r="Q1254" i="2" a="1"/>
  <c r="Q1254" i="2"/>
  <c r="Q1255" i="2" a="1"/>
  <c r="Q1255" i="2"/>
  <c r="Q1256" i="2" a="1"/>
  <c r="Q1256" i="2"/>
  <c r="Q1257" i="2" a="1"/>
  <c r="Q1257" i="2"/>
  <c r="Q1258" i="2" a="1"/>
  <c r="Q1258" i="2"/>
  <c r="Q1259" i="2" a="1"/>
  <c r="Q1259" i="2" s="1"/>
  <c r="Q1260" i="2" a="1"/>
  <c r="Q1260" i="2"/>
  <c r="Q1261" i="2" a="1"/>
  <c r="Q1261" i="2"/>
  <c r="Q1262" i="2" a="1"/>
  <c r="Q1262" i="2"/>
  <c r="Q1263" i="2" a="1"/>
  <c r="Q1263" i="2"/>
  <c r="Q1264" i="2" a="1"/>
  <c r="Q1264" i="2"/>
  <c r="Q1265" i="2" a="1"/>
  <c r="Q1265" i="2" s="1"/>
  <c r="Q1266" i="2" a="1"/>
  <c r="Q1266" i="2"/>
  <c r="Q1267" i="2" a="1"/>
  <c r="Q1267" i="2"/>
  <c r="Q1268" i="2" a="1"/>
  <c r="Q1268" i="2"/>
  <c r="Q1269" i="2" a="1"/>
  <c r="Q1269" i="2"/>
  <c r="Q1270" i="2" a="1"/>
  <c r="Q1270" i="2"/>
  <c r="Q1271" i="2" a="1"/>
  <c r="Q1271" i="2" s="1"/>
  <c r="Q1272" i="2" a="1"/>
  <c r="Q1272" i="2"/>
  <c r="Q1273" i="2" a="1"/>
  <c r="Q1273" i="2"/>
  <c r="Q1274" i="2" a="1"/>
  <c r="Q1274" i="2"/>
  <c r="Q1275" i="2" a="1"/>
  <c r="Q1275" i="2"/>
  <c r="Q1276" i="2" a="1"/>
  <c r="Q1276" i="2"/>
  <c r="Q1277" i="2" a="1"/>
  <c r="Q1277" i="2" s="1"/>
  <c r="Q1278" i="2" a="1"/>
  <c r="Q1278" i="2"/>
  <c r="Q1279" i="2" a="1"/>
  <c r="Q1279" i="2"/>
  <c r="Q1280" i="2" a="1"/>
  <c r="Q1280" i="2"/>
  <c r="Q1281" i="2" a="1"/>
  <c r="Q1281" i="2"/>
  <c r="Q1282" i="2" a="1"/>
  <c r="Q1282" i="2"/>
  <c r="Q1283" i="2" a="1"/>
  <c r="Q1283" i="2" s="1"/>
  <c r="Q1284" i="2" a="1"/>
  <c r="Q1284" i="2"/>
  <c r="Q1285" i="2" a="1"/>
  <c r="Q1285" i="2"/>
  <c r="Q1286" i="2" a="1"/>
  <c r="Q1286" i="2"/>
  <c r="Q1287" i="2" a="1"/>
  <c r="Q1287" i="2"/>
  <c r="Q1288" i="2" a="1"/>
  <c r="Q1288" i="2"/>
  <c r="Q1289" i="2" a="1"/>
  <c r="Q1289" i="2" s="1"/>
  <c r="Q1290" i="2" a="1"/>
  <c r="Q1290" i="2"/>
  <c r="Q1291" i="2" a="1"/>
  <c r="Q1291" i="2"/>
  <c r="Q1292" i="2" a="1"/>
  <c r="Q1292" i="2"/>
  <c r="Q1293" i="2" a="1"/>
  <c r="Q1293" i="2"/>
  <c r="Q1294" i="2" a="1"/>
  <c r="Q1294" i="2"/>
  <c r="Q1295" i="2" a="1"/>
  <c r="Q1295" i="2" s="1"/>
  <c r="Q1296" i="2" a="1"/>
  <c r="Q1296" i="2"/>
  <c r="Q1297" i="2" a="1"/>
  <c r="Q1297" i="2"/>
  <c r="Q1298" i="2" a="1"/>
  <c r="Q1298" i="2"/>
  <c r="Q1299" i="2" a="1"/>
  <c r="Q1299" i="2"/>
  <c r="Q1300" i="2" a="1"/>
  <c r="Q1300" i="2"/>
  <c r="Q1301" i="2" a="1"/>
  <c r="Q1301" i="2" s="1"/>
  <c r="Q1302" i="2" a="1"/>
  <c r="Q1302" i="2"/>
  <c r="Q1303" i="2" a="1"/>
  <c r="Q1303" i="2"/>
  <c r="Q1304" i="2" a="1"/>
  <c r="Q1304" i="2"/>
  <c r="Q1305" i="2" a="1"/>
  <c r="Q1305" i="2"/>
  <c r="Q1306" i="2" a="1"/>
  <c r="Q1306" i="2"/>
  <c r="Q1307" i="2" a="1"/>
  <c r="Q1307" i="2" s="1"/>
  <c r="Q1308" i="2" a="1"/>
  <c r="Q1308" i="2"/>
  <c r="Q1309" i="2" a="1"/>
  <c r="Q1309" i="2"/>
  <c r="Q1310" i="2" a="1"/>
  <c r="Q1310" i="2"/>
  <c r="Q1311" i="2" a="1"/>
  <c r="Q1311" i="2"/>
  <c r="Q1312" i="2" a="1"/>
  <c r="Q1312" i="2"/>
  <c r="Q1313" i="2" a="1"/>
  <c r="Q1313" i="2" s="1"/>
  <c r="Q1314" i="2" a="1"/>
  <c r="Q1314" i="2"/>
  <c r="Q1315" i="2" a="1"/>
  <c r="Q1315" i="2"/>
  <c r="Q1316" i="2" a="1"/>
  <c r="Q1316" i="2"/>
  <c r="Q1317" i="2" a="1"/>
  <c r="Q1317" i="2"/>
  <c r="Q1318" i="2" a="1"/>
  <c r="Q1318" i="2"/>
  <c r="Q1319" i="2" a="1"/>
  <c r="Q1319" i="2" s="1"/>
  <c r="Q1320" i="2" a="1"/>
  <c r="Q1320" i="2"/>
  <c r="Q1321" i="2" a="1"/>
  <c r="Q1321" i="2"/>
  <c r="Q1322" i="2" a="1"/>
  <c r="Q1322" i="2"/>
  <c r="Q1323" i="2" a="1"/>
  <c r="Q1323" i="2"/>
  <c r="Q1324" i="2" a="1"/>
  <c r="Q1324" i="2"/>
  <c r="Q1325" i="2" a="1"/>
  <c r="Q1325" i="2" s="1"/>
  <c r="Q1326" i="2" a="1"/>
  <c r="Q1326" i="2"/>
  <c r="Q1327" i="2" a="1"/>
  <c r="Q1327" i="2"/>
  <c r="Q1328" i="2" a="1"/>
  <c r="Q1328" i="2"/>
  <c r="Q1329" i="2" a="1"/>
  <c r="Q1329" i="2"/>
  <c r="Q1330" i="2" a="1"/>
  <c r="Q1330" i="2"/>
  <c r="Q1331" i="2" a="1"/>
  <c r="Q1331" i="2" s="1"/>
  <c r="Q1332" i="2" a="1"/>
  <c r="Q1332" i="2"/>
  <c r="Q1333" i="2" a="1"/>
  <c r="Q1333" i="2"/>
  <c r="Q1334" i="2" a="1"/>
  <c r="Q1334" i="2"/>
  <c r="Q1335" i="2" a="1"/>
  <c r="Q1335" i="2"/>
  <c r="Q1336" i="2" a="1"/>
  <c r="Q1336" i="2"/>
  <c r="Q1337" i="2" a="1"/>
  <c r="Q1337" i="2" s="1"/>
  <c r="Q1338" i="2" a="1"/>
  <c r="Q1338" i="2"/>
  <c r="Q1339" i="2" a="1"/>
  <c r="Q1339" i="2"/>
  <c r="Q1340" i="2" a="1"/>
  <c r="Q1340" i="2"/>
  <c r="Q1341" i="2" a="1"/>
  <c r="Q1341" i="2"/>
  <c r="Q1342" i="2" a="1"/>
  <c r="Q1342" i="2"/>
  <c r="Q1343" i="2" a="1"/>
  <c r="Q1343" i="2" s="1"/>
  <c r="Q1344" i="2" a="1"/>
  <c r="Q1344" i="2"/>
  <c r="Q1345" i="2" a="1"/>
  <c r="Q1345" i="2"/>
  <c r="Q1346" i="2" a="1"/>
  <c r="Q1346" i="2"/>
  <c r="Q1347" i="2" a="1"/>
  <c r="Q1347" i="2"/>
  <c r="Q1348" i="2" a="1"/>
  <c r="Q1348" i="2"/>
  <c r="Q1349" i="2" a="1"/>
  <c r="Q1349" i="2" s="1"/>
  <c r="Q1350" i="2" a="1"/>
  <c r="Q1350" i="2"/>
  <c r="Q1351" i="2" a="1"/>
  <c r="Q1351" i="2"/>
  <c r="Q1352" i="2" a="1"/>
  <c r="Q1352" i="2"/>
  <c r="Q1353" i="2" a="1"/>
  <c r="Q1353" i="2"/>
  <c r="Q1354" i="2" a="1"/>
  <c r="Q1354" i="2"/>
  <c r="Q1355" i="2" a="1"/>
  <c r="Q1355" i="2" s="1"/>
  <c r="Q1356" i="2" a="1"/>
  <c r="Q1356" i="2"/>
  <c r="Q1357" i="2" a="1"/>
  <c r="Q1357" i="2"/>
  <c r="Q1358" i="2" a="1"/>
  <c r="Q1358" i="2"/>
  <c r="Q1359" i="2" a="1"/>
  <c r="Q1359" i="2"/>
  <c r="Q1360" i="2" a="1"/>
  <c r="Q1360" i="2"/>
  <c r="Q1361" i="2" a="1"/>
  <c r="Q1361" i="2" s="1"/>
  <c r="Q1362" i="2" a="1"/>
  <c r="Q1362" i="2"/>
  <c r="Q1363" i="2" a="1"/>
  <c r="Q1363" i="2"/>
  <c r="Q1364" i="2" a="1"/>
  <c r="Q1364" i="2"/>
  <c r="Q1365" i="2" a="1"/>
  <c r="Q1365" i="2"/>
  <c r="Q1366" i="2" a="1"/>
  <c r="Q1366" i="2"/>
  <c r="Q1367" i="2" a="1"/>
  <c r="Q1367" i="2" s="1"/>
  <c r="Q1368" i="2" a="1"/>
  <c r="Q1368" i="2"/>
  <c r="Q1369" i="2" a="1"/>
  <c r="Q1369" i="2"/>
  <c r="Q1370" i="2" a="1"/>
  <c r="Q1370" i="2"/>
  <c r="Q1371" i="2" a="1"/>
  <c r="Q1371" i="2"/>
  <c r="Q1372" i="2" a="1"/>
  <c r="Q1372" i="2"/>
  <c r="Q1373" i="2" a="1"/>
  <c r="Q1373" i="2" s="1"/>
  <c r="Q1374" i="2" a="1"/>
  <c r="Q1374" i="2"/>
  <c r="Q1375" i="2" a="1"/>
  <c r="Q1375" i="2"/>
  <c r="Q1376" i="2" a="1"/>
  <c r="Q1376" i="2"/>
  <c r="Q1377" i="2" a="1"/>
  <c r="Q1377" i="2"/>
  <c r="Q1378" i="2" a="1"/>
  <c r="Q1378" i="2"/>
  <c r="Q1379" i="2" a="1"/>
  <c r="Q1379" i="2" s="1"/>
  <c r="Q1380" i="2" a="1"/>
  <c r="Q1380" i="2"/>
  <c r="Q1381" i="2" a="1"/>
  <c r="Q1381" i="2"/>
  <c r="Q1382" i="2" a="1"/>
  <c r="Q1382" i="2"/>
  <c r="Q1383" i="2" a="1"/>
  <c r="Q1383" i="2"/>
  <c r="Q1384" i="2" a="1"/>
  <c r="Q1384" i="2"/>
  <c r="Q1385" i="2" a="1"/>
  <c r="Q1385" i="2" s="1"/>
  <c r="Q1386" i="2" a="1"/>
  <c r="Q1386" i="2"/>
  <c r="Q1387" i="2" a="1"/>
  <c r="Q1387" i="2"/>
  <c r="Q1388" i="2" a="1"/>
  <c r="Q1388" i="2"/>
  <c r="Q1389" i="2" a="1"/>
  <c r="Q1389" i="2"/>
  <c r="Q1390" i="2" a="1"/>
  <c r="Q1390" i="2"/>
  <c r="Q1391" i="2" a="1"/>
  <c r="Q1391" i="2" s="1"/>
  <c r="Q1392" i="2" a="1"/>
  <c r="Q1392" i="2"/>
  <c r="Q1393" i="2" a="1"/>
  <c r="Q1393" i="2"/>
  <c r="Q1394" i="2" a="1"/>
  <c r="Q1394" i="2"/>
  <c r="Q1395" i="2" a="1"/>
  <c r="Q1395" i="2"/>
  <c r="Q1396" i="2" a="1"/>
  <c r="Q1396" i="2"/>
  <c r="Q1397" i="2" a="1"/>
  <c r="Q1397" i="2" s="1"/>
  <c r="Q1398" i="2" a="1"/>
  <c r="Q1398" i="2"/>
  <c r="Q1399" i="2" a="1"/>
  <c r="Q1399" i="2"/>
  <c r="Q1400" i="2" a="1"/>
  <c r="Q1400" i="2"/>
  <c r="Q1401" i="2" a="1"/>
  <c r="Q1401" i="2"/>
  <c r="Q1402" i="2" a="1"/>
  <c r="Q1402" i="2"/>
  <c r="Q1403" i="2" a="1"/>
  <c r="Q1403" i="2" s="1"/>
  <c r="Q1404" i="2" a="1"/>
  <c r="Q1404" i="2"/>
  <c r="Q1405" i="2" a="1"/>
  <c r="Q1405" i="2"/>
  <c r="Q1406" i="2" a="1"/>
  <c r="Q1406" i="2"/>
  <c r="Q1407" i="2" a="1"/>
  <c r="Q1407" i="2"/>
  <c r="Q1408" i="2" a="1"/>
  <c r="Q1408" i="2"/>
  <c r="Q1409" i="2" a="1"/>
  <c r="Q1409" i="2" s="1"/>
  <c r="Q1410" i="2" a="1"/>
  <c r="Q1410" i="2"/>
  <c r="Q1411" i="2" a="1"/>
  <c r="Q1411" i="2"/>
  <c r="Q1412" i="2" a="1"/>
  <c r="Q1412" i="2"/>
  <c r="Q1413" i="2" a="1"/>
  <c r="Q1413" i="2"/>
  <c r="Q1414" i="2" a="1"/>
  <c r="Q1414" i="2" s="1"/>
  <c r="Q1415" i="2" a="1"/>
  <c r="Q1415" i="2" s="1"/>
  <c r="Q1416" i="2" a="1"/>
  <c r="Q1416" i="2"/>
  <c r="Q1417" i="2" a="1"/>
  <c r="Q1417" i="2"/>
  <c r="Q1418" i="2" a="1"/>
  <c r="Q1418" i="2"/>
  <c r="Q1419" i="2" a="1"/>
  <c r="Q1419" i="2"/>
  <c r="Q1420" i="2" a="1"/>
  <c r="Q1420" i="2"/>
  <c r="Q1421" i="2" a="1"/>
  <c r="Q1421" i="2" s="1"/>
  <c r="Q1422" i="2" a="1"/>
  <c r="Q1422" i="2"/>
  <c r="Q1423" i="2" a="1"/>
  <c r="Q1423" i="2"/>
  <c r="Q1424" i="2" a="1"/>
  <c r="Q1424" i="2"/>
  <c r="Q1425" i="2" a="1"/>
  <c r="Q1425" i="2"/>
  <c r="Q1426" i="2" a="1"/>
  <c r="Q1426" i="2"/>
  <c r="Q1427" i="2" a="1"/>
  <c r="Q1427" i="2" s="1"/>
  <c r="Q1428" i="2" a="1"/>
  <c r="Q1428" i="2"/>
  <c r="Q1429" i="2" a="1"/>
  <c r="Q1429" i="2"/>
  <c r="Q1430" i="2" a="1"/>
  <c r="Q1430" i="2"/>
  <c r="Q1431" i="2" a="1"/>
  <c r="Q1431" i="2"/>
  <c r="Q1432" i="2" a="1"/>
  <c r="Q1432" i="2"/>
  <c r="Q1433" i="2" a="1"/>
  <c r="Q1433" i="2" s="1"/>
  <c r="Q1434" i="2" a="1"/>
  <c r="Q1434" i="2" s="1"/>
  <c r="Q1435" i="2" a="1"/>
  <c r="Q1435" i="2"/>
  <c r="Q1436" i="2" a="1"/>
  <c r="Q1436" i="2"/>
  <c r="Q1437" i="2" a="1"/>
  <c r="Q1437" i="2"/>
  <c r="Q1438" i="2" a="1"/>
  <c r="Q1438" i="2"/>
  <c r="Q1439" i="2" a="1"/>
  <c r="Q1439" i="2" s="1"/>
  <c r="Q1440" i="2" a="1"/>
  <c r="Q1440" i="2"/>
  <c r="Q1441" i="2" a="1"/>
  <c r="Q1441" i="2"/>
  <c r="Q1442" i="2" a="1"/>
  <c r="Q1442" i="2"/>
  <c r="Q1443" i="2" a="1"/>
  <c r="Q1443" i="2"/>
  <c r="Q1444" i="2" a="1"/>
  <c r="Q1444" i="2"/>
  <c r="Q1445" i="2" a="1"/>
  <c r="Q1445" i="2" s="1"/>
  <c r="Q1446" i="2" a="1"/>
  <c r="Q1446" i="2"/>
  <c r="Q1447" i="2" a="1"/>
  <c r="Q1447" i="2" s="1"/>
  <c r="Q1448" i="2" a="1"/>
  <c r="Q1448" i="2"/>
  <c r="Q1449" i="2" a="1"/>
  <c r="Q1449" i="2"/>
  <c r="Q1450" i="2" a="1"/>
  <c r="Q1450" i="2"/>
  <c r="Q1451" i="2" a="1"/>
  <c r="Q1451" i="2" s="1"/>
  <c r="Q1452" i="2" a="1"/>
  <c r="Q1452" i="2"/>
  <c r="Q1453" i="2" a="1"/>
  <c r="Q1453" i="2"/>
  <c r="Q1454" i="2" a="1"/>
  <c r="Q1454" i="2"/>
  <c r="Q1455" i="2" a="1"/>
  <c r="Q1455" i="2"/>
  <c r="Q1456" i="2" a="1"/>
  <c r="Q1456" i="2" s="1"/>
  <c r="Q1457" i="2" a="1"/>
  <c r="Q1457" i="2" s="1"/>
  <c r="Q1458" i="2" a="1"/>
  <c r="Q1458" i="2" s="1"/>
  <c r="Q1459" i="2" a="1"/>
  <c r="Q1459" i="2"/>
  <c r="Q1460" i="2" a="1"/>
  <c r="Q1460" i="2" s="1"/>
  <c r="Q1461" i="2" a="1"/>
  <c r="Q1461" i="2"/>
  <c r="Q1462" i="2" a="1"/>
  <c r="Q1462" i="2"/>
  <c r="Q1463" i="2" a="1"/>
  <c r="Q1463" i="2" s="1"/>
  <c r="Q1464" i="2" a="1"/>
  <c r="Q1464" i="2" s="1"/>
  <c r="Q1465" i="2" a="1"/>
  <c r="Q1465" i="2"/>
  <c r="Q1466" i="2" a="1"/>
  <c r="Q1466" i="2"/>
  <c r="Q1467" i="2" a="1"/>
  <c r="Q1467" i="2"/>
  <c r="Q1468" i="2" a="1"/>
  <c r="Q1468" i="2"/>
  <c r="Q1469" i="2" a="1"/>
  <c r="Q1469" i="2" s="1"/>
  <c r="Q1470" i="2" a="1"/>
  <c r="Q1470" i="2"/>
  <c r="Q1471" i="2" a="1"/>
  <c r="Q1471" i="2" s="1"/>
  <c r="Q1472" i="2" a="1"/>
  <c r="Q1472" i="2"/>
  <c r="Q1473" i="2" a="1"/>
  <c r="Q1473" i="2" s="1"/>
  <c r="Q1474" i="2" a="1"/>
  <c r="Q1474" i="2"/>
  <c r="Q1475" i="2" a="1"/>
  <c r="Q1475" i="2" s="1"/>
  <c r="Q1476" i="2" a="1"/>
  <c r="Q1476" i="2" s="1"/>
  <c r="Q1477" i="2" a="1"/>
  <c r="Q1477" i="2"/>
  <c r="Q1478" i="2" a="1"/>
  <c r="Q1478" i="2"/>
  <c r="Q1479" i="2" a="1"/>
  <c r="Q1479" i="2"/>
  <c r="Q1480" i="2" a="1"/>
  <c r="Q1480" i="2"/>
  <c r="Q1481" i="2" a="1"/>
  <c r="Q1481" i="2" s="1"/>
  <c r="Q1482" i="2" a="1"/>
  <c r="Q1482" i="2"/>
  <c r="Q1483" i="2" a="1"/>
  <c r="Q1483" i="2"/>
  <c r="Q1484" i="2" a="1"/>
  <c r="Q1484" i="2" s="1"/>
  <c r="Q1485" i="2" a="1"/>
  <c r="Q1485" i="2"/>
  <c r="Q1486" i="2" a="1"/>
  <c r="Q1486" i="2" s="1"/>
  <c r="Q1487" i="2" a="1"/>
  <c r="Q1487" i="2" s="1"/>
  <c r="Q1488" i="2" a="1"/>
  <c r="Q1488" i="2" s="1"/>
  <c r="Q1489" i="2" a="1"/>
  <c r="Q1489" i="2" s="1"/>
  <c r="Q1490" i="2" a="1"/>
  <c r="Q1490" i="2" s="1"/>
  <c r="Q1491" i="2" a="1"/>
  <c r="Q1491" i="2"/>
  <c r="Q1492" i="2" a="1"/>
  <c r="Q1492" i="2"/>
  <c r="Q1493" i="2" a="1"/>
  <c r="Q1493" i="2" s="1"/>
  <c r="Q1494" i="2" a="1"/>
  <c r="Q1494" i="2"/>
  <c r="Q1495" i="2" a="1"/>
  <c r="Q1495" i="2"/>
  <c r="Q1496" i="2" a="1"/>
  <c r="Q1496" i="2"/>
  <c r="Q1497" i="2" a="1"/>
  <c r="Q1497" i="2" s="1"/>
  <c r="Q1498" i="2" a="1"/>
  <c r="Q1498" i="2"/>
  <c r="Q1499" i="2" a="1"/>
  <c r="Q1499" i="2" s="1"/>
  <c r="Q1500" i="2" a="1"/>
  <c r="Q1500" i="2"/>
  <c r="Q1501" i="2" a="1"/>
  <c r="Q1501" i="2" s="1"/>
  <c r="Q1502" i="2" a="1"/>
  <c r="Q1502" i="2" s="1"/>
  <c r="Q1503" i="2" a="1"/>
  <c r="Q1503" i="2" s="1"/>
  <c r="Q1504" i="2" a="1"/>
  <c r="Q1504" i="2"/>
  <c r="Q1505" i="2" a="1"/>
  <c r="Q1505" i="2" s="1"/>
  <c r="Q1506" i="2" a="1"/>
  <c r="Q1506" i="2" s="1"/>
  <c r="Q1507" i="2" a="1"/>
  <c r="Q1507" i="2"/>
  <c r="Q1508" i="2" a="1"/>
  <c r="Q1508" i="2"/>
  <c r="Q1509" i="2" a="1"/>
  <c r="Q1509" i="2"/>
  <c r="Q1510" i="2" a="1"/>
  <c r="Q1510" i="2" s="1"/>
  <c r="Q1511" i="2" a="1"/>
  <c r="Q1511" i="2" s="1"/>
  <c r="Q1512" i="2" a="1"/>
  <c r="Q1512" i="2" s="1"/>
  <c r="Q1513" i="2" a="1"/>
  <c r="Q1513" i="2"/>
  <c r="Q1514" i="2" a="1"/>
  <c r="Q1514" i="2" s="1"/>
  <c r="Q1515" i="2" a="1"/>
  <c r="Q1515" i="2" s="1"/>
  <c r="Q1516" i="2" a="1"/>
  <c r="Q1516" i="2" s="1"/>
  <c r="Q1517" i="2" a="1"/>
  <c r="Q1517" i="2" s="1"/>
  <c r="Q1518" i="2" a="1"/>
  <c r="Q1518" i="2" s="1"/>
  <c r="Q1519" i="2" a="1"/>
  <c r="Q1519" i="2" s="1"/>
  <c r="Q1520" i="2" a="1"/>
  <c r="Q1520" i="2"/>
  <c r="Q1521" i="2" a="1"/>
  <c r="Q1521" i="2"/>
  <c r="Q1522" i="2" a="1"/>
  <c r="Q1522" i="2"/>
  <c r="Q1523" i="2" a="1"/>
  <c r="Q1523" i="2" s="1"/>
  <c r="Q1524" i="2" a="1"/>
  <c r="Q1524" i="2"/>
  <c r="Q1525" i="2" a="1"/>
  <c r="Q1525" i="2" s="1"/>
  <c r="Q1526" i="2" a="1"/>
  <c r="Q1526" i="2"/>
  <c r="Q1527" i="2" a="1"/>
  <c r="Q1527" i="2"/>
  <c r="Q1528" i="2" a="1"/>
  <c r="Q1528" i="2" s="1"/>
  <c r="Q1529" i="2" a="1"/>
  <c r="Q1529" i="2" s="1"/>
  <c r="Q1530" i="2" a="1"/>
  <c r="Q1530" i="2" s="1"/>
  <c r="Q1531" i="2" a="1"/>
  <c r="Q1531" i="2"/>
  <c r="Q1532" i="2" a="1"/>
  <c r="Q1532" i="2" s="1"/>
  <c r="Q1533" i="2" a="1"/>
  <c r="Q1533" i="2"/>
  <c r="Q1534" i="2" a="1"/>
  <c r="Q1534" i="2" s="1"/>
  <c r="Q1535" i="2" a="1"/>
  <c r="Q1535" i="2" s="1"/>
  <c r="Q1536" i="2" a="1"/>
  <c r="Q1536" i="2"/>
  <c r="Q1537" i="2" a="1"/>
  <c r="Q1537" i="2" s="1"/>
  <c r="Q1538" i="2" a="1"/>
  <c r="Q1538" i="2"/>
  <c r="Q1539" i="2" a="1"/>
  <c r="Q1539" i="2"/>
  <c r="Q1540" i="2" a="1"/>
  <c r="Q1540" i="2" s="1"/>
  <c r="Q1541" i="2" a="1"/>
  <c r="Q1541" i="2" s="1"/>
  <c r="Q1542" i="2" a="1"/>
  <c r="Q1542" i="2"/>
  <c r="Q1543" i="2" a="1"/>
  <c r="Q1543" i="2"/>
  <c r="Q1544" i="2" a="1"/>
  <c r="Q1544" i="2" s="1"/>
  <c r="Q1545" i="2" a="1"/>
  <c r="Q1545" i="2" s="1"/>
  <c r="Q1546" i="2" a="1"/>
  <c r="Q1546" i="2"/>
  <c r="Q1547" i="2" a="1"/>
  <c r="Q1547" i="2" s="1"/>
  <c r="Q1548" i="2" a="1"/>
  <c r="Q1548" i="2" s="1"/>
  <c r="Q1549" i="2" a="1"/>
  <c r="Q1549" i="2"/>
  <c r="Q1550" i="2" a="1"/>
  <c r="Q1550" i="2" s="1"/>
  <c r="Q1551" i="2" a="1"/>
  <c r="Q1551" i="2"/>
  <c r="Q1552" i="2" a="1"/>
  <c r="Q1552" i="2"/>
  <c r="Q1553" i="2" a="1"/>
  <c r="Q1553" i="2" s="1"/>
  <c r="Q1554" i="2" a="1"/>
  <c r="Q1554" i="2"/>
  <c r="Q1555" i="2" a="1"/>
  <c r="Q1555" i="2"/>
  <c r="Q1556" i="2" a="1"/>
  <c r="Q1556" i="2" s="1"/>
  <c r="Q1557" i="2" a="1"/>
  <c r="Q1557" i="2"/>
  <c r="Q1558" i="2" a="1"/>
  <c r="Q1558" i="2" s="1"/>
  <c r="Q1559" i="2" a="1"/>
  <c r="Q1559" i="2" s="1"/>
  <c r="Q1560" i="2" a="1"/>
  <c r="Q1560" i="2"/>
  <c r="Q1561" i="2" a="1"/>
  <c r="Q1561" i="2" s="1"/>
  <c r="Q1562" i="2" a="1"/>
  <c r="Q1562" i="2" s="1"/>
  <c r="Q1563" i="2" a="1"/>
  <c r="Q1563" i="2"/>
  <c r="Q1564" i="2" a="1"/>
  <c r="Q1564" i="2" s="1"/>
  <c r="Q1565" i="2" a="1"/>
  <c r="Q1565" i="2" s="1"/>
  <c r="Q1566" i="2" a="1"/>
  <c r="Q1566" i="2"/>
  <c r="Q1567" i="2" a="1"/>
  <c r="Q1567" i="2"/>
  <c r="Q1568" i="2" a="1"/>
  <c r="Q1568" i="2"/>
  <c r="Q1569" i="2" a="1"/>
  <c r="Q1569" i="2" s="1"/>
  <c r="Q1570" i="2" a="1"/>
  <c r="Q1570" i="2" s="1"/>
  <c r="Q1571" i="2" a="1"/>
  <c r="Q1571" i="2" s="1"/>
  <c r="Q1572" i="2" a="1"/>
  <c r="Q1572" i="2"/>
  <c r="Q1573" i="2" a="1"/>
  <c r="Q1573" i="2"/>
  <c r="Q1574" i="2" a="1"/>
  <c r="Q1574" i="2" s="1"/>
  <c r="Q1575" i="2" a="1"/>
  <c r="Q1575" i="2" s="1"/>
  <c r="Q1576" i="2" a="1"/>
  <c r="Q1576" i="2" s="1"/>
  <c r="Q1577" i="2" a="1"/>
  <c r="Q1577" i="2" s="1"/>
  <c r="Q1578" i="2" a="1"/>
  <c r="Q1578" i="2" s="1"/>
  <c r="Q1579" i="2" a="1"/>
  <c r="Q1579" i="2"/>
  <c r="Q1580" i="2" a="1"/>
  <c r="Q1580" i="2" s="1"/>
  <c r="Q1581" i="2" a="1"/>
  <c r="Q1581" i="2"/>
  <c r="Q1582" i="2" a="1"/>
  <c r="Q1582" i="2" s="1"/>
  <c r="Q1583" i="2" a="1"/>
  <c r="Q1583" i="2" s="1"/>
  <c r="Q1584" i="2" a="1"/>
  <c r="Q1584" i="2"/>
  <c r="Q1585" i="2" a="1"/>
  <c r="Q1585" i="2"/>
  <c r="Q1586" i="2" a="1"/>
  <c r="Q1586" i="2"/>
  <c r="Q1587" i="2" a="1"/>
  <c r="Q1587" i="2" s="1"/>
  <c r="Q1588" i="2" a="1"/>
  <c r="Q1588" i="2"/>
  <c r="Q1589" i="2" a="1"/>
  <c r="Q1589" i="2" s="1"/>
  <c r="Q1590" i="2" a="1"/>
  <c r="Q1590" i="2"/>
  <c r="Q1591" i="2" a="1"/>
  <c r="Q1591" i="2" s="1"/>
  <c r="Q1592" i="2" a="1"/>
  <c r="Q1592" i="2"/>
  <c r="Q1593" i="2" a="1"/>
  <c r="Q1593" i="2"/>
  <c r="Q1594" i="2" a="1"/>
  <c r="Q1594" i="2"/>
  <c r="Q1595" i="2" a="1"/>
  <c r="Q1595" i="2" s="1"/>
  <c r="Q1596" i="2" a="1"/>
  <c r="Q1596" i="2" s="1"/>
  <c r="Q1597" i="2" a="1"/>
  <c r="Q1597" i="2"/>
  <c r="Q1598" i="2" a="1"/>
  <c r="Q1598" i="2"/>
  <c r="Q1599" i="2" a="1"/>
  <c r="Q1599" i="2" s="1"/>
  <c r="Q1600" i="2" a="1"/>
  <c r="Q1600" i="2" s="1"/>
  <c r="Q1601" i="2" a="1"/>
  <c r="Q1601" i="2" s="1"/>
  <c r="Q1602" i="2" a="1"/>
  <c r="Q1602" i="2"/>
  <c r="Q1603" i="2" a="1"/>
  <c r="Q1603" i="2" s="1"/>
  <c r="Q1604" i="2" a="1"/>
  <c r="Q1604" i="2" s="1"/>
  <c r="Q1605" i="2" a="1"/>
  <c r="Q1605" i="2"/>
  <c r="Q1606" i="2" a="1"/>
  <c r="Q1606" i="2" s="1"/>
  <c r="Q1607" i="2" a="1"/>
  <c r="Q1607" i="2" s="1"/>
  <c r="Q1608" i="2" a="1"/>
  <c r="Q1608" i="2"/>
  <c r="Q1609" i="2" a="1"/>
  <c r="Q1609" i="2"/>
  <c r="Q1610" i="2" a="1"/>
  <c r="Q1610" i="2" s="1"/>
  <c r="Q1611" i="2" a="1"/>
  <c r="Q1611" i="2"/>
  <c r="Q1612" i="2" a="1"/>
  <c r="Q1612" i="2"/>
  <c r="Q1613" i="2" a="1"/>
  <c r="Q1613" i="2" s="1"/>
  <c r="Q1614" i="2" a="1"/>
  <c r="Q1614" i="2"/>
  <c r="Q1615" i="2" a="1"/>
  <c r="Q1615" i="2" s="1"/>
  <c r="Q1616" i="2" a="1"/>
  <c r="Q1616" i="2" s="1"/>
  <c r="Q1617" i="2" a="1"/>
  <c r="Q1617" i="2" s="1"/>
  <c r="Q1618" i="2" a="1"/>
  <c r="Q1618" i="2"/>
  <c r="Q1619" i="2" a="1"/>
  <c r="Q1619" i="2" s="1"/>
  <c r="Q1620" i="2" a="1"/>
  <c r="Q1620" i="2" s="1"/>
  <c r="Q1621" i="2" a="1"/>
  <c r="Q1621" i="2" s="1"/>
  <c r="Q1622" i="2" a="1"/>
  <c r="Q1622" i="2"/>
  <c r="Q1623" i="2" a="1"/>
  <c r="Q1623" i="2"/>
  <c r="Q1624" i="2" a="1"/>
  <c r="Q1624" i="2" s="1"/>
  <c r="Q1625" i="2" a="1"/>
  <c r="Q1625" i="2" s="1"/>
  <c r="Q1626" i="2" a="1"/>
  <c r="Q1626" i="2" s="1"/>
  <c r="Q1627" i="2" a="1"/>
  <c r="Q1627" i="2"/>
  <c r="Q1628" i="2" a="1"/>
  <c r="Q1628" i="2" s="1"/>
  <c r="Q1629" i="2" a="1"/>
  <c r="Q1629" i="2"/>
  <c r="Q1630" i="2" a="1"/>
  <c r="Q1630" i="2" s="1"/>
  <c r="Q1631" i="2" a="1"/>
  <c r="Q1631" i="2" s="1"/>
  <c r="Q1632" i="2" a="1"/>
  <c r="Q1632" i="2"/>
  <c r="Q1633" i="2" a="1"/>
  <c r="Q1633" i="2" s="1"/>
  <c r="Q1634" i="2" a="1"/>
  <c r="Q1634" i="2" s="1"/>
  <c r="Q1635" i="2" a="1"/>
  <c r="Q1635" i="2" s="1"/>
  <c r="Q1636" i="2" a="1"/>
  <c r="Q1636" i="2"/>
  <c r="Q1637" i="2" a="1"/>
  <c r="Q1637" i="2" s="1"/>
  <c r="Q1638" i="2" a="1"/>
  <c r="Q1638" i="2"/>
  <c r="Q1639" i="2" a="1"/>
  <c r="Q1639" i="2"/>
  <c r="Q1640" i="2" a="1"/>
  <c r="Q1640" i="2"/>
  <c r="Q1641" i="2" a="1"/>
  <c r="Q1641" i="2"/>
  <c r="Q1642" i="2" a="1"/>
  <c r="Q1642" i="2" s="1"/>
  <c r="Q1643" i="2" a="1"/>
  <c r="Q1643" i="2" s="1"/>
  <c r="Q1644" i="2" a="1"/>
  <c r="Q1644" i="2"/>
  <c r="Q1645" i="2" a="1"/>
  <c r="Q1645" i="2" s="1"/>
  <c r="Q1646" i="2" a="1"/>
  <c r="Q1646" i="2"/>
  <c r="Q1647" i="2" a="1"/>
  <c r="Q1647" i="2" s="1"/>
  <c r="Q1648" i="2" a="1"/>
  <c r="Q1648" i="2" s="1"/>
  <c r="Q1649" i="2" a="1"/>
  <c r="Q1649" i="2" s="1"/>
  <c r="Q1650" i="2" a="1"/>
  <c r="Q1650" i="2"/>
  <c r="Q1651" i="2" a="1"/>
  <c r="Q1651" i="2"/>
  <c r="Q1652" i="2" a="1"/>
  <c r="Q1652" i="2"/>
  <c r="Q1653" i="2" a="1"/>
  <c r="Q1653" i="2" s="1"/>
  <c r="Q1654" i="2" a="1"/>
  <c r="Q1654" i="2"/>
  <c r="Q1655" i="2" a="1"/>
  <c r="Q1655" i="2" s="1"/>
  <c r="Q1656" i="2" a="1"/>
  <c r="Q1656" i="2"/>
  <c r="Q1657" i="2" a="1"/>
  <c r="Q1657" i="2" s="1"/>
  <c r="Q1658" i="2" a="1"/>
  <c r="Q1658" i="2" s="1"/>
  <c r="Q1659" i="2" a="1"/>
  <c r="Q1659" i="2"/>
  <c r="Q1660" i="2" a="1"/>
  <c r="Q1660" i="2" s="1"/>
  <c r="Q1661" i="2" a="1"/>
  <c r="Q1661" i="2" s="1"/>
  <c r="Q1662" i="2" a="1"/>
  <c r="Q1662" i="2"/>
  <c r="Q1663" i="2" a="1"/>
  <c r="Q1663" i="2"/>
  <c r="Q1664" i="2" a="1"/>
  <c r="Q1664" i="2"/>
  <c r="Q1665" i="2" a="1"/>
  <c r="Q1665" i="2"/>
  <c r="Q1666" i="2" a="1"/>
  <c r="Q1666" i="2" s="1"/>
  <c r="Q1667" i="2" a="1"/>
  <c r="Q1667" i="2" s="1"/>
  <c r="Q1668" i="2" a="1"/>
  <c r="Q1668" i="2" s="1"/>
  <c r="Q1669" i="2" a="1"/>
  <c r="Q1669" i="2"/>
  <c r="Q1670" i="2" a="1"/>
  <c r="Q1670" i="2" s="1"/>
  <c r="Q1671" i="2" a="1"/>
  <c r="Q1671" i="2" s="1"/>
  <c r="Q1672" i="2" a="1"/>
  <c r="Q1672" i="2"/>
  <c r="Q1673" i="2" a="1"/>
  <c r="Q1673" i="2" s="1"/>
  <c r="Q1674" i="2" a="1"/>
  <c r="Q1674" i="2"/>
  <c r="Q1675" i="2" a="1"/>
  <c r="Q1675" i="2" s="1"/>
  <c r="Q1676" i="2" a="1"/>
  <c r="Q1676" i="2"/>
  <c r="Q1677" i="2" a="1"/>
  <c r="Q1677" i="2"/>
  <c r="Q1678" i="2" a="1"/>
  <c r="Q1678" i="2"/>
  <c r="Q1679" i="2" a="1"/>
  <c r="Q1679" i="2" s="1"/>
  <c r="Q1680" i="2" a="1"/>
  <c r="Q1680" i="2"/>
  <c r="Q1681" i="2" a="1"/>
  <c r="Q1681" i="2" s="1"/>
  <c r="Q1682" i="2" a="1"/>
  <c r="Q1682" i="2"/>
  <c r="Q1683" i="2" a="1"/>
  <c r="Q1683" i="2" s="1"/>
  <c r="Q1684" i="2" a="1"/>
  <c r="Q1684" i="2" s="1"/>
  <c r="Q1685" i="2" a="1"/>
  <c r="Q1685" i="2" s="1"/>
  <c r="Q1686" i="2" a="1"/>
  <c r="Q1686" i="2" s="1"/>
  <c r="Q1687" i="2" a="1"/>
  <c r="Q1687" i="2"/>
  <c r="Q1688" i="2" a="1"/>
  <c r="Q1688" i="2" s="1"/>
  <c r="Q1689" i="2" a="1"/>
  <c r="Q1689" i="2"/>
  <c r="Q1690" i="2" a="1"/>
  <c r="Q1690" i="2"/>
  <c r="Q1691" i="2" a="1"/>
  <c r="Q1691" i="2" s="1"/>
  <c r="Q1692" i="2" a="1"/>
  <c r="Q1692" i="2"/>
  <c r="Q1693" i="2" a="1"/>
  <c r="Q1693" i="2" s="1"/>
  <c r="Q1694" i="2" a="1"/>
  <c r="Q1694" i="2" s="1"/>
  <c r="Q1695" i="2" a="1"/>
  <c r="Q1695" i="2"/>
  <c r="Q1696" i="2" a="1"/>
  <c r="Q1696" i="2" s="1"/>
  <c r="Q1697" i="2" a="1"/>
  <c r="Q1697" i="2" s="1"/>
  <c r="Q1698" i="2" a="1"/>
  <c r="Q1698" i="2"/>
  <c r="Q1699" i="2" a="1"/>
  <c r="Q1699" i="2" s="1"/>
  <c r="Q1700" i="2" a="1"/>
  <c r="Q1700" i="2"/>
  <c r="Q1701" i="2" a="1"/>
  <c r="Q1701" i="2" s="1"/>
  <c r="Q1702" i="2" a="1"/>
  <c r="Q1702" i="2"/>
  <c r="Q1703" i="2" a="1"/>
  <c r="Q1703" i="2" s="1"/>
  <c r="Q1704" i="2" a="1"/>
  <c r="Q1704" i="2" s="1"/>
  <c r="Q1705" i="2" a="1"/>
  <c r="Q1705" i="2"/>
  <c r="Q1706" i="2" a="1"/>
  <c r="Q1706" i="2" s="1"/>
  <c r="Q1707" i="2" a="1"/>
  <c r="Q1707" i="2" s="1"/>
  <c r="Q1708" i="2" a="1"/>
  <c r="Q1708" i="2"/>
  <c r="Q1709" i="2" a="1"/>
  <c r="Q1709" i="2" s="1"/>
  <c r="Q1710" i="2" a="1"/>
  <c r="Q1710" i="2"/>
  <c r="Q1711" i="2" a="1"/>
  <c r="Q1711" i="2"/>
  <c r="Q1712" i="2" a="1"/>
  <c r="Q1712" i="2" s="1"/>
  <c r="Q1713" i="2" a="1"/>
  <c r="Q1713" i="2"/>
  <c r="Q1714" i="2" a="1"/>
  <c r="Q1714" i="2" s="1"/>
  <c r="Q1715" i="2" a="1"/>
  <c r="Q1715" i="2" s="1"/>
  <c r="Q1716" i="2" a="1"/>
  <c r="Q1716" i="2" s="1"/>
  <c r="Q1717" i="2" a="1"/>
  <c r="Q1717" i="2" s="1"/>
  <c r="Q1718" i="2" a="1"/>
  <c r="Q1718" i="2"/>
  <c r="Q1719" i="2" a="1"/>
  <c r="Q1719" i="2" s="1"/>
  <c r="Q1720" i="2" a="1"/>
  <c r="Q1720" i="2" s="1"/>
  <c r="Q1721" i="2" a="1"/>
  <c r="Q1721" i="2" s="1"/>
  <c r="Q1722" i="2" a="1"/>
  <c r="Q1722" i="2"/>
  <c r="Q1723" i="2" a="1"/>
  <c r="Q1723" i="2"/>
  <c r="Q1724" i="2" a="1"/>
  <c r="Q1724" i="2"/>
  <c r="Q1725" i="2" a="1"/>
  <c r="Q1725" i="2" s="1"/>
  <c r="Q1726" i="2" a="1"/>
  <c r="Q1726" i="2"/>
  <c r="Q1727" i="2" a="1"/>
  <c r="Q1727" i="2" s="1"/>
  <c r="Q1728" i="2" a="1"/>
  <c r="Q1728" i="2"/>
  <c r="Q1729" i="2" a="1"/>
  <c r="Q1729" i="2" s="1"/>
  <c r="Q1730" i="2" a="1"/>
  <c r="Q1730" i="2" s="1"/>
  <c r="Q1731" i="2" a="1"/>
  <c r="Q1731" i="2"/>
  <c r="Q1732" i="2" a="1"/>
  <c r="Q1732" i="2" s="1"/>
  <c r="Q1733" i="2" a="1"/>
  <c r="Q1733" i="2" s="1"/>
  <c r="Q1734" i="2" a="1"/>
  <c r="Q1734" i="2" s="1"/>
  <c r="Q1735" i="2" a="1"/>
  <c r="Q1735" i="2"/>
  <c r="Q1736" i="2" a="1"/>
  <c r="Q1736" i="2"/>
  <c r="Q1737" i="2" a="1"/>
  <c r="Q1737" i="2"/>
  <c r="Q1738" i="2" a="1"/>
  <c r="Q1738" i="2" s="1"/>
  <c r="Q1739" i="2" a="1"/>
  <c r="Q1739" i="2" s="1"/>
  <c r="Q1740" i="2" a="1"/>
  <c r="Q1740" i="2" s="1"/>
  <c r="Q1741" i="2" a="1"/>
  <c r="Q1741" i="2" s="1"/>
  <c r="Q1742" i="2" a="1"/>
  <c r="Q1742" i="2" s="1"/>
  <c r="Q1743" i="2" a="1"/>
  <c r="Q1743" i="2" s="1"/>
  <c r="Q1744" i="2" a="1"/>
  <c r="Q1744" i="2"/>
  <c r="Q1745" i="2" a="1"/>
  <c r="Q1745" i="2" s="1"/>
  <c r="Q1746" i="2" a="1"/>
  <c r="Q1746" i="2"/>
  <c r="Q1747" i="2" a="1"/>
  <c r="Q1747" i="2"/>
  <c r="Q1748" i="2" a="1"/>
  <c r="Q1748" i="2"/>
  <c r="Q1749" i="2" a="1"/>
  <c r="Q1749" i="2"/>
  <c r="Q1750" i="2" a="1"/>
  <c r="Q1750" i="2"/>
  <c r="Q1751" i="2" a="1"/>
  <c r="Q1751" i="2" s="1"/>
  <c r="Q1752" i="2" a="1"/>
  <c r="Q1752" i="2" s="1"/>
  <c r="Q1753" i="2" a="1"/>
  <c r="Q1753" i="2" s="1"/>
  <c r="Q1754" i="2" a="1"/>
  <c r="Q1754" i="2" s="1"/>
  <c r="Q1755" i="2" a="1"/>
  <c r="Q1755" i="2" s="1"/>
  <c r="Q1756" i="2" a="1"/>
  <c r="Q1756" i="2" s="1"/>
  <c r="Q1757" i="2" a="1"/>
  <c r="Q1757" i="2" s="1"/>
  <c r="Q1758" i="2" a="1"/>
  <c r="Q1758" i="2" s="1"/>
  <c r="Q1759" i="2" a="1"/>
  <c r="Q1759" i="2"/>
  <c r="Q1760" i="2" a="1"/>
  <c r="Q1760" i="2"/>
  <c r="Q1761" i="2" a="1"/>
  <c r="Q1761" i="2"/>
  <c r="Q1762" i="2" a="1"/>
  <c r="Q1762" i="2"/>
  <c r="Q1763" i="2" a="1"/>
  <c r="Q1763" i="2" s="1"/>
  <c r="Q1764" i="2" a="1"/>
  <c r="Q1764" i="2"/>
  <c r="Q1765" i="2" a="1"/>
  <c r="Q1765" i="2" s="1"/>
  <c r="Q1766" i="2" a="1"/>
  <c r="Q1766" i="2" s="1"/>
  <c r="Q1767" i="2" a="1"/>
  <c r="Q1767" i="2" s="1"/>
  <c r="Q1768" i="2" a="1"/>
  <c r="Q1768" i="2" s="1"/>
  <c r="Q1769" i="2" a="1"/>
  <c r="Q1769" i="2" s="1"/>
  <c r="Q1770" i="2" a="1"/>
  <c r="Q1770" i="2"/>
  <c r="Q1771" i="2" a="1"/>
  <c r="Q1771" i="2" s="1"/>
  <c r="Q1772" i="2" a="1"/>
  <c r="Q1772" i="2"/>
  <c r="Q1773" i="2" a="1"/>
  <c r="Q1773" i="2"/>
  <c r="Q1774" i="2" a="1"/>
  <c r="Q1774" i="2"/>
  <c r="Q1775" i="2" a="1"/>
  <c r="Q1775" i="2" s="1"/>
  <c r="Q1776" i="2" a="1"/>
  <c r="Q1776" i="2" s="1"/>
  <c r="Q1777" i="2" a="1"/>
  <c r="Q1777" i="2"/>
  <c r="Q1778" i="2" a="1"/>
  <c r="Q1778" i="2" s="1"/>
  <c r="Q1779" i="2" a="1"/>
  <c r="Q1779" i="2" s="1"/>
  <c r="Q1780" i="2" a="1"/>
  <c r="Q1780" i="2" s="1"/>
  <c r="Q1781" i="2" a="1"/>
  <c r="Q1781" i="2" s="1"/>
  <c r="Q1782" i="2" a="1"/>
  <c r="Q1782" i="2"/>
  <c r="Q1783" i="2" a="1"/>
  <c r="Q1783" i="2"/>
  <c r="Q1784" i="2" a="1"/>
  <c r="Q1784" i="2" s="1"/>
  <c r="Q1785" i="2" a="1"/>
  <c r="Q1785" i="2"/>
  <c r="Q1786" i="2" a="1"/>
  <c r="Q1786" i="2"/>
  <c r="Q1787" i="2" a="1"/>
  <c r="Q1787" i="2" s="1"/>
  <c r="Q1788" i="2" a="1"/>
  <c r="Q1788" i="2" s="1"/>
  <c r="Q1789" i="2" a="1"/>
  <c r="Q1789" i="2" s="1"/>
  <c r="Q1790" i="2" a="1"/>
  <c r="Q1790" i="2"/>
  <c r="Q1791" i="2" a="1"/>
  <c r="Q1791" i="2" s="1"/>
  <c r="Q1792" i="2" a="1"/>
  <c r="Q1792" i="2" s="1"/>
  <c r="Q1793" i="2" a="1"/>
  <c r="Q1793" i="2" s="1"/>
  <c r="Q1794" i="2" a="1"/>
  <c r="Q1794" i="2"/>
  <c r="Q1795" i="2" a="1"/>
  <c r="Q1795" i="2"/>
  <c r="Q1796" i="2" a="1"/>
  <c r="Q1796" i="2"/>
  <c r="Q1797" i="2" a="1"/>
  <c r="Q1797" i="2" s="1"/>
  <c r="Q1798" i="2" a="1"/>
  <c r="Q1798" i="2"/>
  <c r="Q1799" i="2" a="1"/>
  <c r="Q1799" i="2" s="1"/>
  <c r="Q1800" i="2" a="1"/>
  <c r="Q1800" i="2" s="1"/>
  <c r="Q1801" i="2" a="1"/>
  <c r="Q1801" i="2" s="1"/>
  <c r="Q1802" i="2" a="1"/>
  <c r="Q1802" i="2" s="1"/>
  <c r="Q1803" i="2" a="1"/>
  <c r="Q1803" i="2"/>
  <c r="Q1804" i="2" a="1"/>
  <c r="Q1804" i="2" s="1"/>
  <c r="Q1805" i="2" a="1"/>
  <c r="Q1805" i="2" s="1"/>
  <c r="Q1806" i="2" a="1"/>
  <c r="Q1806" i="2"/>
  <c r="Q1807" i="2" a="1"/>
  <c r="Q1807" i="2"/>
  <c r="Q1808" i="2" a="1"/>
  <c r="Q1808" i="2"/>
  <c r="Q1809" i="2" a="1"/>
  <c r="Q1809" i="2"/>
  <c r="Q1810" i="2" a="1"/>
  <c r="Q1810" i="2" s="1"/>
  <c r="Q1811" i="2" a="1"/>
  <c r="Q1811" i="2" s="1"/>
  <c r="Q1812" i="2" a="1"/>
  <c r="Q1812" i="2" s="1"/>
  <c r="Q1813" i="2" a="1"/>
  <c r="Q1813" i="2" s="1"/>
  <c r="Q1814" i="2" a="1"/>
  <c r="Q1814" i="2" s="1"/>
  <c r="Q1815" i="2" a="1"/>
  <c r="Q1815" i="2" s="1"/>
  <c r="Q1816" i="2" a="1"/>
  <c r="Q1816" i="2"/>
  <c r="Q1817" i="2" a="1"/>
  <c r="Q1817" i="2" s="1"/>
  <c r="Q1818" i="2" a="1"/>
  <c r="Q1818" i="2"/>
  <c r="Q1819" i="2" a="1"/>
  <c r="Q1819" i="2"/>
  <c r="Q1820" i="2" a="1"/>
  <c r="Q1820" i="2"/>
  <c r="Q1821" i="2" a="1"/>
  <c r="Q1821" i="2"/>
  <c r="Q1822" i="2" a="1"/>
  <c r="Q1822" i="2"/>
  <c r="Q1823" i="2" a="1"/>
  <c r="Q1823" i="2" s="1"/>
  <c r="Q1824" i="2" a="1"/>
  <c r="Q1824" i="2" s="1"/>
  <c r="Q1825" i="2" a="1"/>
  <c r="Q1825" i="2" s="1"/>
  <c r="Q1826" i="2" a="1"/>
  <c r="Q1826" i="2" s="1"/>
  <c r="Q1827" i="2" a="1"/>
  <c r="Q1827" i="2" s="1"/>
  <c r="Q1828" i="2" a="1"/>
  <c r="Q1828" i="2" s="1"/>
  <c r="Q1829" i="2" a="1"/>
  <c r="Q1829" i="2" s="1"/>
  <c r="Q1830" i="2" a="1"/>
  <c r="Q1830" i="2" s="1"/>
  <c r="Q1831" i="2" a="1"/>
  <c r="Q1831" i="2"/>
  <c r="Q1832" i="2" a="1"/>
  <c r="Q1832" i="2"/>
  <c r="Q1833" i="2" a="1"/>
  <c r="Q1833" i="2"/>
  <c r="Q1834" i="2" a="1"/>
  <c r="Q1834" i="2"/>
  <c r="Q1835" i="2" a="1"/>
  <c r="Q1835" i="2" s="1"/>
  <c r="Q1836" i="2" a="1"/>
  <c r="Q1836" i="2"/>
  <c r="Q1837" i="2" a="1"/>
  <c r="Q1837" i="2" s="1"/>
  <c r="Q1838" i="2" a="1"/>
  <c r="Q1838" i="2" s="1"/>
  <c r="Q1839" i="2" a="1"/>
  <c r="Q1839" i="2" s="1"/>
  <c r="Q1840" i="2" a="1"/>
  <c r="Q1840" i="2" s="1"/>
  <c r="Q1841" i="2" a="1"/>
  <c r="Q1841" i="2" s="1"/>
  <c r="Q1842" i="2" a="1"/>
  <c r="Q1842" i="2"/>
  <c r="Q1843" i="2" a="1"/>
  <c r="Q1843" i="2" s="1"/>
  <c r="Q1844" i="2" a="1"/>
  <c r="Q1844" i="2"/>
  <c r="Q1845" i="2" a="1"/>
  <c r="Q1845" i="2"/>
  <c r="Q1846" i="2" a="1"/>
  <c r="Q1846" i="2"/>
  <c r="Q1847" i="2" a="1"/>
  <c r="Q1847" i="2" s="1"/>
  <c r="Q1848" i="2" a="1"/>
  <c r="Q1848" i="2" s="1"/>
  <c r="Q1849" i="2" a="1"/>
  <c r="Q1849" i="2"/>
  <c r="Q1850" i="2" a="1"/>
  <c r="Q1850" i="2" s="1"/>
  <c r="Q1851" i="2" a="1"/>
  <c r="Q1851" i="2" s="1"/>
  <c r="Q1852" i="2" a="1"/>
  <c r="Q1852" i="2" s="1"/>
  <c r="Q1853" i="2" a="1"/>
  <c r="Q1853" i="2" s="1"/>
  <c r="Q1854" i="2" a="1"/>
  <c r="Q1854" i="2"/>
  <c r="Q1855" i="2" a="1"/>
  <c r="Q1855" i="2"/>
  <c r="Q1856" i="2" a="1"/>
  <c r="Q1856" i="2" s="1"/>
  <c r="Q1857" i="2" a="1"/>
  <c r="Q1857" i="2"/>
  <c r="Q1858" i="2" a="1"/>
  <c r="Q1858" i="2"/>
  <c r="Q1859" i="2" a="1"/>
  <c r="Q1859" i="2" s="1"/>
  <c r="Q1860" i="2" a="1"/>
  <c r="Q1860" i="2" s="1"/>
  <c r="Q1861" i="2" a="1"/>
  <c r="Q1861" i="2" s="1"/>
  <c r="Q1862" i="2" a="1"/>
  <c r="Q1862" i="2"/>
  <c r="Q1863" i="2" a="1"/>
  <c r="Q1863" i="2" s="1"/>
  <c r="Q1864" i="2" a="1"/>
  <c r="Q1864" i="2" s="1"/>
  <c r="Q1865" i="2" a="1"/>
  <c r="Q1865" i="2" s="1"/>
  <c r="Q1866" i="2" a="1"/>
  <c r="Q1866" i="2"/>
  <c r="Q1867" i="2" a="1"/>
  <c r="Q1867" i="2"/>
  <c r="Q1868" i="2" a="1"/>
  <c r="Q1868" i="2"/>
  <c r="Q1869" i="2" a="1"/>
  <c r="Q1869" i="2" s="1"/>
  <c r="Q1870" i="2" a="1"/>
  <c r="Q1870" i="2"/>
  <c r="Q1871" i="2" a="1"/>
  <c r="Q1871" i="2" s="1"/>
  <c r="Q1872" i="2" a="1"/>
  <c r="Q1872" i="2"/>
  <c r="Q1873" i="2" a="1"/>
  <c r="Q1873" i="2" s="1"/>
  <c r="Q1874" i="2" a="1"/>
  <c r="Q1874" i="2" s="1"/>
  <c r="Q1875" i="2" a="1"/>
  <c r="Q1875" i="2"/>
  <c r="Q1876" i="2" a="1"/>
  <c r="Q1876" i="2" s="1"/>
  <c r="Q1877" i="2" a="1"/>
  <c r="Q1877" i="2" s="1"/>
  <c r="Q1878" i="2" a="1"/>
  <c r="Q1878" i="2"/>
  <c r="Q1879" i="2" a="1"/>
  <c r="Q1879" i="2"/>
  <c r="Q1880" i="2" a="1"/>
  <c r="Q1880" i="2"/>
  <c r="Q1881" i="2" a="1"/>
  <c r="Q1881" i="2"/>
  <c r="Q1882" i="2" a="1"/>
  <c r="Q1882" i="2"/>
  <c r="Q1883" i="2" a="1"/>
  <c r="Q1883" i="2" s="1"/>
  <c r="Q1884" i="2" a="1"/>
  <c r="Q1884" i="2" s="1"/>
  <c r="Q1885" i="2" a="1"/>
  <c r="Q1885" i="2"/>
  <c r="Q1886" i="2" a="1"/>
  <c r="Q1886" i="2" s="1"/>
  <c r="Q1887" i="2" a="1"/>
  <c r="Q1887" i="2" s="1"/>
  <c r="Q1888" i="2" a="1"/>
  <c r="Q1888" i="2"/>
  <c r="Q1889" i="2" a="1"/>
  <c r="Q1889" i="2" s="1"/>
  <c r="Q1890" i="2" a="1"/>
  <c r="Q1890" i="2"/>
  <c r="Q1891" i="2" a="1"/>
  <c r="Q1891" i="2"/>
  <c r="Q1892" i="2" a="1"/>
  <c r="Q1892" i="2"/>
  <c r="Q1893" i="2" a="1"/>
  <c r="Q1893" i="2"/>
  <c r="Q1894" i="2" a="1"/>
  <c r="Q1894" i="2"/>
  <c r="Q1895" i="2" a="1"/>
  <c r="Q1895" i="2" s="1"/>
  <c r="Q1896" i="2" a="1"/>
  <c r="Q1896" i="2" s="1"/>
  <c r="Q1897" i="2" a="1"/>
  <c r="Q1897" i="2" s="1"/>
  <c r="Q1898" i="2" a="1"/>
  <c r="Q1898" i="2"/>
  <c r="Q1899" i="2" a="1"/>
  <c r="Q1899" i="2" s="1"/>
  <c r="Q1900" i="2" a="1"/>
  <c r="Q1900" i="2" s="1"/>
  <c r="Q1901" i="2" a="1"/>
  <c r="Q1901" i="2" s="1"/>
  <c r="Q1902" i="2" a="1"/>
  <c r="Q1902" i="2"/>
  <c r="Q1903" i="2" a="1"/>
  <c r="Q1903" i="2"/>
  <c r="Q1904" i="2" a="1"/>
  <c r="Q1904" i="2"/>
  <c r="Q1905" i="2" a="1"/>
  <c r="Q1905" i="2" s="1"/>
  <c r="Q1906" i="2" a="1"/>
  <c r="Q1906" i="2"/>
  <c r="Q1907" i="2" a="1"/>
  <c r="Q1907" i="2" s="1"/>
  <c r="Q1908" i="2" a="1"/>
  <c r="Q1908" i="2"/>
  <c r="Q1909" i="2" a="1"/>
  <c r="Q1909" i="2" s="1"/>
  <c r="Q1910" i="2" a="1"/>
  <c r="Q1910" i="2" s="1"/>
  <c r="Q1911" i="2" a="1"/>
  <c r="Q1911" i="2"/>
  <c r="Q1912" i="2" a="1"/>
  <c r="Q1912" i="2" s="1"/>
  <c r="Q1913" i="2" a="1"/>
  <c r="Q1913" i="2" s="1"/>
  <c r="Q1914" i="2" a="1"/>
  <c r="Q1914" i="2"/>
  <c r="Q1915" i="2" a="1"/>
  <c r="Q1915" i="2"/>
  <c r="Q1916" i="2" a="1"/>
  <c r="Q1916" i="2"/>
  <c r="Q1917" i="2" a="1"/>
  <c r="Q1917" i="2" s="1"/>
  <c r="Q1918" i="2" a="1"/>
  <c r="Q1918" i="2"/>
  <c r="Q1919" i="2" a="1"/>
  <c r="Q1919" i="2" s="1"/>
  <c r="Q1920" i="2" a="1"/>
  <c r="Q1920" i="2" s="1"/>
  <c r="Q1921" i="2" a="1"/>
  <c r="Q1921" i="2"/>
  <c r="Q1922" i="2" a="1"/>
  <c r="Q1922" i="2" s="1"/>
  <c r="Q1923" i="2" a="1"/>
  <c r="Q1923" i="2" s="1"/>
  <c r="Q1924" i="2" a="1"/>
  <c r="Q1924" i="2"/>
  <c r="Q1925" i="2" a="1"/>
  <c r="Q1925" i="2" s="1"/>
  <c r="Q1926" i="2" a="1"/>
  <c r="Q1926" i="2"/>
  <c r="Q1927" i="2" a="1"/>
  <c r="Q1927" i="2"/>
  <c r="Q1928" i="2" a="1"/>
  <c r="Q1928" i="2"/>
  <c r="Q1929" i="2" a="1"/>
  <c r="Q1929" i="2"/>
  <c r="Q1930" i="2" a="1"/>
  <c r="Q1930" i="2" s="1"/>
  <c r="Q1931" i="2" a="1"/>
  <c r="Q1931" i="2" s="1"/>
  <c r="Q1932" i="2" a="1"/>
  <c r="Q1932" i="2" s="1"/>
  <c r="Q1933" i="2" a="1"/>
  <c r="Q1933" i="2" s="1"/>
  <c r="Q1934" i="2" a="1"/>
  <c r="Q1934" i="2"/>
  <c r="Q1935" i="2" a="1"/>
  <c r="Q1935" i="2" s="1"/>
  <c r="Q1936" i="2" a="1"/>
  <c r="Q1936" i="2"/>
  <c r="Q1937" i="2" a="1"/>
  <c r="Q1937" i="2" s="1"/>
  <c r="Q1938" i="2" a="1"/>
  <c r="Q1938" i="2"/>
  <c r="Q1939" i="2" a="1"/>
  <c r="Q1939" i="2"/>
  <c r="Q1940" i="2" a="1"/>
  <c r="Q1940" i="2"/>
  <c r="Q1941" i="2" a="1"/>
  <c r="Q1941" i="2" s="1"/>
  <c r="Q1942" i="2" a="1"/>
  <c r="Q1942" i="2"/>
  <c r="Q1943" i="2" a="1"/>
  <c r="Q1943" i="2" s="1"/>
  <c r="Q1944" i="2" a="1"/>
  <c r="Q1944" i="2"/>
  <c r="Q1945" i="2" a="1"/>
  <c r="Q1945" i="2" s="1"/>
  <c r="Q1946" i="2" a="1"/>
  <c r="Q1946" i="2" s="1"/>
  <c r="Q1947" i="2" a="1"/>
  <c r="Q1947" i="2"/>
  <c r="Q1948" i="2" a="1"/>
  <c r="Q1948" i="2" s="1"/>
  <c r="Q1949" i="2" a="1"/>
  <c r="Q1949" i="2" s="1"/>
  <c r="Q1950" i="2" a="1"/>
  <c r="Q1950" i="2"/>
  <c r="Q1951" i="2" a="1"/>
  <c r="Q1951" i="2" s="1"/>
  <c r="Q1952" i="2" a="1"/>
  <c r="Q1952" i="2"/>
  <c r="Q1953" i="2" a="1"/>
  <c r="Q1953" i="2"/>
  <c r="Q1954" i="2" a="1"/>
  <c r="Q1954" i="2" s="1"/>
  <c r="Q1955" i="2" a="1"/>
  <c r="Q1955" i="2" s="1"/>
  <c r="Q1956" i="2" a="1"/>
  <c r="Q1956" i="2"/>
  <c r="Q1957" i="2" a="1"/>
  <c r="Q1957" i="2"/>
  <c r="Q1958" i="2" a="1"/>
  <c r="Q1958" i="2" s="1"/>
  <c r="Q1959" i="2" a="1"/>
  <c r="Q1959" i="2" s="1"/>
  <c r="Q1960" i="2" a="1"/>
  <c r="Q1960" i="2" s="1"/>
  <c r="Q1961" i="2" a="1"/>
  <c r="Q1961" i="2" s="1"/>
  <c r="Q1962" i="2" a="1"/>
  <c r="Q1962" i="2"/>
  <c r="Q1963" i="2" a="1"/>
  <c r="Q1963" i="2"/>
  <c r="Q1964" i="2" a="1"/>
  <c r="Q1964" i="2"/>
  <c r="Q1965" i="2" a="1"/>
  <c r="Q1965" i="2" s="1"/>
  <c r="Q1966" i="2" a="1"/>
  <c r="Q1966" i="2"/>
  <c r="Q1967" i="2" a="1"/>
  <c r="Q1967" i="2" s="1"/>
  <c r="Q1968" i="2" a="1"/>
  <c r="Q1968" i="2" s="1"/>
  <c r="Q1969" i="2" a="1"/>
  <c r="Q1969" i="2"/>
  <c r="Q1970" i="2" a="1"/>
  <c r="Q1970" i="2"/>
  <c r="Q1971" i="2" a="1"/>
  <c r="Q1971" i="2"/>
  <c r="Q1972" i="2" a="1"/>
  <c r="Q1972" i="2" s="1"/>
  <c r="Q1973" i="2" a="1"/>
  <c r="Q1973" i="2" s="1"/>
  <c r="Q1974" i="2" a="1"/>
  <c r="Q1974" i="2" s="1"/>
  <c r="Q1975" i="2" a="1"/>
  <c r="Q1975" i="2"/>
  <c r="Q1976" i="2" a="1"/>
  <c r="Q1976" i="2"/>
  <c r="Q1977" i="2" a="1"/>
  <c r="Q1977" i="2"/>
  <c r="Q1978" i="2" a="1"/>
  <c r="Q1978" i="2"/>
  <c r="Q1979" i="2" a="1"/>
  <c r="Q1979" i="2" s="1"/>
  <c r="Q1980" i="2" a="1"/>
  <c r="Q1980" i="2"/>
  <c r="Q1981" i="2" a="1"/>
  <c r="Q1981" i="2" s="1"/>
  <c r="Q1982" i="2" a="1"/>
  <c r="Q1982" i="2"/>
  <c r="Q1983" i="2" a="1"/>
  <c r="Q1983" i="2"/>
  <c r="Q1984" i="2" a="1"/>
  <c r="Q1984" i="2" s="1"/>
  <c r="Q1985" i="2" a="1"/>
  <c r="Q1985" i="2" s="1"/>
  <c r="Q1986" i="2" a="1"/>
  <c r="Q1986" i="2"/>
  <c r="Q1987" i="2" a="1"/>
  <c r="Q1987" i="2"/>
  <c r="Q1988" i="2" a="1"/>
  <c r="Q1988" i="2"/>
  <c r="Q1989" i="2" a="1"/>
  <c r="Q1989" i="2" s="1"/>
  <c r="Q1990" i="2" a="1"/>
  <c r="Q1990" i="2" s="1"/>
  <c r="Q1991" i="2" a="1"/>
  <c r="Q1991" i="2" s="1"/>
  <c r="Q1992" i="2" a="1"/>
  <c r="Q1992" i="2" s="1"/>
  <c r="Q1993" i="2" a="1"/>
  <c r="Q1993" i="2" s="1"/>
  <c r="Q1994" i="2" a="1"/>
  <c r="Q1994" i="2" s="1"/>
  <c r="Q1995" i="2" a="1"/>
  <c r="Q1995" i="2" s="1"/>
  <c r="Q1996" i="2" a="1"/>
  <c r="Q1996" i="2"/>
  <c r="Q1997" i="2" a="1"/>
  <c r="Q1997" i="2" s="1"/>
  <c r="Q1998" i="2" a="1"/>
  <c r="Q1998" i="2" s="1"/>
  <c r="Q1999" i="2" a="1"/>
  <c r="Q1999" i="2"/>
  <c r="Q2000" i="2" a="1"/>
  <c r="Q2000" i="2" s="1"/>
  <c r="Q2001" i="2" a="1"/>
  <c r="Q2001" i="2"/>
  <c r="Q2002" i="2" a="1"/>
  <c r="Q2002" i="2" s="1"/>
  <c r="Q2003" i="2" a="1"/>
  <c r="Q2003" i="2" s="1"/>
  <c r="Q2004" i="2" a="1"/>
  <c r="Q2004" i="2"/>
  <c r="Q2005" i="2" a="1"/>
  <c r="Q2005" i="2" s="1"/>
  <c r="Q2006" i="2" a="1"/>
  <c r="Q2006" i="2"/>
  <c r="Q2007" i="2" a="1"/>
  <c r="Q2007" i="2" s="1"/>
  <c r="Q2008" i="2" a="1"/>
  <c r="Q2008" i="2"/>
  <c r="Q2009" i="2" a="1"/>
  <c r="Q2009" i="2" s="1"/>
  <c r="Q2010" i="2" a="1"/>
  <c r="Q2010" i="2" s="1"/>
  <c r="Q2011" i="2" a="1"/>
  <c r="Q2011" i="2" s="1"/>
  <c r="Q2012" i="2" a="1"/>
  <c r="Q2012" i="2"/>
  <c r="Q2013" i="2" a="1"/>
  <c r="Q2013" i="2"/>
  <c r="Q2014" i="2" a="1"/>
  <c r="Q2014" i="2"/>
  <c r="Q2015" i="2" a="1"/>
  <c r="Q2015" i="2" s="1"/>
  <c r="Q2016" i="2" a="1"/>
  <c r="Q2016" i="2" s="1"/>
  <c r="Q2017" i="2" a="1"/>
  <c r="Q2017" i="2"/>
  <c r="Q2018" i="2" a="1"/>
  <c r="Q2018" i="2" s="1"/>
  <c r="Q2019" i="2" a="1"/>
  <c r="Q2019" i="2" s="1"/>
  <c r="Q2020" i="2" a="1"/>
  <c r="Q2020" i="2" s="1"/>
  <c r="Q2021" i="2" a="1"/>
  <c r="Q2021" i="2" s="1"/>
  <c r="Q2022" i="2" a="1"/>
  <c r="Q2022" i="2" s="1"/>
  <c r="Q2023" i="2" a="1"/>
  <c r="Q2023" i="2"/>
  <c r="Q2024" i="2" a="1"/>
  <c r="Q2024" i="2" s="1"/>
  <c r="Q2025" i="2" a="1"/>
  <c r="Q2025" i="2"/>
  <c r="Q2026" i="2" a="1"/>
  <c r="Q2026" i="2" s="1"/>
  <c r="Q2027" i="2" a="1"/>
  <c r="Q2027" i="2" s="1"/>
  <c r="Q2028" i="2" a="1"/>
  <c r="Q2028" i="2"/>
  <c r="Q2029" i="2" a="1"/>
  <c r="Q2029" i="2"/>
  <c r="Q2030" i="2" a="1"/>
  <c r="Q2030" i="2" s="1"/>
  <c r="Q2031" i="2" a="1"/>
  <c r="Q2031" i="2" s="1"/>
  <c r="Q2032" i="2" a="1"/>
  <c r="Q2032" i="2" s="1"/>
  <c r="Q2033" i="2" a="1"/>
  <c r="Q2033" i="2" s="1"/>
  <c r="Q2034" i="2" a="1"/>
  <c r="Q2034" i="2"/>
  <c r="Q2035" i="2" a="1"/>
  <c r="Q2035" i="2"/>
  <c r="Q2036" i="2" a="1"/>
  <c r="Q2036" i="2"/>
  <c r="Q2037" i="2" a="1"/>
  <c r="Q2037" i="2" s="1"/>
  <c r="Q2038" i="2" a="1"/>
  <c r="Q2038" i="2"/>
  <c r="Q2039" i="2" a="1"/>
  <c r="Q2039" i="2" s="1"/>
  <c r="Q2040" i="2" a="1"/>
  <c r="Q2040" i="2" s="1"/>
  <c r="Q2041" i="2" a="1"/>
  <c r="Q2041" i="2" s="1"/>
  <c r="Q2042" i="2" a="1"/>
  <c r="Q2042" i="2"/>
  <c r="Q2043" i="2" a="1"/>
  <c r="Q2043" i="2"/>
  <c r="Q2044" i="2" a="1"/>
  <c r="Q2044" i="2" s="1"/>
  <c r="Q2045" i="2" a="1"/>
  <c r="Q2045" i="2" s="1"/>
  <c r="Q2046" i="2" a="1"/>
  <c r="Q2046" i="2"/>
  <c r="Q2047" i="2" a="1"/>
  <c r="Q2047" i="2"/>
  <c r="Q2048" i="2" a="1"/>
  <c r="Q2048" i="2" s="1"/>
  <c r="Q2049" i="2" a="1"/>
  <c r="Q2049" i="2"/>
  <c r="Q2050" i="2" a="1"/>
  <c r="Q2050" i="2"/>
  <c r="Q2051" i="2" a="1"/>
  <c r="Q2051" i="2" s="1"/>
  <c r="Q2052" i="2" a="1"/>
  <c r="Q2052" i="2" s="1"/>
  <c r="Q2053" i="2" a="1"/>
  <c r="Q2053" i="2" s="1"/>
  <c r="Q2054" i="2" a="1"/>
  <c r="Q2054" i="2"/>
  <c r="Q2055" i="2" a="1"/>
  <c r="Q2055" i="2" s="1"/>
  <c r="Q2056" i="2" a="1"/>
  <c r="Q2056" i="2"/>
  <c r="Q2057" i="2" a="1"/>
  <c r="Q2057" i="2"/>
  <c r="Q2058" i="2" a="1"/>
  <c r="Q2058" i="2" s="1"/>
  <c r="Q2059" i="2" a="1"/>
  <c r="Q2059" i="2" s="1"/>
  <c r="Q2060" i="2" a="1"/>
  <c r="Q2060" i="2" s="1"/>
  <c r="Q2061" i="2" a="1"/>
  <c r="Q2061" i="2" s="1"/>
  <c r="Q2062" i="2" a="1"/>
  <c r="Q2062" i="2"/>
  <c r="Q2063" i="2" a="1"/>
  <c r="Q2063" i="2" s="1"/>
  <c r="Q2064" i="2" a="1"/>
  <c r="Q2064" i="2"/>
  <c r="Q2065" i="2" a="1"/>
  <c r="Q2065" i="2" s="1"/>
  <c r="Q2066" i="2" a="1"/>
  <c r="Q2066" i="2" s="1"/>
  <c r="Q2067" i="2" a="1"/>
  <c r="Q2067" i="2"/>
  <c r="Q2068" i="2" a="1"/>
  <c r="Q2068" i="2"/>
  <c r="Q2069" i="2" a="1"/>
  <c r="Q2069" i="2"/>
  <c r="Q2070" i="2" a="1"/>
  <c r="Q2070" i="2"/>
  <c r="Q2071" i="2" a="1"/>
  <c r="Q2071" i="2" s="1"/>
  <c r="Q2072" i="2" a="1"/>
  <c r="Q2072" i="2" s="1"/>
  <c r="Q2073" i="2" a="1"/>
  <c r="Q2073" i="2" s="1"/>
  <c r="Q2074" i="2" a="1"/>
  <c r="Q2074" i="2" s="1"/>
  <c r="Q2075" i="2" a="1"/>
  <c r="Q2075" i="2"/>
  <c r="Q2076" i="2" a="1"/>
  <c r="Q2076" i="2" s="1"/>
  <c r="Q2077" i="2" a="1"/>
  <c r="Q2077" i="2" s="1"/>
  <c r="Q2078" i="2" a="1"/>
  <c r="Q2078" i="2" s="1"/>
  <c r="Q2079" i="2" a="1"/>
  <c r="Q2079" i="2" s="1"/>
  <c r="Q2080" i="2" a="1"/>
  <c r="Q2080" i="2"/>
  <c r="Q2081" i="2" a="1"/>
  <c r="Q2081" i="2"/>
  <c r="Q2082" i="2" a="1"/>
  <c r="Q2082" i="2"/>
  <c r="Q2083" i="2" a="1"/>
  <c r="Q2083" i="2" s="1"/>
  <c r="Q2084" i="2" a="1"/>
  <c r="Q2084" i="2"/>
  <c r="Q2085" i="2" a="1"/>
  <c r="Q2085" i="2" s="1"/>
  <c r="Q2086" i="2" a="1"/>
  <c r="Q2086" i="2" s="1"/>
  <c r="Q2087" i="2" a="1"/>
  <c r="Q2087" i="2" s="1"/>
  <c r="Q2088" i="2" a="1"/>
  <c r="Q2088" i="2"/>
  <c r="Q2089" i="2" a="1"/>
  <c r="Q2089" i="2" s="1"/>
  <c r="Q2090" i="2" a="1"/>
  <c r="Q2090" i="2"/>
  <c r="Q2091" i="2" a="1"/>
  <c r="Q2091" i="2" s="1"/>
  <c r="Q2092" i="2" a="1"/>
  <c r="Q2092" i="2" s="1"/>
  <c r="Q2093" i="2" a="1"/>
  <c r="Q2093" i="2"/>
  <c r="Q2094" i="2" a="1"/>
  <c r="Q2094" i="2" s="1"/>
  <c r="Q2095" i="2" a="1"/>
  <c r="Q2095" i="2" s="1"/>
  <c r="Q2096" i="2" a="1"/>
  <c r="Q2096" i="2" s="1"/>
  <c r="Q2097" i="2" a="1"/>
  <c r="Q2097" i="2"/>
  <c r="Q2098" i="2" a="1"/>
  <c r="Q2098" i="2" s="1"/>
  <c r="Q2099" i="2" a="1"/>
  <c r="Q2099" i="2"/>
  <c r="Q2100" i="2" a="1"/>
  <c r="Q2100" i="2" s="1"/>
  <c r="Q2101" i="2" a="1"/>
  <c r="Q2101" i="2" s="1"/>
  <c r="Q2102" i="2" a="1"/>
  <c r="Q2102" i="2"/>
  <c r="Q2103" i="2" a="1"/>
  <c r="Q2103" i="2"/>
  <c r="Q2104" i="2" a="1"/>
  <c r="Q2104" i="2" s="1"/>
  <c r="Q2105" i="2" a="1"/>
  <c r="Q2105" i="2" s="1"/>
  <c r="Q2106" i="2" a="1"/>
  <c r="Q2106" i="2"/>
  <c r="Q2107" i="2" a="1"/>
  <c r="Q2107" i="2" s="1"/>
  <c r="Q2108" i="2" a="1"/>
  <c r="Q2108" i="2"/>
  <c r="Q2109" i="2" a="1"/>
  <c r="Q2109" i="2" s="1"/>
  <c r="Q2110" i="2" a="1"/>
  <c r="Q2110" i="2"/>
  <c r="Q2111" i="2" a="1"/>
  <c r="Q2111" i="2" s="1"/>
  <c r="Q2112" i="2" a="1"/>
  <c r="Q2112" i="2" s="1"/>
  <c r="Q2113" i="2" a="1"/>
  <c r="Q2113" i="2" s="1"/>
  <c r="Q2114" i="2" a="1"/>
  <c r="Q2114" i="2"/>
  <c r="Q2115" i="2" a="1"/>
  <c r="Q2115" i="2"/>
  <c r="Q2116" i="2" a="1"/>
  <c r="Q2116" i="2"/>
  <c r="Q2117" i="2" a="1"/>
  <c r="Q2117" i="2" s="1"/>
  <c r="Q2118" i="2" a="1"/>
  <c r="Q2118" i="2"/>
  <c r="Q2119" i="2" a="1"/>
  <c r="Q2119" i="2" s="1"/>
  <c r="Q2120" i="2" a="1"/>
  <c r="Q2120" i="2" s="1"/>
  <c r="Q2121" i="2" a="1"/>
  <c r="Q2121" i="2"/>
  <c r="Q2122" i="2" a="1"/>
  <c r="Q2122" i="2" s="1"/>
  <c r="Q2123" i="2" a="1"/>
  <c r="Q2123" i="2"/>
  <c r="Q2124" i="2" a="1"/>
  <c r="Q2124" i="2" s="1"/>
  <c r="Q2125" i="2" a="1"/>
  <c r="Q2125" i="2" s="1"/>
  <c r="Q2126" i="2" a="1"/>
  <c r="Q2126" i="2"/>
  <c r="Q2127" i="2" a="1"/>
  <c r="Q2127" i="2"/>
  <c r="Q2128" i="2" a="1"/>
  <c r="Q2128" i="2"/>
  <c r="Q2129" i="2" a="1"/>
  <c r="Q2129" i="2"/>
  <c r="Q2130" i="2" a="1"/>
  <c r="Q2130" i="2" s="1"/>
  <c r="Q2131" i="2" a="1"/>
  <c r="Q2131" i="2" s="1"/>
  <c r="Q2132" i="2" a="1"/>
  <c r="Q2132" i="2" s="1"/>
  <c r="Q2133" i="2" a="1"/>
  <c r="Q2133" i="2" s="1"/>
  <c r="Q2134" i="2" a="1"/>
  <c r="Q2134" i="2"/>
  <c r="Q2135" i="2" a="1"/>
  <c r="Q2135" i="2" s="1"/>
  <c r="Q2136" i="2" a="1"/>
  <c r="Q2136" i="2"/>
  <c r="Q2137" i="2" a="1"/>
  <c r="Q2137" i="2" s="1"/>
  <c r="Q2138" i="2" a="1"/>
  <c r="Q2138" i="2"/>
  <c r="Q2139" i="2" a="1"/>
  <c r="Q2139" i="2" s="1"/>
  <c r="Q2140" i="2" a="1"/>
  <c r="Q2140" i="2"/>
  <c r="Q2141" i="2" a="1"/>
  <c r="Q2141" i="2"/>
  <c r="Q2142" i="2" a="1"/>
  <c r="Q2142" i="2"/>
  <c r="Q2143" i="2" a="1"/>
  <c r="Q2143" i="2" s="1"/>
  <c r="Q2144" i="2" a="1"/>
  <c r="Q2144" i="2" s="1"/>
  <c r="Q2145" i="2" a="1"/>
  <c r="Q2145" i="2"/>
  <c r="Q2146" i="2" a="1"/>
  <c r="Q2146" i="2" s="1"/>
  <c r="Q2147" i="2" a="1"/>
  <c r="Q2147" i="2"/>
  <c r="Q2148" i="2" a="1"/>
  <c r="Q2148" i="2" s="1"/>
  <c r="Q2149" i="2" a="1"/>
  <c r="Q2149" i="2" s="1"/>
  <c r="Q2150" i="2" a="1"/>
  <c r="Q2150" i="2" s="1"/>
  <c r="Q2151" i="2" a="1"/>
  <c r="Q2151" i="2"/>
  <c r="Q2152" i="2" a="1"/>
  <c r="Q2152" i="2" s="1"/>
  <c r="Q2153" i="2" a="1"/>
  <c r="Q2153" i="2"/>
  <c r="Q2154" i="2" a="1"/>
  <c r="Q2154" i="2"/>
  <c r="Q2155" i="2" a="1"/>
  <c r="Q2155" i="2" s="1"/>
  <c r="Q2156" i="2" a="1"/>
  <c r="Q2156" i="2"/>
  <c r="Q2157" i="2" a="1"/>
  <c r="Q2157" i="2" s="1"/>
  <c r="Q2158" i="2" a="1"/>
  <c r="Q2158" i="2"/>
  <c r="Q2159" i="2" a="1"/>
  <c r="Q2159" i="2" s="1"/>
  <c r="Q2160" i="2" a="1"/>
  <c r="Q2160" i="2"/>
  <c r="Q2161" i="2" a="1"/>
  <c r="Q2161" i="2" s="1"/>
  <c r="Q2162" i="2" a="1"/>
  <c r="Q2162" i="2"/>
  <c r="Q2163" i="2" a="1"/>
  <c r="Q2163" i="2" s="1"/>
  <c r="Q2164" i="2" a="1"/>
  <c r="Q2164" i="2" s="1"/>
  <c r="Q2165" i="2" a="1"/>
  <c r="Q2165" i="2" s="1"/>
  <c r="Q2166" i="2" a="1"/>
  <c r="Q2166" i="2"/>
  <c r="Q2167" i="2" a="1"/>
  <c r="Q2167" i="2" s="1"/>
  <c r="Q2168" i="2" a="1"/>
  <c r="Q2168" i="2" s="1"/>
  <c r="Q2169" i="2" a="1"/>
  <c r="Q2169" i="2"/>
  <c r="Q2170" i="2" a="1"/>
  <c r="Q2170" i="2" s="1"/>
  <c r="Q2171" i="2" a="1"/>
  <c r="Q2171" i="2"/>
  <c r="Q2172" i="2" a="1"/>
  <c r="Q2172" i="2" s="1"/>
  <c r="Q2173" i="2" a="1"/>
  <c r="Q2173" i="2" s="1"/>
  <c r="Q2174" i="2" a="1"/>
  <c r="Q2174" i="2"/>
  <c r="Q2175" i="2" a="1"/>
  <c r="Q2175" i="2"/>
  <c r="Q2176" i="2" a="1"/>
  <c r="Q2176" i="2" s="1"/>
  <c r="Q2177" i="2" a="1"/>
  <c r="Q2177" i="2" s="1"/>
  <c r="Q2178" i="2" a="1"/>
  <c r="Q2178" i="2" s="1"/>
  <c r="Q2179" i="2" a="1"/>
  <c r="Q2179" i="2" s="1"/>
  <c r="Q2180" i="2" a="1"/>
  <c r="Q2180" i="2"/>
  <c r="Q2181" i="2" a="1"/>
  <c r="Q2181" i="2" s="1"/>
  <c r="Q2182" i="2" a="1"/>
  <c r="Q2182" i="2"/>
  <c r="Q2183" i="2" a="1"/>
  <c r="Q2183" i="2" s="1"/>
  <c r="Q2184" i="2" a="1"/>
  <c r="Q2184" i="2"/>
  <c r="Q2185" i="2" a="1"/>
  <c r="Q2185" i="2" s="1"/>
  <c r="Q2186" i="2" a="1"/>
  <c r="Q2186" i="2"/>
  <c r="Q2187" i="2" a="1"/>
  <c r="Q2187" i="2"/>
  <c r="Q2188" i="2" a="1"/>
  <c r="Q2188" i="2"/>
  <c r="Q2189" i="2" a="1"/>
  <c r="Q2189" i="2" s="1"/>
  <c r="Q2190" i="2" a="1"/>
  <c r="Q2190" i="2" s="1"/>
  <c r="Q2191" i="2" a="1"/>
  <c r="Q2191" i="2" s="1"/>
  <c r="Q2192" i="2" a="1"/>
  <c r="Q2192" i="2" s="1"/>
  <c r="Q2193" i="2" a="1"/>
  <c r="Q2193" i="2"/>
  <c r="Q2194" i="2" a="1"/>
  <c r="Q2194" i="2" s="1"/>
  <c r="Q2195" i="2" a="1"/>
  <c r="Q2195" i="2"/>
  <c r="Q2196" i="2" a="1"/>
  <c r="Q2196" i="2" s="1"/>
  <c r="Q2197" i="2" a="1"/>
  <c r="Q2197" i="2" s="1"/>
  <c r="Q2198" i="2" a="1"/>
  <c r="Q2198" i="2"/>
  <c r="Q2199" i="2" a="1"/>
  <c r="Q2199" i="2"/>
  <c r="Q2200" i="2" a="1"/>
  <c r="Q2200" i="2"/>
  <c r="Q2201" i="2" a="1"/>
  <c r="Q2201" i="2"/>
  <c r="Q2202" i="2" a="1"/>
  <c r="Q2202" i="2" s="1"/>
  <c r="Q2203" i="2" a="1"/>
  <c r="Q2203" i="2" s="1"/>
  <c r="Q2204" i="2" a="1"/>
  <c r="Q2204" i="2"/>
  <c r="Q2205" i="2" a="1"/>
  <c r="Q2205" i="2" s="1"/>
  <c r="Q2206" i="2" a="1"/>
  <c r="Q2206" i="2"/>
  <c r="Q2207" i="2" a="1"/>
  <c r="Q2207" i="2" s="1"/>
  <c r="Q2208" i="2" a="1"/>
  <c r="Q2208" i="2"/>
  <c r="Q2209" i="2" a="1"/>
  <c r="Q2209" i="2" s="1"/>
  <c r="Q2210" i="2" a="1"/>
  <c r="Q2210" i="2" s="1"/>
  <c r="Q2211" i="2" a="1"/>
  <c r="Q2211" i="2"/>
  <c r="Q2212" i="2" a="1"/>
  <c r="Q2212" i="2"/>
  <c r="Q2213" i="2" a="1"/>
  <c r="Q2213" i="2"/>
  <c r="Q2214" i="2" a="1"/>
  <c r="Q2214" i="2"/>
  <c r="Q2215" i="2" a="1"/>
  <c r="Q2215" i="2" s="1"/>
  <c r="Q2216" i="2" a="1"/>
  <c r="Q2216" i="2" s="1"/>
  <c r="Q2217" i="2" a="1"/>
  <c r="Q2217" i="2"/>
  <c r="Q2218" i="2" a="1"/>
  <c r="Q2218" i="2" s="1"/>
  <c r="Q2219" i="2" a="1"/>
  <c r="Q2219" i="2"/>
  <c r="Q2220" i="2" a="1"/>
  <c r="Q2220" i="2" s="1"/>
  <c r="Q2221" i="2" a="1"/>
  <c r="Q2221" i="2" s="1"/>
  <c r="Q2222" i="2" a="1"/>
  <c r="Q2222" i="2" s="1"/>
  <c r="Q2223" i="2" a="1"/>
  <c r="Q2223" i="2" s="1"/>
  <c r="Q2224" i="2" a="1"/>
  <c r="Q2224" i="2"/>
  <c r="Q2225" i="2" a="1"/>
  <c r="Q2225" i="2"/>
  <c r="Q2226" i="2" a="1"/>
  <c r="Q2226" i="2"/>
  <c r="Q2227" i="2" a="1"/>
  <c r="Q2227" i="2" s="1"/>
  <c r="Q2228" i="2" a="1"/>
  <c r="Q2228" i="2"/>
  <c r="Q2229" i="2" a="1"/>
  <c r="Q2229" i="2" s="1"/>
  <c r="Q2230" i="2" a="1"/>
  <c r="Q2230" i="2"/>
  <c r="Q2231" i="2" a="1"/>
  <c r="Q2231" i="2" s="1"/>
  <c r="Q2232" i="2" a="1"/>
  <c r="Q2232" i="2"/>
  <c r="Q2233" i="2" a="1"/>
  <c r="Q2233" i="2" s="1"/>
  <c r="Q2234" i="2" a="1"/>
  <c r="Q2234" i="2"/>
  <c r="Q2235" i="2" a="1"/>
  <c r="Q2235" i="2" s="1"/>
  <c r="Q2236" i="2" a="1"/>
  <c r="Q2236" i="2" s="1"/>
  <c r="Q2237" i="2" a="1"/>
  <c r="Q2237" i="2"/>
  <c r="Q2238" i="2" a="1"/>
  <c r="Q2238" i="2"/>
  <c r="Q2239" i="2" a="1"/>
  <c r="Q2239" i="2" s="1"/>
  <c r="Q2240" i="2" a="1"/>
  <c r="Q2240" i="2" s="1"/>
  <c r="Q2241" i="2" a="1"/>
  <c r="Q2241" i="2"/>
  <c r="Q2242" i="2" a="1"/>
  <c r="Q2242" i="2" s="1"/>
  <c r="Q2243" i="2" a="1"/>
  <c r="Q2243" i="2"/>
  <c r="Q2244" i="2" a="1"/>
  <c r="Q2244" i="2" s="1"/>
  <c r="Q2245" i="2" a="1"/>
  <c r="Q2245" i="2" s="1"/>
  <c r="Q2246" i="2" a="1"/>
  <c r="Q2246" i="2"/>
  <c r="Q2247" i="2" a="1"/>
  <c r="Q2247" i="2"/>
  <c r="Q2248" i="2" a="1"/>
  <c r="Q2248" i="2" s="1"/>
  <c r="Q2249" i="2" a="1"/>
  <c r="Q2249" i="2" s="1"/>
  <c r="Q2250" i="2" a="1"/>
  <c r="Q2250" i="2" s="1"/>
  <c r="Q2251" i="2" a="1"/>
  <c r="Q2251" i="2" s="1"/>
  <c r="Q2252" i="2" a="1"/>
  <c r="Q2252" i="2"/>
  <c r="Q2253" i="2" a="1"/>
  <c r="Q2253" i="2" s="1"/>
  <c r="Q2254" i="2" a="1"/>
  <c r="Q2254" i="2"/>
  <c r="Q2255" i="2" a="1"/>
  <c r="Q2255" i="2" s="1"/>
  <c r="Q2256" i="2" a="1"/>
  <c r="Q2256" i="2"/>
  <c r="Q2257" i="2" a="1"/>
  <c r="Q2257" i="2" s="1"/>
  <c r="Q2258" i="2" a="1"/>
  <c r="Q2258" i="2"/>
  <c r="Q2259" i="2" a="1"/>
  <c r="Q2259" i="2"/>
  <c r="Q2260" i="2" a="1"/>
  <c r="Q2260" i="2"/>
  <c r="Q2261" i="2" a="1"/>
  <c r="Q2261" i="2" s="1"/>
  <c r="Q2262" i="2" a="1"/>
  <c r="Q2262" i="2" s="1"/>
  <c r="Q2263" i="2" a="1"/>
  <c r="Q2263" i="2" s="1"/>
  <c r="Q2264" i="2" a="1"/>
  <c r="Q2264" i="2" s="1"/>
  <c r="Q2265" i="2" a="1"/>
  <c r="Q2265" i="2"/>
  <c r="Q2266" i="2" a="1"/>
  <c r="Q2266" i="2" s="1"/>
  <c r="Q2267" i="2" a="1"/>
  <c r="Q2267" i="2"/>
  <c r="Q2268" i="2" a="1"/>
  <c r="Q2268" i="2" s="1"/>
  <c r="Q2269" i="2" a="1"/>
  <c r="Q2269" i="2" s="1"/>
  <c r="Q2270" i="2" a="1"/>
  <c r="Q2270" i="2"/>
  <c r="Q2271" i="2" a="1"/>
  <c r="Q2271" i="2"/>
  <c r="Q2272" i="2" a="1"/>
  <c r="Q2272" i="2"/>
  <c r="Q2273" i="2" a="1"/>
  <c r="Q2273" i="2"/>
  <c r="Q2274" i="2" a="1"/>
  <c r="Q2274" i="2" s="1"/>
  <c r="Q2275" i="2" a="1"/>
  <c r="Q2275" i="2" s="1"/>
  <c r="Q2276" i="2" a="1"/>
  <c r="Q2276" i="2"/>
  <c r="Q2277" i="2" a="1"/>
  <c r="Q2277" i="2" s="1"/>
  <c r="Q2278" i="2" a="1"/>
  <c r="Q2278" i="2"/>
  <c r="Q2279" i="2" a="1"/>
  <c r="Q2279" i="2" s="1"/>
  <c r="Q2280" i="2" a="1"/>
  <c r="Q2280" i="2"/>
  <c r="Q2281" i="2" a="1"/>
  <c r="Q2281" i="2" s="1"/>
  <c r="Q2282" i="2" a="1"/>
  <c r="Q2282" i="2" s="1"/>
  <c r="Q2283" i="2" a="1"/>
  <c r="Q2283" i="2"/>
  <c r="Q2284" i="2" a="1"/>
  <c r="Q2284" i="2"/>
  <c r="Q2285" i="2" a="1"/>
  <c r="Q2285" i="2"/>
  <c r="Q2286" i="2" a="1"/>
  <c r="Q2286" i="2"/>
  <c r="Q2287" i="2" a="1"/>
  <c r="Q2287" i="2" s="1"/>
  <c r="Q2288" i="2" a="1"/>
  <c r="Q2288" i="2" s="1"/>
  <c r="Q2289" i="2" a="1"/>
  <c r="Q2289" i="2"/>
  <c r="Q2290" i="2" a="1"/>
  <c r="Q2290" i="2" s="1"/>
  <c r="Q2291" i="2" a="1"/>
  <c r="Q2291" i="2"/>
  <c r="Q2292" i="2" a="1"/>
  <c r="Q2292" i="2" s="1"/>
  <c r="Q2293" i="2" a="1"/>
  <c r="Q2293" i="2" s="1"/>
  <c r="Q2294" i="2" a="1"/>
  <c r="Q2294" i="2" s="1"/>
  <c r="Q2295" i="2" a="1"/>
  <c r="Q2295" i="2" s="1"/>
  <c r="Q2296" i="2" a="1"/>
  <c r="Q2296" i="2"/>
  <c r="Q2297" i="2" a="1"/>
  <c r="Q2297" i="2" s="1"/>
  <c r="Q2298" i="2" a="1"/>
  <c r="Q2298" i="2"/>
  <c r="Q2299" i="2" a="1"/>
  <c r="Q2299" i="2" s="1"/>
  <c r="Q2300" i="2" a="1"/>
  <c r="Q2300" i="2"/>
  <c r="Q2301" i="2" a="1"/>
  <c r="Q2301" i="2" s="1"/>
  <c r="Q2302" i="2" a="1"/>
  <c r="Q2302" i="2"/>
  <c r="Q2303" i="2" a="1"/>
  <c r="Q2303" i="2" s="1"/>
  <c r="Q2304" i="2" a="1"/>
  <c r="Q2304" i="2"/>
  <c r="Q2305" i="2" a="1"/>
  <c r="Q2305" i="2" s="1"/>
  <c r="Q2306" i="2" a="1"/>
  <c r="Q2306" i="2"/>
  <c r="Q2307" i="2" a="1"/>
  <c r="Q2307" i="2" s="1"/>
  <c r="Q2308" i="2" a="1"/>
  <c r="Q2308" i="2" s="1"/>
  <c r="Q2309" i="2" a="1"/>
  <c r="Q2309" i="2"/>
  <c r="Q2310" i="2" a="1"/>
  <c r="Q2310" i="2" s="1"/>
  <c r="Q2311" i="2" a="1"/>
  <c r="Q2311" i="2" s="1"/>
  <c r="Q2312" i="2" a="1"/>
  <c r="Q2312" i="2" s="1"/>
  <c r="Q2313" i="2" a="1"/>
  <c r="Q2313" i="2"/>
  <c r="Q2314" i="2" a="1"/>
  <c r="Q2314" i="2" s="1"/>
  <c r="Q2315" i="2" a="1"/>
  <c r="Q2315" i="2"/>
  <c r="Q2316" i="2" a="1"/>
  <c r="Q2316" i="2" s="1"/>
  <c r="Q2317" i="2" a="1"/>
  <c r="Q2317" i="2" s="1"/>
  <c r="Q2318" i="2" a="1"/>
  <c r="Q2318" i="2"/>
  <c r="Q2319" i="2" a="1"/>
  <c r="Q2319" i="2"/>
  <c r="Q2320" i="2" a="1"/>
  <c r="Q2320" i="2" s="1"/>
  <c r="Q2321" i="2" a="1"/>
  <c r="Q2321" i="2" s="1"/>
  <c r="Q2322" i="2" a="1"/>
  <c r="Q2322" i="2"/>
  <c r="Q2323" i="2" a="1"/>
  <c r="Q2323" i="2" s="1"/>
  <c r="Q2324" i="2" a="1"/>
  <c r="Q2324" i="2"/>
  <c r="Q2325" i="2" a="1"/>
  <c r="Q2325" i="2" s="1"/>
  <c r="Q2326" i="2" a="1"/>
  <c r="Q2326" i="2"/>
  <c r="Q2327" i="2" a="1"/>
  <c r="Q2327" i="2" s="1"/>
  <c r="Q2328" i="2" a="1"/>
  <c r="Q2328" i="2"/>
  <c r="Q2329" i="2" a="1"/>
  <c r="Q2329" i="2" s="1"/>
  <c r="Q2330" i="2" a="1"/>
  <c r="Q2330" i="2" s="1"/>
  <c r="Q2331" i="2" a="1"/>
  <c r="Q2331" i="2"/>
  <c r="Q2332" i="2" a="1"/>
  <c r="Q2332" i="2"/>
  <c r="Q2333" i="2" a="1"/>
  <c r="Q2333" i="2" s="1"/>
  <c r="Q2334" i="2" a="1"/>
  <c r="Q2334" i="2" s="1"/>
  <c r="Q2335" i="2" a="1"/>
  <c r="Q2335" i="2" s="1"/>
  <c r="Q2336" i="2" a="1"/>
  <c r="Q2336" i="2" s="1"/>
  <c r="Q2337" i="2" a="1"/>
  <c r="Q2337" i="2"/>
  <c r="Q2338" i="2" a="1"/>
  <c r="Q2338" i="2" s="1"/>
  <c r="Q2339" i="2" a="1"/>
  <c r="Q2339" i="2"/>
  <c r="Q2340" i="2" a="1"/>
  <c r="Q2340" i="2"/>
  <c r="Q2341" i="2" a="1"/>
  <c r="Q2341" i="2" s="1"/>
  <c r="Q2342" i="2" a="1"/>
  <c r="Q2342" i="2"/>
  <c r="Q2343" i="2" a="1"/>
  <c r="Q2343" i="2" s="1"/>
  <c r="Q2344" i="2" a="1"/>
  <c r="Q2344" i="2"/>
  <c r="Q2345" i="2" a="1"/>
  <c r="Q2345" i="2"/>
  <c r="Q2346" i="2" a="1"/>
  <c r="Q2346" i="2" s="1"/>
  <c r="Q2347" i="2" a="1"/>
  <c r="Q2347" i="2" s="1"/>
  <c r="Q2348" i="2" a="1"/>
  <c r="Q2348" i="2"/>
  <c r="Q2349" i="2" a="1"/>
  <c r="Q2349" i="2" s="1"/>
  <c r="Q2350" i="2" a="1"/>
  <c r="Q2350" i="2"/>
  <c r="Q2351" i="2" a="1"/>
  <c r="Q2351" i="2" s="1"/>
  <c r="Q2352" i="2" a="1"/>
  <c r="Q2352" i="2"/>
  <c r="Q2353" i="2" a="1"/>
  <c r="Q2353" i="2" s="1"/>
  <c r="Q2354" i="2" a="1"/>
  <c r="Q2354" i="2" s="1"/>
  <c r="Q2355" i="2" a="1"/>
  <c r="Q2355" i="2"/>
  <c r="Q2356" i="2" a="1"/>
  <c r="Q2356" i="2" s="1"/>
  <c r="Q2357" i="2" a="1"/>
  <c r="Q2357" i="2"/>
  <c r="Q2358" i="2" a="1"/>
  <c r="Q2358" i="2"/>
  <c r="Q2359" i="2" a="1"/>
  <c r="Q2359" i="2" s="1"/>
  <c r="Q2360" i="2" a="1"/>
  <c r="Q2360" i="2"/>
  <c r="Q2361" i="2" a="1"/>
  <c r="Q2361" i="2"/>
  <c r="Q2362" i="2" a="1"/>
  <c r="Q2362" i="2" s="1"/>
  <c r="Q2363" i="2" a="1"/>
  <c r="Q2363" i="2"/>
  <c r="Q2364" i="2" a="1"/>
  <c r="Q2364" i="2" s="1"/>
  <c r="Q2365" i="2" a="1"/>
  <c r="Q2365" i="2" s="1"/>
  <c r="Q2366" i="2" a="1"/>
  <c r="Q2366" i="2" s="1"/>
  <c r="Q2367" i="2" a="1"/>
  <c r="Q2367" i="2" s="1"/>
  <c r="Q2368" i="2" a="1"/>
  <c r="Q2368" i="2"/>
  <c r="Q2369" i="2" a="1"/>
  <c r="Q2369" i="2" s="1"/>
  <c r="Q2370" i="2" a="1"/>
  <c r="Q2370" i="2"/>
  <c r="Q2371" i="2" a="1"/>
  <c r="Q2371" i="2"/>
  <c r="Q2372" i="2" a="1"/>
  <c r="Q2372" i="2" s="1"/>
  <c r="Q2373" i="2" a="1"/>
  <c r="Q2373" i="2" s="1"/>
  <c r="Q2374" i="2" a="1"/>
  <c r="Q2374" i="2"/>
  <c r="Q2375" i="2" a="1"/>
  <c r="Q2375" i="2" s="1"/>
  <c r="Q2376" i="2" a="1"/>
  <c r="Q2376" i="2"/>
  <c r="Q2377" i="2" a="1"/>
  <c r="Q2377" i="2"/>
  <c r="Q2378" i="2" a="1"/>
  <c r="Q2378" i="2" s="1"/>
  <c r="Q2379" i="2" a="1"/>
  <c r="Q2379" i="2" s="1"/>
  <c r="Q2380" i="2" a="1"/>
  <c r="Q2380" i="2"/>
  <c r="Q2381" i="2" a="1"/>
  <c r="Q2381" i="2" s="1"/>
  <c r="Q2382" i="2" a="1"/>
  <c r="Q2382" i="2"/>
  <c r="Q2383" i="2" a="1"/>
  <c r="Q2383" i="2"/>
  <c r="Q2384" i="2" a="1"/>
  <c r="Q2384" i="2" s="1"/>
  <c r="Q2385" i="2" a="1"/>
  <c r="Q2385" i="2" s="1"/>
  <c r="Q2386" i="2" a="1"/>
  <c r="Q2386" i="2"/>
  <c r="Q2387" i="2" a="1"/>
  <c r="Q2387" i="2" s="1"/>
  <c r="Q2388" i="2" a="1"/>
  <c r="Q2388" i="2"/>
  <c r="Q2389" i="2" a="1"/>
  <c r="Q2389" i="2"/>
  <c r="Q2390" i="2" a="1"/>
  <c r="Q2390" i="2" s="1"/>
  <c r="Q2391" i="2" a="1"/>
  <c r="Q2391" i="2" s="1"/>
  <c r="Q2392" i="2" a="1"/>
  <c r="Q2392" i="2"/>
  <c r="Q2393" i="2" a="1"/>
  <c r="Q2393" i="2" s="1"/>
  <c r="Q2394" i="2" a="1"/>
  <c r="Q2394" i="2"/>
  <c r="Q2395" i="2" a="1"/>
  <c r="Q2395" i="2"/>
  <c r="Q2396" i="2" a="1"/>
  <c r="Q2396" i="2" s="1"/>
  <c r="Q2397" i="2" a="1"/>
  <c r="Q2397" i="2" s="1"/>
  <c r="Q2398" i="2" a="1"/>
  <c r="Q2398" i="2"/>
  <c r="Q2399" i="2" a="1"/>
  <c r="Q2399" i="2" s="1"/>
  <c r="Q2400" i="2" a="1"/>
  <c r="Q2400" i="2"/>
  <c r="Q2401" i="2" a="1"/>
  <c r="Q2401" i="2"/>
  <c r="Q2402" i="2" a="1"/>
  <c r="Q2402" i="2" s="1"/>
  <c r="Q2403" i="2" a="1"/>
  <c r="Q2403" i="2" s="1"/>
  <c r="Q2404" i="2" a="1"/>
  <c r="Q2404" i="2"/>
  <c r="Q2405" i="2" a="1"/>
  <c r="Q2405" i="2" s="1"/>
  <c r="Q2406" i="2" a="1"/>
  <c r="Q2406" i="2"/>
  <c r="Q2407" i="2" a="1"/>
  <c r="Q2407" i="2"/>
  <c r="Q2408" i="2" a="1"/>
  <c r="Q2408" i="2" s="1"/>
  <c r="Q2409" i="2" a="1"/>
  <c r="Q2409" i="2" s="1"/>
  <c r="Q2410" i="2" a="1"/>
  <c r="Q2410" i="2"/>
  <c r="Q2411" i="2" a="1"/>
  <c r="Q2411" i="2" s="1"/>
  <c r="Q2412" i="2" a="1"/>
  <c r="Q2412" i="2"/>
  <c r="Q2413" i="2" a="1"/>
  <c r="Q2413" i="2"/>
  <c r="Q2414" i="2" a="1"/>
  <c r="Q2414" i="2" s="1"/>
  <c r="Q2415" i="2" a="1"/>
  <c r="Q2415" i="2" s="1"/>
  <c r="Q2416" i="2" a="1"/>
  <c r="Q2416" i="2"/>
  <c r="Q2417" i="2" a="1"/>
  <c r="Q2417" i="2" s="1"/>
  <c r="Q2418" i="2" a="1"/>
  <c r="Q2418" i="2"/>
  <c r="Q2419" i="2" a="1"/>
  <c r="Q2419" i="2"/>
  <c r="Q2420" i="2" a="1"/>
  <c r="Q2420" i="2" s="1"/>
  <c r="Q2421" i="2" a="1"/>
  <c r="Q2421" i="2" s="1"/>
  <c r="Q2422" i="2" a="1"/>
  <c r="Q2422" i="2"/>
  <c r="Q2423" i="2" a="1"/>
  <c r="Q2423" i="2" s="1"/>
  <c r="Q2424" i="2" a="1"/>
  <c r="Q2424" i="2"/>
  <c r="Q2425" i="2" a="1"/>
  <c r="Q2425" i="2"/>
  <c r="Q2426" i="2" a="1"/>
  <c r="Q2426" i="2" s="1"/>
  <c r="Q2427" i="2" a="1"/>
  <c r="Q2427" i="2" s="1"/>
  <c r="Q2428" i="2" a="1"/>
  <c r="Q2428" i="2"/>
  <c r="Q2429" i="2" a="1"/>
  <c r="Q2429" i="2" s="1"/>
  <c r="Q2430" i="2" a="1"/>
  <c r="Q2430" i="2"/>
  <c r="Q2431" i="2" a="1"/>
  <c r="Q2431" i="2"/>
  <c r="Q2432" i="2" a="1"/>
  <c r="Q2432" i="2" s="1"/>
  <c r="Q2433" i="2" a="1"/>
  <c r="Q2433" i="2" s="1"/>
  <c r="Q2434" i="2" a="1"/>
  <c r="Q2434" i="2"/>
  <c r="Q2435" i="2" a="1"/>
  <c r="Q2435" i="2" s="1"/>
  <c r="Q2436" i="2" a="1"/>
  <c r="Q2436" i="2"/>
  <c r="Q2437" i="2" a="1"/>
  <c r="Q2437" i="2" s="1"/>
  <c r="Q2438" i="2" a="1"/>
  <c r="Q2438" i="2" s="1"/>
  <c r="Q2439" i="2" a="1"/>
  <c r="Q2439" i="2" s="1"/>
  <c r="Q2440" i="2" a="1"/>
  <c r="Q2440" i="2"/>
  <c r="Q2441" i="2" a="1"/>
  <c r="Q2441" i="2" s="1"/>
  <c r="Q2442" i="2" a="1"/>
  <c r="Q2442" i="2"/>
  <c r="Q2443" i="2" a="1"/>
  <c r="Q2443" i="2" s="1"/>
  <c r="Q2444" i="2" a="1"/>
  <c r="Q2444" i="2" s="1"/>
  <c r="Q2445" i="2" a="1"/>
  <c r="Q2445" i="2" s="1"/>
  <c r="Q2446" i="2" a="1"/>
  <c r="Q2446" i="2" s="1"/>
  <c r="Q2447" i="2" a="1"/>
  <c r="Q2447" i="2" s="1"/>
  <c r="Q2448" i="2" a="1"/>
  <c r="Q2448" i="2"/>
  <c r="Q2449" i="2" a="1"/>
  <c r="Q2449" i="2" s="1"/>
  <c r="Q2450" i="2" a="1"/>
  <c r="Q2450" i="2" s="1"/>
  <c r="Q2451" i="2" a="1"/>
  <c r="Q2451" i="2" s="1"/>
  <c r="Q2452" i="2" a="1"/>
  <c r="Q2452" i="2" s="1"/>
  <c r="Q2453" i="2" a="1"/>
  <c r="Q2453" i="2" s="1"/>
  <c r="Q2454" i="2" a="1"/>
  <c r="Q2454" i="2"/>
  <c r="Q2455" i="2" a="1"/>
  <c r="Q2455" i="2" s="1"/>
  <c r="Q2456" i="2" a="1"/>
  <c r="Q2456" i="2" s="1"/>
  <c r="Q2457" i="2" a="1"/>
  <c r="Q2457" i="2" s="1"/>
  <c r="Q2458" i="2" a="1"/>
  <c r="Q2458" i="2" s="1"/>
  <c r="Q2459" i="2" a="1"/>
  <c r="Q2459" i="2" s="1"/>
  <c r="Q2460" i="2" a="1"/>
  <c r="Q2460" i="2"/>
  <c r="Q2461" i="2" a="1"/>
  <c r="Q2461" i="2" s="1"/>
  <c r="Q2462" i="2" a="1"/>
  <c r="Q2462" i="2" s="1"/>
  <c r="Q2463" i="2" a="1"/>
  <c r="Q2463" i="2" s="1"/>
  <c r="Q2464" i="2" a="1"/>
  <c r="Q2464" i="2" s="1"/>
  <c r="Q2465" i="2" a="1"/>
  <c r="Q2465" i="2" s="1"/>
  <c r="Q2466" i="2" a="1"/>
  <c r="Q2466" i="2"/>
  <c r="Q2467" i="2" a="1"/>
  <c r="Q2467" i="2" s="1"/>
  <c r="Q2468" i="2" a="1"/>
  <c r="Q2468" i="2" s="1"/>
  <c r="Q2469" i="2" a="1"/>
  <c r="Q2469" i="2" s="1"/>
  <c r="Q2470" i="2" a="1"/>
  <c r="Q2470" i="2" s="1"/>
  <c r="Q2471" i="2" a="1"/>
  <c r="Q2471" i="2" s="1"/>
  <c r="Q2472" i="2" a="1"/>
  <c r="Q2472" i="2"/>
  <c r="Q2473" i="2" a="1"/>
  <c r="Q2473" i="2" s="1"/>
  <c r="Q2474" i="2" a="1"/>
  <c r="Q2474" i="2" s="1"/>
  <c r="Q2475" i="2" a="1"/>
  <c r="Q2475" i="2" s="1"/>
  <c r="Q2476" i="2" a="1"/>
  <c r="Q2476" i="2" s="1"/>
  <c r="Q2477" i="2" a="1"/>
  <c r="Q2477" i="2" s="1"/>
  <c r="Q2478" i="2" a="1"/>
  <c r="Q2478" i="2"/>
  <c r="Q2479" i="2" a="1"/>
  <c r="Q2479" i="2" s="1"/>
  <c r="Q2480" i="2" a="1"/>
  <c r="Q2480" i="2" s="1"/>
  <c r="Q2481" i="2" a="1"/>
  <c r="Q2481" i="2" s="1"/>
  <c r="Q2482" i="2" a="1"/>
  <c r="Q2482" i="2" s="1"/>
  <c r="Q2483" i="2" a="1"/>
  <c r="Q2483" i="2" s="1"/>
  <c r="Q2484" i="2" a="1"/>
  <c r="Q2484" i="2"/>
  <c r="Q2485" i="2" a="1"/>
  <c r="Q2485" i="2" s="1"/>
  <c r="Q2486" i="2" a="1"/>
  <c r="Q2486" i="2" s="1"/>
  <c r="Q2487" i="2" a="1"/>
  <c r="Q2487" i="2" s="1"/>
  <c r="Q2488" i="2" a="1"/>
  <c r="Q2488" i="2" s="1"/>
  <c r="Q2489" i="2" a="1"/>
  <c r="Q2489" i="2" s="1"/>
  <c r="Q2490" i="2" a="1"/>
  <c r="Q2490" i="2"/>
  <c r="Q2491" i="2" a="1"/>
  <c r="Q2491" i="2" s="1"/>
  <c r="Q2492" i="2" a="1"/>
  <c r="Q2492" i="2" s="1"/>
  <c r="Q2493" i="2" a="1"/>
  <c r="Q2493" i="2" s="1"/>
  <c r="Q2494" i="2" a="1"/>
  <c r="Q2494" i="2" s="1"/>
  <c r="Q2495" i="2" a="1"/>
  <c r="Q2495" i="2" s="1"/>
  <c r="Q2496" i="2" a="1"/>
  <c r="Q2496" i="2"/>
  <c r="Q2497" i="2" a="1"/>
  <c r="Q2497" i="2" s="1"/>
  <c r="Q2498" i="2" a="1"/>
  <c r="Q2498" i="2" s="1"/>
  <c r="Q2499" i="2" a="1"/>
  <c r="Q2499" i="2" s="1"/>
  <c r="Q2500" i="2" a="1"/>
  <c r="Q2500" i="2" s="1"/>
  <c r="Q2501" i="2" a="1"/>
  <c r="Q2501" i="2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H28" i="2" s="1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H68" i="2" s="1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H112" i="2" s="1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H128" i="2" s="1"/>
  <c r="L129" i="2"/>
  <c r="L130" i="2"/>
  <c r="L131" i="2"/>
  <c r="L132" i="2"/>
  <c r="L133" i="2"/>
  <c r="L134" i="2"/>
  <c r="L135" i="2"/>
  <c r="L136" i="2"/>
  <c r="H136" i="2" s="1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H164" i="2" s="1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H208" i="2" s="1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H230" i="2" s="1"/>
  <c r="L231" i="2"/>
  <c r="L232" i="2"/>
  <c r="H232" i="2" s="1"/>
  <c r="L233" i="2"/>
  <c r="L234" i="2"/>
  <c r="L235" i="2"/>
  <c r="L236" i="2"/>
  <c r="H236" i="2" s="1"/>
  <c r="L237" i="2"/>
  <c r="L238" i="2"/>
  <c r="L239" i="2"/>
  <c r="L240" i="2"/>
  <c r="L241" i="2"/>
  <c r="L242" i="2"/>
  <c r="L243" i="2"/>
  <c r="L244" i="2"/>
  <c r="H244" i="2" s="1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H268" i="2" s="1"/>
  <c r="L269" i="2"/>
  <c r="L270" i="2"/>
  <c r="L271" i="2"/>
  <c r="L272" i="2"/>
  <c r="H272" i="2" s="1"/>
  <c r="L273" i="2"/>
  <c r="L274" i="2"/>
  <c r="L275" i="2"/>
  <c r="L276" i="2"/>
  <c r="L277" i="2"/>
  <c r="L278" i="2"/>
  <c r="L279" i="2"/>
  <c r="L280" i="2"/>
  <c r="H280" i="2" s="1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H344" i="2" s="1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H388" i="2" s="1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H404" i="2" s="1"/>
  <c r="L405" i="2"/>
  <c r="L406" i="2"/>
  <c r="L407" i="2"/>
  <c r="L408" i="2"/>
  <c r="L409" i="2"/>
  <c r="L410" i="2"/>
  <c r="L411" i="2"/>
  <c r="L412" i="2"/>
  <c r="H412" i="2" s="1"/>
  <c r="L413" i="2"/>
  <c r="L414" i="2"/>
  <c r="L415" i="2"/>
  <c r="L416" i="2"/>
  <c r="H416" i="2" s="1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H440" i="2" s="1"/>
  <c r="L441" i="2"/>
  <c r="L442" i="2"/>
  <c r="L443" i="2"/>
  <c r="L444" i="2"/>
  <c r="L445" i="2"/>
  <c r="L446" i="2"/>
  <c r="L447" i="2"/>
  <c r="L448" i="2"/>
  <c r="L449" i="2"/>
  <c r="L450" i="2"/>
  <c r="L451" i="2"/>
  <c r="L452" i="2"/>
  <c r="H452" i="2" s="1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H484" i="2" s="1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H512" i="2" s="1"/>
  <c r="L513" i="2"/>
  <c r="L514" i="2"/>
  <c r="L515" i="2"/>
  <c r="L516" i="2"/>
  <c r="L517" i="2"/>
  <c r="L518" i="2"/>
  <c r="L519" i="2"/>
  <c r="L520" i="2"/>
  <c r="H520" i="2" s="1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H548" i="2" s="1"/>
  <c r="L549" i="2"/>
  <c r="L550" i="2"/>
  <c r="L551" i="2"/>
  <c r="L552" i="2"/>
  <c r="L553" i="2"/>
  <c r="L554" i="2"/>
  <c r="L555" i="2"/>
  <c r="L556" i="2"/>
  <c r="H556" i="2" s="1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H596" i="2" s="1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H620" i="2" s="1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H664" i="2" s="1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H686" i="2" s="1"/>
  <c r="L687" i="2"/>
  <c r="L688" i="2"/>
  <c r="H688" i="2" s="1"/>
  <c r="L689" i="2"/>
  <c r="L690" i="2"/>
  <c r="L691" i="2"/>
  <c r="L692" i="2"/>
  <c r="H692" i="2" s="1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H716" i="2" s="1"/>
  <c r="L717" i="2"/>
  <c r="L718" i="2"/>
  <c r="L719" i="2"/>
  <c r="L720" i="2"/>
  <c r="L721" i="2"/>
  <c r="L722" i="2"/>
  <c r="L723" i="2"/>
  <c r="H723" i="2" s="1"/>
  <c r="L724" i="2"/>
  <c r="L725" i="2"/>
  <c r="L726" i="2"/>
  <c r="L727" i="2"/>
  <c r="L728" i="2"/>
  <c r="H728" i="2" s="1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H760" i="2" s="1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H818" i="2" s="1"/>
  <c r="L819" i="2"/>
  <c r="L820" i="2"/>
  <c r="O820" i="2" s="1"/>
  <c r="P820" i="2" s="1"/>
  <c r="L821" i="2"/>
  <c r="L822" i="2"/>
  <c r="L823" i="2"/>
  <c r="L824" i="2"/>
  <c r="L825" i="2"/>
  <c r="L826" i="2"/>
  <c r="L827" i="2"/>
  <c r="L828" i="2"/>
  <c r="L829" i="2"/>
  <c r="L830" i="2"/>
  <c r="L831" i="2"/>
  <c r="L832" i="2"/>
  <c r="H832" i="2" s="1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H856" i="2" s="1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H872" i="2" s="1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O928" i="2" s="1"/>
  <c r="P928" i="2" s="1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H964" i="2" s="1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H992" i="2" s="1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H1004" i="2" s="1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H1082" i="2" s="1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H1192" i="2" s="1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H1226" i="2" s="1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H1286" i="2" s="1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H1370" i="2" s="1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H1406" i="2" s="1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H1432" i="2" s="1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H1538" i="2" s="1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H1552" i="2" s="1"/>
  <c r="L1553" i="2"/>
  <c r="L1554" i="2"/>
  <c r="L1555" i="2"/>
  <c r="L1556" i="2"/>
  <c r="L1557" i="2"/>
  <c r="L1558" i="2"/>
  <c r="L1559" i="2"/>
  <c r="L1560" i="2"/>
  <c r="L1561" i="2"/>
  <c r="L1562" i="2"/>
  <c r="H1562" i="2" s="1"/>
  <c r="L1563" i="2"/>
  <c r="L1564" i="2"/>
  <c r="H1564" i="2" s="1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H1658" i="2" s="1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H1694" i="2" s="1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H1718" i="2" s="1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H1850" i="2" s="1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H1898" i="2" s="1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H1994" i="2" s="1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H2090" i="2" s="1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H2126" i="2" s="1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H2162" i="2" s="1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H2176" i="2" s="1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H2210" i="2" s="1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O2224" i="2" s="1"/>
  <c r="P2224" i="2" s="1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H2260" i="2" s="1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H2284" i="2" s="1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H2318" i="2" s="1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H2352" i="2" s="1"/>
  <c r="L2353" i="2"/>
  <c r="L2354" i="2"/>
  <c r="L2355" i="2"/>
  <c r="L2356" i="2"/>
  <c r="H2356" i="2" s="1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H2380" i="2" s="1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O2428" i="2" s="1"/>
  <c r="P2428" i="2" s="1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H2440" i="2" s="1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O2476" i="2" s="1"/>
  <c r="P2476" i="2" s="1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H2498" i="2" s="1"/>
  <c r="L2499" i="2"/>
  <c r="L2500" i="2"/>
  <c r="L25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H61" i="2"/>
  <c r="H140" i="2"/>
  <c r="H304" i="2"/>
  <c r="H373" i="2"/>
  <c r="H544" i="2"/>
  <c r="H554" i="2"/>
  <c r="H788" i="2"/>
  <c r="H1034" i="2"/>
  <c r="H1178" i="2"/>
  <c r="H1202" i="2"/>
  <c r="H1262" i="2"/>
  <c r="H1298" i="2"/>
  <c r="H1322" i="2"/>
  <c r="H1348" i="2"/>
  <c r="H1396" i="2"/>
  <c r="H1430" i="2"/>
  <c r="H1502" i="2"/>
  <c r="H1586" i="2"/>
  <c r="H1624" i="2"/>
  <c r="H1682" i="2"/>
  <c r="H1696" i="2"/>
  <c r="H1838" i="2"/>
  <c r="H1862" i="2"/>
  <c r="H1934" i="2"/>
  <c r="H1959" i="2"/>
  <c r="H1970" i="2"/>
  <c r="H2018" i="2"/>
  <c r="H2114" i="2"/>
  <c r="H2138" i="2"/>
  <c r="H2222" i="2"/>
  <c r="H2246" i="2"/>
  <c r="H2282" i="2"/>
  <c r="H2296" i="2"/>
  <c r="H2342" i="2"/>
  <c r="H2354" i="2"/>
  <c r="H2390" i="2"/>
  <c r="H2414" i="2"/>
  <c r="H2438" i="2"/>
  <c r="H2452" i="2"/>
  <c r="H2486" i="2"/>
  <c r="O3" i="2" l="1"/>
  <c r="P3" i="2" s="1"/>
  <c r="O1429" i="2"/>
  <c r="P1429" i="2" s="1"/>
  <c r="O973" i="2"/>
  <c r="P973" i="2" s="1"/>
  <c r="H928" i="2"/>
  <c r="O2351" i="2"/>
  <c r="P2351" i="2" s="1"/>
  <c r="O1907" i="2"/>
  <c r="P1907" i="2" s="1"/>
  <c r="H820" i="2"/>
  <c r="O2" i="2"/>
  <c r="P2" i="2" s="1"/>
  <c r="H2476" i="2"/>
  <c r="H2224" i="2"/>
  <c r="O2096" i="2"/>
  <c r="P2096" i="2" s="1"/>
  <c r="O1268" i="2"/>
  <c r="P1268" i="2" s="1"/>
  <c r="H2" i="2"/>
  <c r="H1429" i="2"/>
  <c r="H2428" i="2"/>
  <c r="H2351" i="2"/>
  <c r="O2289" i="2"/>
  <c r="P2289" i="2" s="1"/>
  <c r="O2145" i="2"/>
  <c r="P2145" i="2" s="1"/>
  <c r="O1677" i="2"/>
  <c r="P1677" i="2" s="1"/>
  <c r="H2096" i="2"/>
  <c r="O2217" i="2"/>
  <c r="P2217" i="2" s="1"/>
  <c r="H2431" i="2"/>
  <c r="O2431" i="2"/>
  <c r="P2431" i="2" s="1"/>
  <c r="H2347" i="2"/>
  <c r="O2347" i="2"/>
  <c r="P2347" i="2" s="1"/>
  <c r="H2239" i="2"/>
  <c r="O2239" i="2"/>
  <c r="P2239" i="2" s="1"/>
  <c r="H2215" i="2"/>
  <c r="O2215" i="2"/>
  <c r="P2215" i="2" s="1"/>
  <c r="H2203" i="2"/>
  <c r="O2203" i="2"/>
  <c r="P2203" i="2" s="1"/>
  <c r="H2167" i="2"/>
  <c r="O2167" i="2"/>
  <c r="P2167" i="2" s="1"/>
  <c r="H2083" i="2"/>
  <c r="O2083" i="2"/>
  <c r="P2083" i="2" s="1"/>
  <c r="H2047" i="2"/>
  <c r="O2047" i="2"/>
  <c r="P2047" i="2" s="1"/>
  <c r="H1975" i="2"/>
  <c r="O1975" i="2"/>
  <c r="P1975" i="2" s="1"/>
  <c r="H1891" i="2"/>
  <c r="O1891" i="2"/>
  <c r="P1891" i="2" s="1"/>
  <c r="H1843" i="2"/>
  <c r="O1843" i="2"/>
  <c r="P1843" i="2" s="1"/>
  <c r="H2321" i="2"/>
  <c r="O2321" i="2"/>
  <c r="P2321" i="2" s="1"/>
  <c r="H2309" i="2"/>
  <c r="O2309" i="2"/>
  <c r="P2309" i="2" s="1"/>
  <c r="H2225" i="2"/>
  <c r="O2225" i="2"/>
  <c r="P2225" i="2" s="1"/>
  <c r="H2213" i="2"/>
  <c r="O2213" i="2"/>
  <c r="P2213" i="2" s="1"/>
  <c r="H2141" i="2"/>
  <c r="O2141" i="2"/>
  <c r="P2141" i="2" s="1"/>
  <c r="H2129" i="2"/>
  <c r="O2129" i="2"/>
  <c r="P2129" i="2" s="1"/>
  <c r="H2057" i="2"/>
  <c r="O2057" i="2"/>
  <c r="P2057" i="2" s="1"/>
  <c r="H2045" i="2"/>
  <c r="O2045" i="2"/>
  <c r="P2045" i="2" s="1"/>
  <c r="H2021" i="2"/>
  <c r="O2021" i="2"/>
  <c r="P2021" i="2" s="1"/>
  <c r="H1913" i="2"/>
  <c r="O1913" i="2"/>
  <c r="P1913" i="2" s="1"/>
  <c r="H1901" i="2"/>
  <c r="O1901" i="2"/>
  <c r="P1901" i="2" s="1"/>
  <c r="H1889" i="2"/>
  <c r="O1889" i="2"/>
  <c r="P1889" i="2" s="1"/>
  <c r="H1853" i="2"/>
  <c r="O1853" i="2"/>
  <c r="P1853" i="2" s="1"/>
  <c r="H2497" i="2"/>
  <c r="O2497" i="2"/>
  <c r="P2497" i="2" s="1"/>
  <c r="H2473" i="2"/>
  <c r="O2473" i="2"/>
  <c r="P2473" i="2" s="1"/>
  <c r="H2425" i="2"/>
  <c r="O2425" i="2"/>
  <c r="P2425" i="2" s="1"/>
  <c r="H2353" i="2"/>
  <c r="O2353" i="2"/>
  <c r="P2353" i="2" s="1"/>
  <c r="H2329" i="2"/>
  <c r="O2329" i="2"/>
  <c r="P2329" i="2" s="1"/>
  <c r="H2305" i="2"/>
  <c r="O2305" i="2"/>
  <c r="P2305" i="2" s="1"/>
  <c r="H2281" i="2"/>
  <c r="O2281" i="2"/>
  <c r="P2281" i="2" s="1"/>
  <c r="H2233" i="2"/>
  <c r="O2233" i="2"/>
  <c r="P2233" i="2" s="1"/>
  <c r="H2209" i="2"/>
  <c r="O2209" i="2"/>
  <c r="P2209" i="2" s="1"/>
  <c r="H2197" i="2"/>
  <c r="O2197" i="2"/>
  <c r="P2197" i="2" s="1"/>
  <c r="H2161" i="2"/>
  <c r="O2161" i="2"/>
  <c r="P2161" i="2" s="1"/>
  <c r="H2125" i="2"/>
  <c r="O2125" i="2"/>
  <c r="P2125" i="2" s="1"/>
  <c r="H2113" i="2"/>
  <c r="O2113" i="2"/>
  <c r="P2113" i="2" s="1"/>
  <c r="H2101" i="2"/>
  <c r="O2101" i="2"/>
  <c r="P2101" i="2" s="1"/>
  <c r="H2089" i="2"/>
  <c r="O2089" i="2"/>
  <c r="P2089" i="2" s="1"/>
  <c r="H2077" i="2"/>
  <c r="O2077" i="2"/>
  <c r="P2077" i="2" s="1"/>
  <c r="H2065" i="2"/>
  <c r="O2065" i="2"/>
  <c r="P2065" i="2" s="1"/>
  <c r="H2041" i="2"/>
  <c r="O2041" i="2"/>
  <c r="P2041" i="2" s="1"/>
  <c r="H1981" i="2"/>
  <c r="O1981" i="2"/>
  <c r="P1981" i="2" s="1"/>
  <c r="H1957" i="2"/>
  <c r="O1957" i="2"/>
  <c r="P1957" i="2" s="1"/>
  <c r="H1945" i="2"/>
  <c r="O1945" i="2"/>
  <c r="P1945" i="2" s="1"/>
  <c r="H1933" i="2"/>
  <c r="O1933" i="2"/>
  <c r="P1933" i="2" s="1"/>
  <c r="H1921" i="2"/>
  <c r="O1921" i="2"/>
  <c r="P1921" i="2" s="1"/>
  <c r="H1873" i="2"/>
  <c r="O1873" i="2"/>
  <c r="P1873" i="2" s="1"/>
  <c r="H1825" i="2"/>
  <c r="O1825" i="2"/>
  <c r="P1825" i="2" s="1"/>
  <c r="H1813" i="2"/>
  <c r="O1813" i="2"/>
  <c r="P1813" i="2" s="1"/>
  <c r="H1789" i="2"/>
  <c r="O1789" i="2"/>
  <c r="P1789" i="2" s="1"/>
  <c r="H1753" i="2"/>
  <c r="O1753" i="2"/>
  <c r="P1753" i="2" s="1"/>
  <c r="H1741" i="2"/>
  <c r="O1741" i="2"/>
  <c r="P1741" i="2" s="1"/>
  <c r="H1705" i="2"/>
  <c r="O1705" i="2"/>
  <c r="P1705" i="2" s="1"/>
  <c r="H1657" i="2"/>
  <c r="O1657" i="2"/>
  <c r="P1657" i="2" s="1"/>
  <c r="H1621" i="2"/>
  <c r="O1621" i="2"/>
  <c r="P1621" i="2" s="1"/>
  <c r="H1609" i="2"/>
  <c r="O1609" i="2"/>
  <c r="P1609" i="2" s="1"/>
  <c r="H1597" i="2"/>
  <c r="O1597" i="2"/>
  <c r="P1597" i="2" s="1"/>
  <c r="H1537" i="2"/>
  <c r="O1537" i="2"/>
  <c r="P1537" i="2" s="1"/>
  <c r="H1525" i="2"/>
  <c r="O1525" i="2"/>
  <c r="P1525" i="2" s="1"/>
  <c r="H1513" i="2"/>
  <c r="O1513" i="2"/>
  <c r="P1513" i="2" s="1"/>
  <c r="H1501" i="2"/>
  <c r="O1501" i="2"/>
  <c r="P1501" i="2" s="1"/>
  <c r="H1453" i="2"/>
  <c r="O1453" i="2"/>
  <c r="P1453" i="2" s="1"/>
  <c r="H1357" i="2"/>
  <c r="O1357" i="2"/>
  <c r="P1357" i="2" s="1"/>
  <c r="H1309" i="2"/>
  <c r="O1309" i="2"/>
  <c r="P1309" i="2" s="1"/>
  <c r="H1297" i="2"/>
  <c r="O1297" i="2"/>
  <c r="P1297" i="2" s="1"/>
  <c r="H1273" i="2"/>
  <c r="O1273" i="2"/>
  <c r="P1273" i="2" s="1"/>
  <c r="H1261" i="2"/>
  <c r="O1261" i="2"/>
  <c r="P1261" i="2" s="1"/>
  <c r="H1249" i="2"/>
  <c r="O1249" i="2"/>
  <c r="P1249" i="2" s="1"/>
  <c r="H1201" i="2"/>
  <c r="O1201" i="2"/>
  <c r="P1201" i="2" s="1"/>
  <c r="H1189" i="2"/>
  <c r="O1189" i="2"/>
  <c r="P1189" i="2" s="1"/>
  <c r="O1165" i="2"/>
  <c r="P1165" i="2" s="1"/>
  <c r="H1165" i="2"/>
  <c r="H1153" i="2"/>
  <c r="O1153" i="2"/>
  <c r="P1153" i="2" s="1"/>
  <c r="H1141" i="2"/>
  <c r="O1141" i="2"/>
  <c r="P1141" i="2" s="1"/>
  <c r="H1105" i="2"/>
  <c r="O1105" i="2"/>
  <c r="P1105" i="2" s="1"/>
  <c r="H1069" i="2"/>
  <c r="O1069" i="2"/>
  <c r="P1069" i="2" s="1"/>
  <c r="H1033" i="2"/>
  <c r="O1033" i="2"/>
  <c r="P1033" i="2" s="1"/>
  <c r="H1021" i="2"/>
  <c r="O1021" i="2"/>
  <c r="P1021" i="2" s="1"/>
  <c r="H1009" i="2"/>
  <c r="O1009" i="2"/>
  <c r="P1009" i="2" s="1"/>
  <c r="H949" i="2"/>
  <c r="O949" i="2"/>
  <c r="P949" i="2" s="1"/>
  <c r="H901" i="2"/>
  <c r="O901" i="2"/>
  <c r="P901" i="2" s="1"/>
  <c r="H817" i="2"/>
  <c r="O817" i="2"/>
  <c r="P817" i="2" s="1"/>
  <c r="H781" i="2"/>
  <c r="O781" i="2"/>
  <c r="P781" i="2" s="1"/>
  <c r="H769" i="2"/>
  <c r="O769" i="2"/>
  <c r="P769" i="2" s="1"/>
  <c r="H733" i="2"/>
  <c r="O733" i="2"/>
  <c r="P733" i="2" s="1"/>
  <c r="H721" i="2"/>
  <c r="O721" i="2"/>
  <c r="P721" i="2" s="1"/>
  <c r="H637" i="2"/>
  <c r="O637" i="2"/>
  <c r="P637" i="2" s="1"/>
  <c r="H625" i="2"/>
  <c r="O625" i="2"/>
  <c r="P625" i="2" s="1"/>
  <c r="H601" i="2"/>
  <c r="O601" i="2"/>
  <c r="P601" i="2" s="1"/>
  <c r="H481" i="2"/>
  <c r="O481" i="2"/>
  <c r="P481" i="2" s="1"/>
  <c r="H469" i="2"/>
  <c r="O469" i="2"/>
  <c r="P469" i="2" s="1"/>
  <c r="H2494" i="2"/>
  <c r="O2494" i="2"/>
  <c r="P2494" i="2" s="1"/>
  <c r="H2482" i="2"/>
  <c r="O2482" i="2"/>
  <c r="P2482" i="2" s="1"/>
  <c r="H2470" i="2"/>
  <c r="O2470" i="2"/>
  <c r="P2470" i="2" s="1"/>
  <c r="H2458" i="2"/>
  <c r="O2458" i="2"/>
  <c r="P2458" i="2" s="1"/>
  <c r="H2446" i="2"/>
  <c r="O2446" i="2"/>
  <c r="P2446" i="2" s="1"/>
  <c r="H2434" i="2"/>
  <c r="O2434" i="2"/>
  <c r="P2434" i="2" s="1"/>
  <c r="H2422" i="2"/>
  <c r="O2422" i="2"/>
  <c r="P2422" i="2" s="1"/>
  <c r="H2410" i="2"/>
  <c r="O2410" i="2"/>
  <c r="P2410" i="2" s="1"/>
  <c r="H2398" i="2"/>
  <c r="O2398" i="2"/>
  <c r="P2398" i="2" s="1"/>
  <c r="H2386" i="2"/>
  <c r="O2386" i="2"/>
  <c r="P2386" i="2" s="1"/>
  <c r="H2374" i="2"/>
  <c r="O2374" i="2"/>
  <c r="P2374" i="2" s="1"/>
  <c r="H2362" i="2"/>
  <c r="O2362" i="2"/>
  <c r="P2362" i="2" s="1"/>
  <c r="H2350" i="2"/>
  <c r="O2350" i="2"/>
  <c r="P2350" i="2" s="1"/>
  <c r="H2338" i="2"/>
  <c r="O2338" i="2"/>
  <c r="P2338" i="2" s="1"/>
  <c r="H2326" i="2"/>
  <c r="O2326" i="2"/>
  <c r="P2326" i="2" s="1"/>
  <c r="H2314" i="2"/>
  <c r="O2314" i="2"/>
  <c r="P2314" i="2" s="1"/>
  <c r="H2302" i="2"/>
  <c r="O2302" i="2"/>
  <c r="P2302" i="2" s="1"/>
  <c r="H2290" i="2"/>
  <c r="O2290" i="2"/>
  <c r="P2290" i="2" s="1"/>
  <c r="H2278" i="2"/>
  <c r="O2278" i="2"/>
  <c r="P2278" i="2" s="1"/>
  <c r="H2266" i="2"/>
  <c r="O2266" i="2"/>
  <c r="P2266" i="2" s="1"/>
  <c r="H2254" i="2"/>
  <c r="O2254" i="2"/>
  <c r="P2254" i="2" s="1"/>
  <c r="H2242" i="2"/>
  <c r="O2242" i="2"/>
  <c r="P2242" i="2" s="1"/>
  <c r="H2230" i="2"/>
  <c r="O2230" i="2"/>
  <c r="P2230" i="2" s="1"/>
  <c r="H2218" i="2"/>
  <c r="O2218" i="2"/>
  <c r="P2218" i="2" s="1"/>
  <c r="H2206" i="2"/>
  <c r="O2206" i="2"/>
  <c r="P2206" i="2" s="1"/>
  <c r="H2194" i="2"/>
  <c r="O2194" i="2"/>
  <c r="P2194" i="2" s="1"/>
  <c r="H2182" i="2"/>
  <c r="O2182" i="2"/>
  <c r="P2182" i="2" s="1"/>
  <c r="H2170" i="2"/>
  <c r="O2170" i="2"/>
  <c r="P2170" i="2" s="1"/>
  <c r="H2158" i="2"/>
  <c r="O2158" i="2"/>
  <c r="P2158" i="2" s="1"/>
  <c r="H2146" i="2"/>
  <c r="O2146" i="2"/>
  <c r="P2146" i="2" s="1"/>
  <c r="H2134" i="2"/>
  <c r="O2134" i="2"/>
  <c r="P2134" i="2" s="1"/>
  <c r="H2122" i="2"/>
  <c r="O2122" i="2"/>
  <c r="P2122" i="2" s="1"/>
  <c r="H2110" i="2"/>
  <c r="O2110" i="2"/>
  <c r="P2110" i="2" s="1"/>
  <c r="H2098" i="2"/>
  <c r="O2098" i="2"/>
  <c r="P2098" i="2" s="1"/>
  <c r="H2086" i="2"/>
  <c r="O2086" i="2"/>
  <c r="P2086" i="2" s="1"/>
  <c r="H2074" i="2"/>
  <c r="O2074" i="2"/>
  <c r="P2074" i="2" s="1"/>
  <c r="H2062" i="2"/>
  <c r="O2062" i="2"/>
  <c r="P2062" i="2" s="1"/>
  <c r="H2050" i="2"/>
  <c r="O2050" i="2"/>
  <c r="P2050" i="2" s="1"/>
  <c r="H2038" i="2"/>
  <c r="O2038" i="2"/>
  <c r="P2038" i="2" s="1"/>
  <c r="H2026" i="2"/>
  <c r="O2026" i="2"/>
  <c r="P2026" i="2" s="1"/>
  <c r="H2014" i="2"/>
  <c r="O2014" i="2"/>
  <c r="P2014" i="2" s="1"/>
  <c r="H2002" i="2"/>
  <c r="O2002" i="2"/>
  <c r="P2002" i="2" s="1"/>
  <c r="H1990" i="2"/>
  <c r="O1990" i="2"/>
  <c r="P1990" i="2" s="1"/>
  <c r="H1978" i="2"/>
  <c r="O1978" i="2"/>
  <c r="P1978" i="2" s="1"/>
  <c r="H1966" i="2"/>
  <c r="O1966" i="2"/>
  <c r="P1966" i="2" s="1"/>
  <c r="H1954" i="2"/>
  <c r="O1954" i="2"/>
  <c r="P1954" i="2" s="1"/>
  <c r="H1942" i="2"/>
  <c r="O1942" i="2"/>
  <c r="P1942" i="2" s="1"/>
  <c r="H1930" i="2"/>
  <c r="O1930" i="2"/>
  <c r="P1930" i="2" s="1"/>
  <c r="H1918" i="2"/>
  <c r="O1918" i="2"/>
  <c r="P1918" i="2" s="1"/>
  <c r="H1906" i="2"/>
  <c r="O1906" i="2"/>
  <c r="P1906" i="2" s="1"/>
  <c r="H1894" i="2"/>
  <c r="O1894" i="2"/>
  <c r="P1894" i="2" s="1"/>
  <c r="H1882" i="2"/>
  <c r="O1882" i="2"/>
  <c r="P1882" i="2" s="1"/>
  <c r="H1870" i="2"/>
  <c r="O1870" i="2"/>
  <c r="P1870" i="2" s="1"/>
  <c r="H1858" i="2"/>
  <c r="O1858" i="2"/>
  <c r="P1858" i="2" s="1"/>
  <c r="H1846" i="2"/>
  <c r="O1846" i="2"/>
  <c r="P1846" i="2" s="1"/>
  <c r="H1834" i="2"/>
  <c r="O1834" i="2"/>
  <c r="P1834" i="2" s="1"/>
  <c r="H1822" i="2"/>
  <c r="O1822" i="2"/>
  <c r="P1822" i="2" s="1"/>
  <c r="H1810" i="2"/>
  <c r="O1810" i="2"/>
  <c r="P1810" i="2" s="1"/>
  <c r="H1798" i="2"/>
  <c r="O1798" i="2"/>
  <c r="P1798" i="2" s="1"/>
  <c r="H1786" i="2"/>
  <c r="O1786" i="2"/>
  <c r="P1786" i="2" s="1"/>
  <c r="H1774" i="2"/>
  <c r="O1774" i="2"/>
  <c r="P1774" i="2" s="1"/>
  <c r="H1762" i="2"/>
  <c r="O1762" i="2"/>
  <c r="P1762" i="2" s="1"/>
  <c r="H1750" i="2"/>
  <c r="O1750" i="2"/>
  <c r="P1750" i="2" s="1"/>
  <c r="H1738" i="2"/>
  <c r="O1738" i="2"/>
  <c r="P1738" i="2" s="1"/>
  <c r="H1726" i="2"/>
  <c r="O1726" i="2"/>
  <c r="P1726" i="2" s="1"/>
  <c r="H1714" i="2"/>
  <c r="O1714" i="2"/>
  <c r="P1714" i="2" s="1"/>
  <c r="H1702" i="2"/>
  <c r="O1702" i="2"/>
  <c r="P1702" i="2" s="1"/>
  <c r="H1690" i="2"/>
  <c r="O1690" i="2"/>
  <c r="P1690" i="2" s="1"/>
  <c r="H1678" i="2"/>
  <c r="O1678" i="2"/>
  <c r="P1678" i="2" s="1"/>
  <c r="H1666" i="2"/>
  <c r="O1666" i="2"/>
  <c r="P1666" i="2" s="1"/>
  <c r="H1654" i="2"/>
  <c r="O1654" i="2"/>
  <c r="P1654" i="2" s="1"/>
  <c r="H1642" i="2"/>
  <c r="O1642" i="2"/>
  <c r="P1642" i="2" s="1"/>
  <c r="H1630" i="2"/>
  <c r="O1630" i="2"/>
  <c r="P1630" i="2" s="1"/>
  <c r="H1618" i="2"/>
  <c r="O1618" i="2"/>
  <c r="P1618" i="2" s="1"/>
  <c r="H1606" i="2"/>
  <c r="O1606" i="2"/>
  <c r="P1606" i="2" s="1"/>
  <c r="H1594" i="2"/>
  <c r="O1594" i="2"/>
  <c r="P1594" i="2" s="1"/>
  <c r="H1582" i="2"/>
  <c r="O1582" i="2"/>
  <c r="P1582" i="2" s="1"/>
  <c r="H1570" i="2"/>
  <c r="O1570" i="2"/>
  <c r="P1570" i="2" s="1"/>
  <c r="H1558" i="2"/>
  <c r="O1558" i="2"/>
  <c r="P1558" i="2" s="1"/>
  <c r="H1546" i="2"/>
  <c r="O1546" i="2"/>
  <c r="P1546" i="2" s="1"/>
  <c r="H1534" i="2"/>
  <c r="O1534" i="2"/>
  <c r="P1534" i="2" s="1"/>
  <c r="H1522" i="2"/>
  <c r="O1522" i="2"/>
  <c r="P1522" i="2" s="1"/>
  <c r="H1510" i="2"/>
  <c r="O1510" i="2"/>
  <c r="P1510" i="2" s="1"/>
  <c r="H1498" i="2"/>
  <c r="O1498" i="2"/>
  <c r="P1498" i="2" s="1"/>
  <c r="H1486" i="2"/>
  <c r="O1486" i="2"/>
  <c r="P1486" i="2" s="1"/>
  <c r="H1474" i="2"/>
  <c r="O1474" i="2"/>
  <c r="P1474" i="2" s="1"/>
  <c r="H1462" i="2"/>
  <c r="O1462" i="2"/>
  <c r="P1462" i="2" s="1"/>
  <c r="H1450" i="2"/>
  <c r="O1450" i="2"/>
  <c r="P1450" i="2" s="1"/>
  <c r="H1438" i="2"/>
  <c r="O1438" i="2"/>
  <c r="P1438" i="2" s="1"/>
  <c r="H1426" i="2"/>
  <c r="O1426" i="2"/>
  <c r="P1426" i="2" s="1"/>
  <c r="H1414" i="2"/>
  <c r="O1414" i="2"/>
  <c r="P1414" i="2" s="1"/>
  <c r="H1402" i="2"/>
  <c r="O1402" i="2"/>
  <c r="P1402" i="2" s="1"/>
  <c r="H1390" i="2"/>
  <c r="O1390" i="2"/>
  <c r="P1390" i="2" s="1"/>
  <c r="H1378" i="2"/>
  <c r="O1378" i="2"/>
  <c r="P1378" i="2" s="1"/>
  <c r="H1366" i="2"/>
  <c r="O1366" i="2"/>
  <c r="P1366" i="2" s="1"/>
  <c r="H1354" i="2"/>
  <c r="O1354" i="2"/>
  <c r="P1354" i="2" s="1"/>
  <c r="H1342" i="2"/>
  <c r="O1342" i="2"/>
  <c r="P1342" i="2" s="1"/>
  <c r="H1330" i="2"/>
  <c r="O1330" i="2"/>
  <c r="P1330" i="2" s="1"/>
  <c r="H1318" i="2"/>
  <c r="O1318" i="2"/>
  <c r="P1318" i="2" s="1"/>
  <c r="H1306" i="2"/>
  <c r="O1306" i="2"/>
  <c r="P1306" i="2" s="1"/>
  <c r="H1294" i="2"/>
  <c r="O1294" i="2"/>
  <c r="P1294" i="2" s="1"/>
  <c r="H1282" i="2"/>
  <c r="O1282" i="2"/>
  <c r="P1282" i="2" s="1"/>
  <c r="H1270" i="2"/>
  <c r="O1270" i="2"/>
  <c r="P1270" i="2" s="1"/>
  <c r="H1258" i="2"/>
  <c r="O1258" i="2"/>
  <c r="P1258" i="2" s="1"/>
  <c r="H1246" i="2"/>
  <c r="O1246" i="2"/>
  <c r="P1246" i="2" s="1"/>
  <c r="H1234" i="2"/>
  <c r="O1234" i="2"/>
  <c r="P1234" i="2" s="1"/>
  <c r="H1222" i="2"/>
  <c r="O1222" i="2"/>
  <c r="P1222" i="2" s="1"/>
  <c r="H1210" i="2"/>
  <c r="O1210" i="2"/>
  <c r="P1210" i="2" s="1"/>
  <c r="H1198" i="2"/>
  <c r="O1198" i="2"/>
  <c r="P1198" i="2" s="1"/>
  <c r="H1186" i="2"/>
  <c r="O1186" i="2"/>
  <c r="P1186" i="2" s="1"/>
  <c r="H1174" i="2"/>
  <c r="O1174" i="2"/>
  <c r="P1174" i="2" s="1"/>
  <c r="H1162" i="2"/>
  <c r="O1162" i="2"/>
  <c r="P1162" i="2" s="1"/>
  <c r="H1150" i="2"/>
  <c r="O1150" i="2"/>
  <c r="P1150" i="2" s="1"/>
  <c r="H1138" i="2"/>
  <c r="O1138" i="2"/>
  <c r="P1138" i="2" s="1"/>
  <c r="H1126" i="2"/>
  <c r="O1126" i="2"/>
  <c r="P1126" i="2" s="1"/>
  <c r="H1114" i="2"/>
  <c r="O1114" i="2"/>
  <c r="P1114" i="2" s="1"/>
  <c r="H1102" i="2"/>
  <c r="O1102" i="2"/>
  <c r="P1102" i="2" s="1"/>
  <c r="H1090" i="2"/>
  <c r="O1090" i="2"/>
  <c r="P1090" i="2" s="1"/>
  <c r="H1078" i="2"/>
  <c r="O1078" i="2"/>
  <c r="P1078" i="2" s="1"/>
  <c r="H1066" i="2"/>
  <c r="O1066" i="2"/>
  <c r="P1066" i="2" s="1"/>
  <c r="H1054" i="2"/>
  <c r="O1054" i="2"/>
  <c r="P1054" i="2" s="1"/>
  <c r="H1042" i="2"/>
  <c r="O1042" i="2"/>
  <c r="P1042" i="2" s="1"/>
  <c r="H1030" i="2"/>
  <c r="O1030" i="2"/>
  <c r="P1030" i="2" s="1"/>
  <c r="H1018" i="2"/>
  <c r="O1018" i="2"/>
  <c r="P1018" i="2" s="1"/>
  <c r="H1006" i="2"/>
  <c r="O1006" i="2"/>
  <c r="P1006" i="2" s="1"/>
  <c r="H994" i="2"/>
  <c r="O994" i="2"/>
  <c r="P994" i="2" s="1"/>
  <c r="H982" i="2"/>
  <c r="O982" i="2"/>
  <c r="P982" i="2" s="1"/>
  <c r="H970" i="2"/>
  <c r="O970" i="2"/>
  <c r="P970" i="2" s="1"/>
  <c r="H958" i="2"/>
  <c r="O958" i="2"/>
  <c r="P958" i="2" s="1"/>
  <c r="H946" i="2"/>
  <c r="O946" i="2"/>
  <c r="P946" i="2" s="1"/>
  <c r="H934" i="2"/>
  <c r="O934" i="2"/>
  <c r="P934" i="2" s="1"/>
  <c r="H922" i="2"/>
  <c r="O922" i="2"/>
  <c r="P922" i="2" s="1"/>
  <c r="H910" i="2"/>
  <c r="O910" i="2"/>
  <c r="P910" i="2" s="1"/>
  <c r="H898" i="2"/>
  <c r="O898" i="2"/>
  <c r="P898" i="2" s="1"/>
  <c r="H886" i="2"/>
  <c r="O886" i="2"/>
  <c r="P886" i="2" s="1"/>
  <c r="H874" i="2"/>
  <c r="O874" i="2"/>
  <c r="P874" i="2" s="1"/>
  <c r="H862" i="2"/>
  <c r="O862" i="2"/>
  <c r="P862" i="2" s="1"/>
  <c r="H850" i="2"/>
  <c r="O850" i="2"/>
  <c r="P850" i="2" s="1"/>
  <c r="H838" i="2"/>
  <c r="O838" i="2"/>
  <c r="P838" i="2" s="1"/>
  <c r="H826" i="2"/>
  <c r="O826" i="2"/>
  <c r="P826" i="2" s="1"/>
  <c r="H814" i="2"/>
  <c r="O814" i="2"/>
  <c r="P814" i="2" s="1"/>
  <c r="H802" i="2"/>
  <c r="O802" i="2"/>
  <c r="P802" i="2" s="1"/>
  <c r="H790" i="2"/>
  <c r="O790" i="2"/>
  <c r="P790" i="2" s="1"/>
  <c r="H778" i="2"/>
  <c r="O778" i="2"/>
  <c r="P778" i="2" s="1"/>
  <c r="H766" i="2"/>
  <c r="O766" i="2"/>
  <c r="P766" i="2" s="1"/>
  <c r="H754" i="2"/>
  <c r="O754" i="2"/>
  <c r="P754" i="2" s="1"/>
  <c r="H742" i="2"/>
  <c r="O742" i="2"/>
  <c r="P742" i="2" s="1"/>
  <c r="H730" i="2"/>
  <c r="O730" i="2"/>
  <c r="P730" i="2" s="1"/>
  <c r="H718" i="2"/>
  <c r="O718" i="2"/>
  <c r="P718" i="2" s="1"/>
  <c r="H706" i="2"/>
  <c r="O706" i="2"/>
  <c r="P706" i="2" s="1"/>
  <c r="H694" i="2"/>
  <c r="O694" i="2"/>
  <c r="P694" i="2" s="1"/>
  <c r="H682" i="2"/>
  <c r="O682" i="2"/>
  <c r="P682" i="2" s="1"/>
  <c r="H670" i="2"/>
  <c r="O670" i="2"/>
  <c r="P670" i="2" s="1"/>
  <c r="H658" i="2"/>
  <c r="O658" i="2"/>
  <c r="P658" i="2" s="1"/>
  <c r="H646" i="2"/>
  <c r="O646" i="2"/>
  <c r="P646" i="2" s="1"/>
  <c r="H634" i="2"/>
  <c r="O634" i="2"/>
  <c r="P634" i="2" s="1"/>
  <c r="H622" i="2"/>
  <c r="O622" i="2"/>
  <c r="P622" i="2" s="1"/>
  <c r="H610" i="2"/>
  <c r="O610" i="2"/>
  <c r="P610" i="2" s="1"/>
  <c r="H598" i="2"/>
  <c r="O598" i="2"/>
  <c r="P598" i="2" s="1"/>
  <c r="H586" i="2"/>
  <c r="O586" i="2"/>
  <c r="P586" i="2" s="1"/>
  <c r="H574" i="2"/>
  <c r="O574" i="2"/>
  <c r="P574" i="2" s="1"/>
  <c r="H562" i="2"/>
  <c r="O562" i="2"/>
  <c r="P562" i="2" s="1"/>
  <c r="H550" i="2"/>
  <c r="O550" i="2"/>
  <c r="P550" i="2" s="1"/>
  <c r="H538" i="2"/>
  <c r="O538" i="2"/>
  <c r="P538" i="2" s="1"/>
  <c r="H526" i="2"/>
  <c r="O526" i="2"/>
  <c r="P526" i="2" s="1"/>
  <c r="H514" i="2"/>
  <c r="O514" i="2"/>
  <c r="P514" i="2" s="1"/>
  <c r="H502" i="2"/>
  <c r="O502" i="2"/>
  <c r="P502" i="2" s="1"/>
  <c r="H490" i="2"/>
  <c r="O490" i="2"/>
  <c r="P490" i="2" s="1"/>
  <c r="H478" i="2"/>
  <c r="O478" i="2"/>
  <c r="P478" i="2" s="1"/>
  <c r="H466" i="2"/>
  <c r="O466" i="2"/>
  <c r="P466" i="2" s="1"/>
  <c r="H454" i="2"/>
  <c r="O454" i="2"/>
  <c r="P454" i="2" s="1"/>
  <c r="H442" i="2"/>
  <c r="O442" i="2"/>
  <c r="P442" i="2" s="1"/>
  <c r="H430" i="2"/>
  <c r="O430" i="2"/>
  <c r="P430" i="2" s="1"/>
  <c r="H418" i="2"/>
  <c r="O418" i="2"/>
  <c r="P418" i="2" s="1"/>
  <c r="H406" i="2"/>
  <c r="O406" i="2"/>
  <c r="P406" i="2" s="1"/>
  <c r="H394" i="2"/>
  <c r="O394" i="2"/>
  <c r="P394" i="2" s="1"/>
  <c r="H382" i="2"/>
  <c r="O382" i="2"/>
  <c r="P382" i="2" s="1"/>
  <c r="H370" i="2"/>
  <c r="O370" i="2"/>
  <c r="P370" i="2" s="1"/>
  <c r="H358" i="2"/>
  <c r="O358" i="2"/>
  <c r="P358" i="2" s="1"/>
  <c r="H346" i="2"/>
  <c r="O346" i="2"/>
  <c r="P346" i="2" s="1"/>
  <c r="H334" i="2"/>
  <c r="O334" i="2"/>
  <c r="P334" i="2" s="1"/>
  <c r="H322" i="2"/>
  <c r="O322" i="2"/>
  <c r="P322" i="2" s="1"/>
  <c r="H310" i="2"/>
  <c r="O310" i="2"/>
  <c r="P310" i="2" s="1"/>
  <c r="H298" i="2"/>
  <c r="O298" i="2"/>
  <c r="P298" i="2" s="1"/>
  <c r="H286" i="2"/>
  <c r="O286" i="2"/>
  <c r="P286" i="2" s="1"/>
  <c r="H274" i="2"/>
  <c r="O274" i="2"/>
  <c r="P274" i="2" s="1"/>
  <c r="H262" i="2"/>
  <c r="O262" i="2"/>
  <c r="P262" i="2" s="1"/>
  <c r="H250" i="2"/>
  <c r="O250" i="2"/>
  <c r="P250" i="2" s="1"/>
  <c r="H238" i="2"/>
  <c r="O238" i="2"/>
  <c r="P238" i="2" s="1"/>
  <c r="H226" i="2"/>
  <c r="O226" i="2"/>
  <c r="P226" i="2" s="1"/>
  <c r="H214" i="2"/>
  <c r="O214" i="2"/>
  <c r="P214" i="2" s="1"/>
  <c r="H202" i="2"/>
  <c r="O202" i="2"/>
  <c r="P202" i="2" s="1"/>
  <c r="H190" i="2"/>
  <c r="O190" i="2"/>
  <c r="P190" i="2" s="1"/>
  <c r="H178" i="2"/>
  <c r="O178" i="2"/>
  <c r="P178" i="2" s="1"/>
  <c r="H166" i="2"/>
  <c r="O166" i="2"/>
  <c r="P166" i="2" s="1"/>
  <c r="H154" i="2"/>
  <c r="O154" i="2"/>
  <c r="P154" i="2" s="1"/>
  <c r="H142" i="2"/>
  <c r="O142" i="2"/>
  <c r="P142" i="2" s="1"/>
  <c r="H130" i="2"/>
  <c r="O130" i="2"/>
  <c r="P130" i="2" s="1"/>
  <c r="H118" i="2"/>
  <c r="O118" i="2"/>
  <c r="P118" i="2" s="1"/>
  <c r="H106" i="2"/>
  <c r="O106" i="2"/>
  <c r="P106" i="2" s="1"/>
  <c r="H94" i="2"/>
  <c r="O94" i="2"/>
  <c r="P94" i="2" s="1"/>
  <c r="H82" i="2"/>
  <c r="O82" i="2"/>
  <c r="P82" i="2" s="1"/>
  <c r="H70" i="2"/>
  <c r="O70" i="2"/>
  <c r="P70" i="2" s="1"/>
  <c r="H58" i="2"/>
  <c r="O58" i="2"/>
  <c r="P58" i="2" s="1"/>
  <c r="H46" i="2"/>
  <c r="O46" i="2"/>
  <c r="P46" i="2" s="1"/>
  <c r="H34" i="2"/>
  <c r="O34" i="2"/>
  <c r="P34" i="2" s="1"/>
  <c r="H22" i="2"/>
  <c r="O22" i="2"/>
  <c r="P22" i="2" s="1"/>
  <c r="H10" i="2"/>
  <c r="O10" i="2"/>
  <c r="P10" i="2" s="1"/>
  <c r="H2433" i="2"/>
  <c r="O2433" i="2"/>
  <c r="P2433" i="2" s="1"/>
  <c r="H2385" i="2"/>
  <c r="O2385" i="2"/>
  <c r="P2385" i="2" s="1"/>
  <c r="H2361" i="2"/>
  <c r="O2361" i="2"/>
  <c r="P2361" i="2" s="1"/>
  <c r="H2193" i="2"/>
  <c r="O2193" i="2"/>
  <c r="P2193" i="2" s="1"/>
  <c r="H2181" i="2"/>
  <c r="O2181" i="2"/>
  <c r="P2181" i="2" s="1"/>
  <c r="H2049" i="2"/>
  <c r="O2049" i="2"/>
  <c r="P2049" i="2" s="1"/>
  <c r="H1953" i="2"/>
  <c r="O1953" i="2"/>
  <c r="P1953" i="2" s="1"/>
  <c r="H1881" i="2"/>
  <c r="O1881" i="2"/>
  <c r="P1881" i="2" s="1"/>
  <c r="H1797" i="2"/>
  <c r="O1797" i="2"/>
  <c r="P1797" i="2" s="1"/>
  <c r="H1713" i="2"/>
  <c r="O1713" i="2"/>
  <c r="P1713" i="2" s="1"/>
  <c r="H1617" i="2"/>
  <c r="O1617" i="2"/>
  <c r="P1617" i="2" s="1"/>
  <c r="H1605" i="2"/>
  <c r="O1605" i="2"/>
  <c r="P1605" i="2" s="1"/>
  <c r="H1593" i="2"/>
  <c r="O1593" i="2"/>
  <c r="P1593" i="2" s="1"/>
  <c r="H1581" i="2"/>
  <c r="O1581" i="2"/>
  <c r="P1581" i="2" s="1"/>
  <c r="H1461" i="2"/>
  <c r="O1461" i="2"/>
  <c r="P1461" i="2" s="1"/>
  <c r="H1449" i="2"/>
  <c r="O1449" i="2"/>
  <c r="P1449" i="2" s="1"/>
  <c r="H1329" i="2"/>
  <c r="O1329" i="2"/>
  <c r="P1329" i="2" s="1"/>
  <c r="H1305" i="2"/>
  <c r="O1305" i="2"/>
  <c r="P1305" i="2" s="1"/>
  <c r="H1161" i="2"/>
  <c r="O1161" i="2"/>
  <c r="P1161" i="2" s="1"/>
  <c r="H1065" i="2"/>
  <c r="O1065" i="2"/>
  <c r="P1065" i="2" s="1"/>
  <c r="H1053" i="2"/>
  <c r="O1053" i="2"/>
  <c r="P1053" i="2" s="1"/>
  <c r="H1041" i="2"/>
  <c r="O1041" i="2"/>
  <c r="P1041" i="2" s="1"/>
  <c r="H1029" i="2"/>
  <c r="O1029" i="2"/>
  <c r="P1029" i="2" s="1"/>
  <c r="H909" i="2"/>
  <c r="O909" i="2"/>
  <c r="P909" i="2" s="1"/>
  <c r="H837" i="2"/>
  <c r="O837" i="2"/>
  <c r="P837" i="2" s="1"/>
  <c r="H825" i="2"/>
  <c r="O825" i="2"/>
  <c r="P825" i="2" s="1"/>
  <c r="H777" i="2"/>
  <c r="O777" i="2"/>
  <c r="P777" i="2" s="1"/>
  <c r="H765" i="2"/>
  <c r="O765" i="2"/>
  <c r="P765" i="2" s="1"/>
  <c r="H705" i="2"/>
  <c r="O705" i="2"/>
  <c r="P705" i="2" s="1"/>
  <c r="H693" i="2"/>
  <c r="O693" i="2"/>
  <c r="P693" i="2" s="1"/>
  <c r="H681" i="2"/>
  <c r="O681" i="2"/>
  <c r="P681" i="2" s="1"/>
  <c r="H669" i="2"/>
  <c r="O669" i="2"/>
  <c r="P669" i="2" s="1"/>
  <c r="H657" i="2"/>
  <c r="O657" i="2"/>
  <c r="P657" i="2" s="1"/>
  <c r="H597" i="2"/>
  <c r="O597" i="2"/>
  <c r="P597" i="2" s="1"/>
  <c r="O549" i="2"/>
  <c r="P549" i="2" s="1"/>
  <c r="H549" i="2"/>
  <c r="H537" i="2"/>
  <c r="O537" i="2"/>
  <c r="P537" i="2" s="1"/>
  <c r="H501" i="2"/>
  <c r="O501" i="2"/>
  <c r="P501" i="2" s="1"/>
  <c r="H477" i="2"/>
  <c r="O477" i="2"/>
  <c r="P477" i="2" s="1"/>
  <c r="H465" i="2"/>
  <c r="O465" i="2"/>
  <c r="P465" i="2" s="1"/>
  <c r="H453" i="2"/>
  <c r="O453" i="2"/>
  <c r="P453" i="2" s="1"/>
  <c r="H405" i="2"/>
  <c r="O405" i="2"/>
  <c r="P405" i="2" s="1"/>
  <c r="H333" i="2"/>
  <c r="O333" i="2"/>
  <c r="P333" i="2" s="1"/>
  <c r="H285" i="2"/>
  <c r="O285" i="2"/>
  <c r="P285" i="2" s="1"/>
  <c r="H237" i="2"/>
  <c r="O237" i="2"/>
  <c r="P237" i="2" s="1"/>
  <c r="H141" i="2"/>
  <c r="O141" i="2"/>
  <c r="P141" i="2" s="1"/>
  <c r="H129" i="2"/>
  <c r="O129" i="2"/>
  <c r="P129" i="2" s="1"/>
  <c r="H57" i="2"/>
  <c r="O57" i="2"/>
  <c r="P57" i="2" s="1"/>
  <c r="H9" i="2"/>
  <c r="O9" i="2"/>
  <c r="P9" i="2" s="1"/>
  <c r="H2445" i="2"/>
  <c r="O2445" i="2"/>
  <c r="P2445" i="2" s="1"/>
  <c r="H2373" i="2"/>
  <c r="O2373" i="2"/>
  <c r="P2373" i="2" s="1"/>
  <c r="H2349" i="2"/>
  <c r="O2349" i="2"/>
  <c r="P2349" i="2" s="1"/>
  <c r="H2337" i="2"/>
  <c r="O2337" i="2"/>
  <c r="P2337" i="2" s="1"/>
  <c r="H2325" i="2"/>
  <c r="O2325" i="2"/>
  <c r="P2325" i="2" s="1"/>
  <c r="H2313" i="2"/>
  <c r="O2313" i="2"/>
  <c r="P2313" i="2" s="1"/>
  <c r="H2301" i="2"/>
  <c r="O2301" i="2"/>
  <c r="P2301" i="2" s="1"/>
  <c r="H2169" i="2"/>
  <c r="O2169" i="2"/>
  <c r="P2169" i="2" s="1"/>
  <c r="H2037" i="2"/>
  <c r="O2037" i="2"/>
  <c r="P2037" i="2" s="1"/>
  <c r="H1941" i="2"/>
  <c r="O1941" i="2"/>
  <c r="P1941" i="2" s="1"/>
  <c r="H1869" i="2"/>
  <c r="O1869" i="2"/>
  <c r="P1869" i="2" s="1"/>
  <c r="H1857" i="2"/>
  <c r="O1857" i="2"/>
  <c r="P1857" i="2" s="1"/>
  <c r="H1845" i="2"/>
  <c r="O1845" i="2"/>
  <c r="P1845" i="2" s="1"/>
  <c r="H1785" i="2"/>
  <c r="O1785" i="2"/>
  <c r="P1785" i="2" s="1"/>
  <c r="H1773" i="2"/>
  <c r="O1773" i="2"/>
  <c r="P1773" i="2" s="1"/>
  <c r="H1689" i="2"/>
  <c r="O1689" i="2"/>
  <c r="P1689" i="2" s="1"/>
  <c r="H1569" i="2"/>
  <c r="O1569" i="2"/>
  <c r="P1569" i="2" s="1"/>
  <c r="H1557" i="2"/>
  <c r="O1557" i="2"/>
  <c r="P1557" i="2" s="1"/>
  <c r="H1545" i="2"/>
  <c r="O1545" i="2"/>
  <c r="P1545" i="2" s="1"/>
  <c r="H1533" i="2"/>
  <c r="O1533" i="2"/>
  <c r="P1533" i="2" s="1"/>
  <c r="H1521" i="2"/>
  <c r="O1521" i="2"/>
  <c r="P1521" i="2" s="1"/>
  <c r="H1437" i="2"/>
  <c r="O1437" i="2"/>
  <c r="P1437" i="2" s="1"/>
  <c r="H1269" i="2"/>
  <c r="O1269" i="2"/>
  <c r="P1269" i="2" s="1"/>
  <c r="H1257" i="2"/>
  <c r="O1257" i="2"/>
  <c r="P1257" i="2" s="1"/>
  <c r="H1149" i="2"/>
  <c r="O1149" i="2"/>
  <c r="P1149" i="2" s="1"/>
  <c r="H1137" i="2"/>
  <c r="O1137" i="2"/>
  <c r="P1137" i="2" s="1"/>
  <c r="H1017" i="2"/>
  <c r="O1017" i="2"/>
  <c r="P1017" i="2" s="1"/>
  <c r="H1005" i="2"/>
  <c r="O1005" i="2"/>
  <c r="P1005" i="2" s="1"/>
  <c r="H993" i="2"/>
  <c r="O993" i="2"/>
  <c r="P993" i="2" s="1"/>
  <c r="H981" i="2"/>
  <c r="O981" i="2"/>
  <c r="P981" i="2" s="1"/>
  <c r="H933" i="2"/>
  <c r="O933" i="2"/>
  <c r="P933" i="2" s="1"/>
  <c r="H921" i="2"/>
  <c r="O921" i="2"/>
  <c r="P921" i="2" s="1"/>
  <c r="H873" i="2"/>
  <c r="O873" i="2"/>
  <c r="P873" i="2" s="1"/>
  <c r="H861" i="2"/>
  <c r="O861" i="2"/>
  <c r="P861" i="2" s="1"/>
  <c r="H849" i="2"/>
  <c r="O849" i="2"/>
  <c r="P849" i="2" s="1"/>
  <c r="H789" i="2"/>
  <c r="O789" i="2"/>
  <c r="P789" i="2" s="1"/>
  <c r="H729" i="2"/>
  <c r="O729" i="2"/>
  <c r="P729" i="2" s="1"/>
  <c r="H717" i="2"/>
  <c r="O717" i="2"/>
  <c r="P717" i="2" s="1"/>
  <c r="O633" i="2"/>
  <c r="P633" i="2" s="1"/>
  <c r="H633" i="2"/>
  <c r="H621" i="2"/>
  <c r="O621" i="2"/>
  <c r="P621" i="2" s="1"/>
  <c r="H609" i="2"/>
  <c r="O609" i="2"/>
  <c r="P609" i="2" s="1"/>
  <c r="H561" i="2"/>
  <c r="O561" i="2"/>
  <c r="P561" i="2" s="1"/>
  <c r="H513" i="2"/>
  <c r="O513" i="2"/>
  <c r="P513" i="2" s="1"/>
  <c r="H489" i="2"/>
  <c r="O489" i="2"/>
  <c r="P489" i="2" s="1"/>
  <c r="H429" i="2"/>
  <c r="O429" i="2"/>
  <c r="P429" i="2" s="1"/>
  <c r="H417" i="2"/>
  <c r="O417" i="2"/>
  <c r="P417" i="2" s="1"/>
  <c r="H393" i="2"/>
  <c r="O393" i="2"/>
  <c r="P393" i="2" s="1"/>
  <c r="H321" i="2"/>
  <c r="O321" i="2"/>
  <c r="P321" i="2" s="1"/>
  <c r="H309" i="2"/>
  <c r="O309" i="2"/>
  <c r="P309" i="2" s="1"/>
  <c r="H273" i="2"/>
  <c r="O273" i="2"/>
  <c r="P273" i="2" s="1"/>
  <c r="H261" i="2"/>
  <c r="O261" i="2"/>
  <c r="P261" i="2" s="1"/>
  <c r="H225" i="2"/>
  <c r="O225" i="2"/>
  <c r="P225" i="2" s="1"/>
  <c r="H213" i="2"/>
  <c r="O213" i="2"/>
  <c r="P213" i="2" s="1"/>
  <c r="H201" i="2"/>
  <c r="O201" i="2"/>
  <c r="P201" i="2" s="1"/>
  <c r="H189" i="2"/>
  <c r="O189" i="2"/>
  <c r="P189" i="2" s="1"/>
  <c r="H117" i="2"/>
  <c r="O117" i="2"/>
  <c r="P117" i="2" s="1"/>
  <c r="H105" i="2"/>
  <c r="O105" i="2"/>
  <c r="P105" i="2" s="1"/>
  <c r="H81" i="2"/>
  <c r="O81" i="2"/>
  <c r="P81" i="2" s="1"/>
  <c r="H69" i="2"/>
  <c r="O69" i="2"/>
  <c r="P69" i="2" s="1"/>
  <c r="H45" i="2"/>
  <c r="O45" i="2"/>
  <c r="P45" i="2" s="1"/>
  <c r="H2289" i="2"/>
  <c r="H2469" i="2"/>
  <c r="O2469" i="2"/>
  <c r="P2469" i="2" s="1"/>
  <c r="H2409" i="2"/>
  <c r="O2409" i="2"/>
  <c r="P2409" i="2" s="1"/>
  <c r="H2229" i="2"/>
  <c r="O2229" i="2"/>
  <c r="P2229" i="2" s="1"/>
  <c r="H2205" i="2"/>
  <c r="O2205" i="2"/>
  <c r="P2205" i="2" s="1"/>
  <c r="H2097" i="2"/>
  <c r="O2097" i="2"/>
  <c r="P2097" i="2" s="1"/>
  <c r="H2085" i="2"/>
  <c r="O2085" i="2"/>
  <c r="P2085" i="2" s="1"/>
  <c r="H2073" i="2"/>
  <c r="O2073" i="2"/>
  <c r="P2073" i="2" s="1"/>
  <c r="H2061" i="2"/>
  <c r="O2061" i="2"/>
  <c r="P2061" i="2" s="1"/>
  <c r="H2001" i="2"/>
  <c r="O2001" i="2"/>
  <c r="P2001" i="2" s="1"/>
  <c r="H1989" i="2"/>
  <c r="O1989" i="2"/>
  <c r="P1989" i="2" s="1"/>
  <c r="H1977" i="2"/>
  <c r="O1977" i="2"/>
  <c r="P1977" i="2" s="1"/>
  <c r="H1965" i="2"/>
  <c r="O1965" i="2"/>
  <c r="P1965" i="2" s="1"/>
  <c r="H1929" i="2"/>
  <c r="O1929" i="2"/>
  <c r="P1929" i="2" s="1"/>
  <c r="H1917" i="2"/>
  <c r="O1917" i="2"/>
  <c r="P1917" i="2" s="1"/>
  <c r="H1893" i="2"/>
  <c r="O1893" i="2"/>
  <c r="P1893" i="2" s="1"/>
  <c r="O1821" i="2"/>
  <c r="P1821" i="2" s="1"/>
  <c r="H1821" i="2"/>
  <c r="H1809" i="2"/>
  <c r="O1809" i="2"/>
  <c r="P1809" i="2" s="1"/>
  <c r="H1725" i="2"/>
  <c r="O1725" i="2"/>
  <c r="P1725" i="2" s="1"/>
  <c r="H1701" i="2"/>
  <c r="O1701" i="2"/>
  <c r="P1701" i="2" s="1"/>
  <c r="H1629" i="2"/>
  <c r="O1629" i="2"/>
  <c r="P1629" i="2" s="1"/>
  <c r="H1485" i="2"/>
  <c r="O1485" i="2"/>
  <c r="P1485" i="2" s="1"/>
  <c r="H1473" i="2"/>
  <c r="O1473" i="2"/>
  <c r="P1473" i="2" s="1"/>
  <c r="H1425" i="2"/>
  <c r="O1425" i="2"/>
  <c r="P1425" i="2" s="1"/>
  <c r="H1317" i="2"/>
  <c r="O1317" i="2"/>
  <c r="P1317" i="2" s="1"/>
  <c r="H1293" i="2"/>
  <c r="O1293" i="2"/>
  <c r="P1293" i="2" s="1"/>
  <c r="H1281" i="2"/>
  <c r="O1281" i="2"/>
  <c r="P1281" i="2" s="1"/>
  <c r="O1233" i="2"/>
  <c r="P1233" i="2" s="1"/>
  <c r="H1233" i="2"/>
  <c r="H1221" i="2"/>
  <c r="O1221" i="2"/>
  <c r="P1221" i="2" s="1"/>
  <c r="H1209" i="2"/>
  <c r="O1209" i="2"/>
  <c r="P1209" i="2" s="1"/>
  <c r="H1197" i="2"/>
  <c r="O1197" i="2"/>
  <c r="P1197" i="2" s="1"/>
  <c r="H1185" i="2"/>
  <c r="O1185" i="2"/>
  <c r="P1185" i="2" s="1"/>
  <c r="H1173" i="2"/>
  <c r="O1173" i="2"/>
  <c r="P1173" i="2" s="1"/>
  <c r="H1077" i="2"/>
  <c r="O1077" i="2"/>
  <c r="P1077" i="2" s="1"/>
  <c r="H2479" i="2"/>
  <c r="O2479" i="2"/>
  <c r="P2479" i="2" s="1"/>
  <c r="H2395" i="2"/>
  <c r="O2395" i="2"/>
  <c r="P2395" i="2" s="1"/>
  <c r="H2299" i="2"/>
  <c r="O2299" i="2"/>
  <c r="P2299" i="2" s="1"/>
  <c r="H2287" i="2"/>
  <c r="O2287" i="2"/>
  <c r="P2287" i="2" s="1"/>
  <c r="H2251" i="2"/>
  <c r="O2251" i="2"/>
  <c r="P2251" i="2" s="1"/>
  <c r="H2119" i="2"/>
  <c r="O2119" i="2"/>
  <c r="P2119" i="2" s="1"/>
  <c r="H2023" i="2"/>
  <c r="O2023" i="2"/>
  <c r="P2023" i="2" s="1"/>
  <c r="H1999" i="2"/>
  <c r="O1999" i="2"/>
  <c r="P1999" i="2" s="1"/>
  <c r="H1939" i="2"/>
  <c r="O1939" i="2"/>
  <c r="P1939" i="2" s="1"/>
  <c r="H1927" i="2"/>
  <c r="O1927" i="2"/>
  <c r="P1927" i="2" s="1"/>
  <c r="H1819" i="2"/>
  <c r="O1819" i="2"/>
  <c r="P1819" i="2" s="1"/>
  <c r="H1807" i="2"/>
  <c r="O1807" i="2"/>
  <c r="P1807" i="2" s="1"/>
  <c r="H1795" i="2"/>
  <c r="O1795" i="2"/>
  <c r="P1795" i="2" s="1"/>
  <c r="H1771" i="2"/>
  <c r="O1771" i="2"/>
  <c r="P1771" i="2" s="1"/>
  <c r="H1759" i="2"/>
  <c r="O1759" i="2"/>
  <c r="P1759" i="2" s="1"/>
  <c r="H1747" i="2"/>
  <c r="O1747" i="2"/>
  <c r="P1747" i="2" s="1"/>
  <c r="H1735" i="2"/>
  <c r="O1735" i="2"/>
  <c r="P1735" i="2" s="1"/>
  <c r="H1723" i="2"/>
  <c r="O1723" i="2"/>
  <c r="P1723" i="2" s="1"/>
  <c r="H1711" i="2"/>
  <c r="O1711" i="2"/>
  <c r="P1711" i="2" s="1"/>
  <c r="H1699" i="2"/>
  <c r="O1699" i="2"/>
  <c r="P1699" i="2" s="1"/>
  <c r="H1687" i="2"/>
  <c r="O1687" i="2"/>
  <c r="P1687" i="2" s="1"/>
  <c r="H1675" i="2"/>
  <c r="O1675" i="2"/>
  <c r="P1675" i="2" s="1"/>
  <c r="H1663" i="2"/>
  <c r="O1663" i="2"/>
  <c r="P1663" i="2" s="1"/>
  <c r="H1651" i="2"/>
  <c r="O1651" i="2"/>
  <c r="P1651" i="2" s="1"/>
  <c r="H1639" i="2"/>
  <c r="O1639" i="2"/>
  <c r="P1639" i="2" s="1"/>
  <c r="H1627" i="2"/>
  <c r="O1627" i="2"/>
  <c r="P1627" i="2" s="1"/>
  <c r="H1615" i="2"/>
  <c r="O1615" i="2"/>
  <c r="P1615" i="2" s="1"/>
  <c r="H1603" i="2"/>
  <c r="O1603" i="2"/>
  <c r="P1603" i="2" s="1"/>
  <c r="H1591" i="2"/>
  <c r="O1591" i="2"/>
  <c r="P1591" i="2" s="1"/>
  <c r="H1579" i="2"/>
  <c r="O1579" i="2"/>
  <c r="P1579" i="2" s="1"/>
  <c r="H1567" i="2"/>
  <c r="O1567" i="2"/>
  <c r="P1567" i="2" s="1"/>
  <c r="H1555" i="2"/>
  <c r="O1555" i="2"/>
  <c r="P1555" i="2" s="1"/>
  <c r="H1543" i="2"/>
  <c r="O1543" i="2"/>
  <c r="P1543" i="2" s="1"/>
  <c r="H1531" i="2"/>
  <c r="O1531" i="2"/>
  <c r="P1531" i="2" s="1"/>
  <c r="H1519" i="2"/>
  <c r="O1519" i="2"/>
  <c r="P1519" i="2" s="1"/>
  <c r="H1507" i="2"/>
  <c r="O1507" i="2"/>
  <c r="P1507" i="2" s="1"/>
  <c r="H1495" i="2"/>
  <c r="O1495" i="2"/>
  <c r="P1495" i="2" s="1"/>
  <c r="H1483" i="2"/>
  <c r="O1483" i="2"/>
  <c r="P1483" i="2" s="1"/>
  <c r="H1471" i="2"/>
  <c r="O1471" i="2"/>
  <c r="P1471" i="2" s="1"/>
  <c r="H1459" i="2"/>
  <c r="O1459" i="2"/>
  <c r="P1459" i="2" s="1"/>
  <c r="H1447" i="2"/>
  <c r="O1447" i="2"/>
  <c r="P1447" i="2" s="1"/>
  <c r="H1435" i="2"/>
  <c r="O1435" i="2"/>
  <c r="P1435" i="2" s="1"/>
  <c r="H1423" i="2"/>
  <c r="O1423" i="2"/>
  <c r="P1423" i="2" s="1"/>
  <c r="H1411" i="2"/>
  <c r="O1411" i="2"/>
  <c r="P1411" i="2" s="1"/>
  <c r="H1399" i="2"/>
  <c r="O1399" i="2"/>
  <c r="P1399" i="2" s="1"/>
  <c r="H1387" i="2"/>
  <c r="O1387" i="2"/>
  <c r="P1387" i="2" s="1"/>
  <c r="H1375" i="2"/>
  <c r="O1375" i="2"/>
  <c r="P1375" i="2" s="1"/>
  <c r="H1363" i="2"/>
  <c r="O1363" i="2"/>
  <c r="P1363" i="2" s="1"/>
  <c r="H1351" i="2"/>
  <c r="O1351" i="2"/>
  <c r="P1351" i="2" s="1"/>
  <c r="H1339" i="2"/>
  <c r="O1339" i="2"/>
  <c r="P1339" i="2" s="1"/>
  <c r="H1327" i="2"/>
  <c r="O1327" i="2"/>
  <c r="P1327" i="2" s="1"/>
  <c r="H1315" i="2"/>
  <c r="O1315" i="2"/>
  <c r="P1315" i="2" s="1"/>
  <c r="H1303" i="2"/>
  <c r="O1303" i="2"/>
  <c r="P1303" i="2" s="1"/>
  <c r="H1291" i="2"/>
  <c r="O1291" i="2"/>
  <c r="P1291" i="2" s="1"/>
  <c r="H1279" i="2"/>
  <c r="O1279" i="2"/>
  <c r="P1279" i="2" s="1"/>
  <c r="H1267" i="2"/>
  <c r="O1267" i="2"/>
  <c r="P1267" i="2" s="1"/>
  <c r="H1255" i="2"/>
  <c r="O1255" i="2"/>
  <c r="P1255" i="2" s="1"/>
  <c r="H1243" i="2"/>
  <c r="O1243" i="2"/>
  <c r="P1243" i="2" s="1"/>
  <c r="H1231" i="2"/>
  <c r="O1231" i="2"/>
  <c r="P1231" i="2" s="1"/>
  <c r="H1219" i="2"/>
  <c r="O1219" i="2"/>
  <c r="P1219" i="2" s="1"/>
  <c r="H1207" i="2"/>
  <c r="O1207" i="2"/>
  <c r="P1207" i="2" s="1"/>
  <c r="H1195" i="2"/>
  <c r="O1195" i="2"/>
  <c r="P1195" i="2" s="1"/>
  <c r="H1183" i="2"/>
  <c r="O1183" i="2"/>
  <c r="P1183" i="2" s="1"/>
  <c r="H1171" i="2"/>
  <c r="O1171" i="2"/>
  <c r="P1171" i="2" s="1"/>
  <c r="H1159" i="2"/>
  <c r="O1159" i="2"/>
  <c r="P1159" i="2" s="1"/>
  <c r="H1147" i="2"/>
  <c r="O1147" i="2"/>
  <c r="P1147" i="2" s="1"/>
  <c r="H1135" i="2"/>
  <c r="O1135" i="2"/>
  <c r="P1135" i="2" s="1"/>
  <c r="H1123" i="2"/>
  <c r="O1123" i="2"/>
  <c r="P1123" i="2" s="1"/>
  <c r="H1111" i="2"/>
  <c r="O1111" i="2"/>
  <c r="P1111" i="2" s="1"/>
  <c r="H1099" i="2"/>
  <c r="O1099" i="2"/>
  <c r="P1099" i="2" s="1"/>
  <c r="H1087" i="2"/>
  <c r="O1087" i="2"/>
  <c r="P1087" i="2" s="1"/>
  <c r="H1075" i="2"/>
  <c r="O1075" i="2"/>
  <c r="P1075" i="2" s="1"/>
  <c r="H1063" i="2"/>
  <c r="O1063" i="2"/>
  <c r="P1063" i="2" s="1"/>
  <c r="H1051" i="2"/>
  <c r="O1051" i="2"/>
  <c r="P1051" i="2" s="1"/>
  <c r="H1039" i="2"/>
  <c r="O1039" i="2"/>
  <c r="P1039" i="2" s="1"/>
  <c r="H1027" i="2"/>
  <c r="O1027" i="2"/>
  <c r="P1027" i="2" s="1"/>
  <c r="H1015" i="2"/>
  <c r="O1015" i="2"/>
  <c r="P1015" i="2" s="1"/>
  <c r="H1003" i="2"/>
  <c r="O1003" i="2"/>
  <c r="P1003" i="2" s="1"/>
  <c r="H991" i="2"/>
  <c r="O991" i="2"/>
  <c r="P991" i="2" s="1"/>
  <c r="H979" i="2"/>
  <c r="O979" i="2"/>
  <c r="P979" i="2" s="1"/>
  <c r="H967" i="2"/>
  <c r="O967" i="2"/>
  <c r="P967" i="2" s="1"/>
  <c r="H955" i="2"/>
  <c r="O955" i="2"/>
  <c r="P955" i="2" s="1"/>
  <c r="H943" i="2"/>
  <c r="O943" i="2"/>
  <c r="P943" i="2" s="1"/>
  <c r="H931" i="2"/>
  <c r="O931" i="2"/>
  <c r="P931" i="2" s="1"/>
  <c r="H919" i="2"/>
  <c r="O919" i="2"/>
  <c r="P919" i="2" s="1"/>
  <c r="H907" i="2"/>
  <c r="O907" i="2"/>
  <c r="P907" i="2" s="1"/>
  <c r="H895" i="2"/>
  <c r="O895" i="2"/>
  <c r="P895" i="2" s="1"/>
  <c r="H883" i="2"/>
  <c r="O883" i="2"/>
  <c r="P883" i="2" s="1"/>
  <c r="H871" i="2"/>
  <c r="O871" i="2"/>
  <c r="P871" i="2" s="1"/>
  <c r="H859" i="2"/>
  <c r="O859" i="2"/>
  <c r="P859" i="2" s="1"/>
  <c r="H847" i="2"/>
  <c r="O847" i="2"/>
  <c r="P847" i="2" s="1"/>
  <c r="H835" i="2"/>
  <c r="O835" i="2"/>
  <c r="P835" i="2" s="1"/>
  <c r="H823" i="2"/>
  <c r="O823" i="2"/>
  <c r="P823" i="2" s="1"/>
  <c r="H811" i="2"/>
  <c r="O811" i="2"/>
  <c r="P811" i="2" s="1"/>
  <c r="H799" i="2"/>
  <c r="O799" i="2"/>
  <c r="P799" i="2" s="1"/>
  <c r="H787" i="2"/>
  <c r="O787" i="2"/>
  <c r="P787" i="2" s="1"/>
  <c r="H775" i="2"/>
  <c r="O775" i="2"/>
  <c r="P775" i="2" s="1"/>
  <c r="H763" i="2"/>
  <c r="O763" i="2"/>
  <c r="P763" i="2" s="1"/>
  <c r="H751" i="2"/>
  <c r="O751" i="2"/>
  <c r="P751" i="2" s="1"/>
  <c r="H739" i="2"/>
  <c r="O739" i="2"/>
  <c r="P739" i="2" s="1"/>
  <c r="H727" i="2"/>
  <c r="O727" i="2"/>
  <c r="P727" i="2" s="1"/>
  <c r="H715" i="2"/>
  <c r="O715" i="2"/>
  <c r="P715" i="2" s="1"/>
  <c r="H703" i="2"/>
  <c r="O703" i="2"/>
  <c r="P703" i="2" s="1"/>
  <c r="H691" i="2"/>
  <c r="O691" i="2"/>
  <c r="P691" i="2" s="1"/>
  <c r="H679" i="2"/>
  <c r="O679" i="2"/>
  <c r="P679" i="2" s="1"/>
  <c r="H667" i="2"/>
  <c r="O667" i="2"/>
  <c r="P667" i="2" s="1"/>
  <c r="H655" i="2"/>
  <c r="O655" i="2"/>
  <c r="P655" i="2" s="1"/>
  <c r="H643" i="2"/>
  <c r="O643" i="2"/>
  <c r="P643" i="2" s="1"/>
  <c r="H631" i="2"/>
  <c r="O631" i="2"/>
  <c r="P631" i="2" s="1"/>
  <c r="H619" i="2"/>
  <c r="O619" i="2"/>
  <c r="P619" i="2" s="1"/>
  <c r="H607" i="2"/>
  <c r="O607" i="2"/>
  <c r="P607" i="2" s="1"/>
  <c r="H595" i="2"/>
  <c r="O595" i="2"/>
  <c r="P595" i="2" s="1"/>
  <c r="H583" i="2"/>
  <c r="O583" i="2"/>
  <c r="P583" i="2" s="1"/>
  <c r="H571" i="2"/>
  <c r="O571" i="2"/>
  <c r="P571" i="2" s="1"/>
  <c r="H559" i="2"/>
  <c r="O559" i="2"/>
  <c r="P559" i="2" s="1"/>
  <c r="H547" i="2"/>
  <c r="O547" i="2"/>
  <c r="P547" i="2" s="1"/>
  <c r="H535" i="2"/>
  <c r="O535" i="2"/>
  <c r="P535" i="2" s="1"/>
  <c r="H523" i="2"/>
  <c r="O523" i="2"/>
  <c r="P523" i="2" s="1"/>
  <c r="H511" i="2"/>
  <c r="O511" i="2"/>
  <c r="P511" i="2" s="1"/>
  <c r="H499" i="2"/>
  <c r="O499" i="2"/>
  <c r="P499" i="2" s="1"/>
  <c r="H487" i="2"/>
  <c r="O487" i="2"/>
  <c r="P487" i="2" s="1"/>
  <c r="H475" i="2"/>
  <c r="O475" i="2"/>
  <c r="P475" i="2" s="1"/>
  <c r="H463" i="2"/>
  <c r="O463" i="2"/>
  <c r="P463" i="2" s="1"/>
  <c r="H451" i="2"/>
  <c r="O451" i="2"/>
  <c r="P451" i="2" s="1"/>
  <c r="H439" i="2"/>
  <c r="O439" i="2"/>
  <c r="P439" i="2" s="1"/>
  <c r="H427" i="2"/>
  <c r="O427" i="2"/>
  <c r="P427" i="2" s="1"/>
  <c r="H415" i="2"/>
  <c r="O415" i="2"/>
  <c r="P415" i="2" s="1"/>
  <c r="H403" i="2"/>
  <c r="O403" i="2"/>
  <c r="P403" i="2" s="1"/>
  <c r="H391" i="2"/>
  <c r="O391" i="2"/>
  <c r="P391" i="2" s="1"/>
  <c r="H379" i="2"/>
  <c r="O379" i="2"/>
  <c r="P379" i="2" s="1"/>
  <c r="H367" i="2"/>
  <c r="O367" i="2"/>
  <c r="P367" i="2" s="1"/>
  <c r="H355" i="2"/>
  <c r="O355" i="2"/>
  <c r="P355" i="2" s="1"/>
  <c r="H343" i="2"/>
  <c r="O343" i="2"/>
  <c r="P343" i="2" s="1"/>
  <c r="H331" i="2"/>
  <c r="O331" i="2"/>
  <c r="P331" i="2" s="1"/>
  <c r="H319" i="2"/>
  <c r="O319" i="2"/>
  <c r="P319" i="2" s="1"/>
  <c r="H307" i="2"/>
  <c r="O307" i="2"/>
  <c r="P307" i="2" s="1"/>
  <c r="H295" i="2"/>
  <c r="O295" i="2"/>
  <c r="P295" i="2" s="1"/>
  <c r="H283" i="2"/>
  <c r="O283" i="2"/>
  <c r="P283" i="2" s="1"/>
  <c r="H271" i="2"/>
  <c r="O271" i="2"/>
  <c r="P271" i="2" s="1"/>
  <c r="H259" i="2"/>
  <c r="O259" i="2"/>
  <c r="P259" i="2" s="1"/>
  <c r="H247" i="2"/>
  <c r="O247" i="2"/>
  <c r="P247" i="2" s="1"/>
  <c r="H235" i="2"/>
  <c r="O235" i="2"/>
  <c r="P235" i="2" s="1"/>
  <c r="H223" i="2"/>
  <c r="O223" i="2"/>
  <c r="P223" i="2" s="1"/>
  <c r="H211" i="2"/>
  <c r="O211" i="2"/>
  <c r="P211" i="2" s="1"/>
  <c r="H199" i="2"/>
  <c r="O199" i="2"/>
  <c r="P199" i="2" s="1"/>
  <c r="H187" i="2"/>
  <c r="O187" i="2"/>
  <c r="P187" i="2" s="1"/>
  <c r="H175" i="2"/>
  <c r="O175" i="2"/>
  <c r="P175" i="2" s="1"/>
  <c r="H163" i="2"/>
  <c r="O163" i="2"/>
  <c r="P163" i="2" s="1"/>
  <c r="H151" i="2"/>
  <c r="O151" i="2"/>
  <c r="P151" i="2" s="1"/>
  <c r="H139" i="2"/>
  <c r="O139" i="2"/>
  <c r="P139" i="2" s="1"/>
  <c r="H127" i="2"/>
  <c r="O127" i="2"/>
  <c r="P127" i="2" s="1"/>
  <c r="H115" i="2"/>
  <c r="O115" i="2"/>
  <c r="P115" i="2" s="1"/>
  <c r="H103" i="2"/>
  <c r="O103" i="2"/>
  <c r="P103" i="2" s="1"/>
  <c r="H91" i="2"/>
  <c r="O91" i="2"/>
  <c r="P91" i="2" s="1"/>
  <c r="H79" i="2"/>
  <c r="O79" i="2"/>
  <c r="P79" i="2" s="1"/>
  <c r="H67" i="2"/>
  <c r="O67" i="2"/>
  <c r="P67" i="2" s="1"/>
  <c r="H55" i="2"/>
  <c r="O55" i="2"/>
  <c r="P55" i="2" s="1"/>
  <c r="H43" i="2"/>
  <c r="O43" i="2"/>
  <c r="P43" i="2" s="1"/>
  <c r="H31" i="2"/>
  <c r="O31" i="2"/>
  <c r="P31" i="2" s="1"/>
  <c r="H19" i="2"/>
  <c r="O19" i="2"/>
  <c r="P19" i="2" s="1"/>
  <c r="H7" i="2"/>
  <c r="O7" i="2"/>
  <c r="P7" i="2" s="1"/>
  <c r="H2217" i="2"/>
  <c r="H2419" i="2"/>
  <c r="O2419" i="2"/>
  <c r="P2419" i="2" s="1"/>
  <c r="H2407" i="2"/>
  <c r="O2407" i="2"/>
  <c r="P2407" i="2" s="1"/>
  <c r="H2335" i="2"/>
  <c r="O2335" i="2"/>
  <c r="P2335" i="2" s="1"/>
  <c r="H2311" i="2"/>
  <c r="O2311" i="2"/>
  <c r="P2311" i="2" s="1"/>
  <c r="H2275" i="2"/>
  <c r="O2275" i="2"/>
  <c r="P2275" i="2" s="1"/>
  <c r="H2179" i="2"/>
  <c r="O2179" i="2"/>
  <c r="P2179" i="2" s="1"/>
  <c r="H2071" i="2"/>
  <c r="O2071" i="2"/>
  <c r="P2071" i="2" s="1"/>
  <c r="H1987" i="2"/>
  <c r="O1987" i="2"/>
  <c r="P1987" i="2" s="1"/>
  <c r="H1915" i="2"/>
  <c r="O1915" i="2"/>
  <c r="P1915" i="2" s="1"/>
  <c r="H1903" i="2"/>
  <c r="O1903" i="2"/>
  <c r="P1903" i="2" s="1"/>
  <c r="H1855" i="2"/>
  <c r="O1855" i="2"/>
  <c r="P1855" i="2" s="1"/>
  <c r="H2501" i="2"/>
  <c r="O2501" i="2"/>
  <c r="P2501" i="2" s="1"/>
  <c r="H2489" i="2"/>
  <c r="O2489" i="2"/>
  <c r="P2489" i="2" s="1"/>
  <c r="H2477" i="2"/>
  <c r="O2477" i="2"/>
  <c r="P2477" i="2" s="1"/>
  <c r="H2465" i="2"/>
  <c r="O2465" i="2"/>
  <c r="P2465" i="2" s="1"/>
  <c r="H2453" i="2"/>
  <c r="O2453" i="2"/>
  <c r="P2453" i="2" s="1"/>
  <c r="H2441" i="2"/>
  <c r="O2441" i="2"/>
  <c r="P2441" i="2" s="1"/>
  <c r="H2285" i="2"/>
  <c r="O2285" i="2"/>
  <c r="P2285" i="2" s="1"/>
  <c r="H2273" i="2"/>
  <c r="O2273" i="2"/>
  <c r="P2273" i="2" s="1"/>
  <c r="H2201" i="2"/>
  <c r="O2201" i="2"/>
  <c r="P2201" i="2" s="1"/>
  <c r="H2189" i="2"/>
  <c r="O2189" i="2"/>
  <c r="P2189" i="2" s="1"/>
  <c r="H2177" i="2"/>
  <c r="O2177" i="2"/>
  <c r="P2177" i="2" s="1"/>
  <c r="H2117" i="2"/>
  <c r="O2117" i="2"/>
  <c r="P2117" i="2" s="1"/>
  <c r="H1985" i="2"/>
  <c r="O1985" i="2"/>
  <c r="P1985" i="2" s="1"/>
  <c r="H1973" i="2"/>
  <c r="O1973" i="2"/>
  <c r="P1973" i="2" s="1"/>
  <c r="H1961" i="2"/>
  <c r="O1961" i="2"/>
  <c r="P1961" i="2" s="1"/>
  <c r="H1877" i="2"/>
  <c r="O1877" i="2"/>
  <c r="P1877" i="2" s="1"/>
  <c r="H1865" i="2"/>
  <c r="O1865" i="2"/>
  <c r="P1865" i="2" s="1"/>
  <c r="H1841" i="2"/>
  <c r="O1841" i="2"/>
  <c r="P1841" i="2" s="1"/>
  <c r="H1829" i="2"/>
  <c r="O1829" i="2"/>
  <c r="P1829" i="2" s="1"/>
  <c r="H1817" i="2"/>
  <c r="O1817" i="2"/>
  <c r="P1817" i="2" s="1"/>
  <c r="H1805" i="2"/>
  <c r="O1805" i="2"/>
  <c r="P1805" i="2" s="1"/>
  <c r="H1781" i="2"/>
  <c r="O1781" i="2"/>
  <c r="P1781" i="2" s="1"/>
  <c r="H1769" i="2"/>
  <c r="O1769" i="2"/>
  <c r="P1769" i="2" s="1"/>
  <c r="H1709" i="2"/>
  <c r="O1709" i="2"/>
  <c r="P1709" i="2" s="1"/>
  <c r="H1697" i="2"/>
  <c r="O1697" i="2"/>
  <c r="P1697" i="2" s="1"/>
  <c r="H1685" i="2"/>
  <c r="O1685" i="2"/>
  <c r="P1685" i="2" s="1"/>
  <c r="H1673" i="2"/>
  <c r="O1673" i="2"/>
  <c r="P1673" i="2" s="1"/>
  <c r="H1661" i="2"/>
  <c r="O1661" i="2"/>
  <c r="P1661" i="2" s="1"/>
  <c r="H1637" i="2"/>
  <c r="O1637" i="2"/>
  <c r="P1637" i="2" s="1"/>
  <c r="H1613" i="2"/>
  <c r="O1613" i="2"/>
  <c r="P1613" i="2" s="1"/>
  <c r="H1565" i="2"/>
  <c r="O1565" i="2"/>
  <c r="P1565" i="2" s="1"/>
  <c r="H1553" i="2"/>
  <c r="O1553" i="2"/>
  <c r="P1553" i="2" s="1"/>
  <c r="H1517" i="2"/>
  <c r="O1517" i="2"/>
  <c r="P1517" i="2" s="1"/>
  <c r="H1505" i="2"/>
  <c r="O1505" i="2"/>
  <c r="P1505" i="2" s="1"/>
  <c r="H1481" i="2"/>
  <c r="O1481" i="2"/>
  <c r="P1481" i="2" s="1"/>
  <c r="H1457" i="2"/>
  <c r="O1457" i="2"/>
  <c r="P1457" i="2" s="1"/>
  <c r="H1445" i="2"/>
  <c r="O1445" i="2"/>
  <c r="P1445" i="2" s="1"/>
  <c r="H1433" i="2"/>
  <c r="O1433" i="2"/>
  <c r="P1433" i="2" s="1"/>
  <c r="H1421" i="2"/>
  <c r="O1421" i="2"/>
  <c r="P1421" i="2" s="1"/>
  <c r="H1397" i="2"/>
  <c r="O1397" i="2"/>
  <c r="P1397" i="2" s="1"/>
  <c r="H1361" i="2"/>
  <c r="O1361" i="2"/>
  <c r="P1361" i="2" s="1"/>
  <c r="H1349" i="2"/>
  <c r="O1349" i="2"/>
  <c r="P1349" i="2" s="1"/>
  <c r="H1337" i="2"/>
  <c r="O1337" i="2"/>
  <c r="P1337" i="2" s="1"/>
  <c r="H1301" i="2"/>
  <c r="O1301" i="2"/>
  <c r="P1301" i="2" s="1"/>
  <c r="H1229" i="2"/>
  <c r="O1229" i="2"/>
  <c r="P1229" i="2" s="1"/>
  <c r="H1217" i="2"/>
  <c r="O1217" i="2"/>
  <c r="P1217" i="2" s="1"/>
  <c r="H1205" i="2"/>
  <c r="O1205" i="2"/>
  <c r="P1205" i="2" s="1"/>
  <c r="H1193" i="2"/>
  <c r="O1193" i="2"/>
  <c r="P1193" i="2" s="1"/>
  <c r="H1181" i="2"/>
  <c r="O1181" i="2"/>
  <c r="P1181" i="2" s="1"/>
  <c r="H1157" i="2"/>
  <c r="O1157" i="2"/>
  <c r="P1157" i="2" s="1"/>
  <c r="H1145" i="2"/>
  <c r="O1145" i="2"/>
  <c r="P1145" i="2" s="1"/>
  <c r="H1073" i="2"/>
  <c r="O1073" i="2"/>
  <c r="P1073" i="2" s="1"/>
  <c r="H1061" i="2"/>
  <c r="O1061" i="2"/>
  <c r="P1061" i="2" s="1"/>
  <c r="H1001" i="2"/>
  <c r="O1001" i="2"/>
  <c r="P1001" i="2" s="1"/>
  <c r="H941" i="2"/>
  <c r="O941" i="2"/>
  <c r="P941" i="2" s="1"/>
  <c r="H917" i="2"/>
  <c r="O917" i="2"/>
  <c r="P917" i="2" s="1"/>
  <c r="H845" i="2"/>
  <c r="O845" i="2"/>
  <c r="P845" i="2" s="1"/>
  <c r="H833" i="2"/>
  <c r="O833" i="2"/>
  <c r="P833" i="2" s="1"/>
  <c r="H821" i="2"/>
  <c r="O821" i="2"/>
  <c r="P821" i="2" s="1"/>
  <c r="H809" i="2"/>
  <c r="O809" i="2"/>
  <c r="P809" i="2" s="1"/>
  <c r="H785" i="2"/>
  <c r="O785" i="2"/>
  <c r="P785" i="2" s="1"/>
  <c r="H773" i="2"/>
  <c r="O773" i="2"/>
  <c r="P773" i="2" s="1"/>
  <c r="H737" i="2"/>
  <c r="O737" i="2"/>
  <c r="P737" i="2" s="1"/>
  <c r="H689" i="2"/>
  <c r="O689" i="2"/>
  <c r="P689" i="2" s="1"/>
  <c r="H665" i="2"/>
  <c r="O665" i="2"/>
  <c r="P665" i="2" s="1"/>
  <c r="H605" i="2"/>
  <c r="O605" i="2"/>
  <c r="P605" i="2" s="1"/>
  <c r="H581" i="2"/>
  <c r="O581" i="2"/>
  <c r="P581" i="2" s="1"/>
  <c r="H557" i="2"/>
  <c r="O557" i="2"/>
  <c r="P557" i="2" s="1"/>
  <c r="H545" i="2"/>
  <c r="O545" i="2"/>
  <c r="P545" i="2" s="1"/>
  <c r="H437" i="2"/>
  <c r="O437" i="2"/>
  <c r="P437" i="2" s="1"/>
  <c r="H401" i="2"/>
  <c r="O401" i="2"/>
  <c r="P401" i="2" s="1"/>
  <c r="H365" i="2"/>
  <c r="O365" i="2"/>
  <c r="P365" i="2" s="1"/>
  <c r="H353" i="2"/>
  <c r="O353" i="2"/>
  <c r="P353" i="2" s="1"/>
  <c r="H341" i="2"/>
  <c r="O341" i="2"/>
  <c r="P341" i="2" s="1"/>
  <c r="H329" i="2"/>
  <c r="O329" i="2"/>
  <c r="P329" i="2" s="1"/>
  <c r="H317" i="2"/>
  <c r="O317" i="2"/>
  <c r="P317" i="2" s="1"/>
  <c r="H305" i="2"/>
  <c r="O305" i="2"/>
  <c r="P305" i="2" s="1"/>
  <c r="H245" i="2"/>
  <c r="O245" i="2"/>
  <c r="P245" i="2" s="1"/>
  <c r="H233" i="2"/>
  <c r="O233" i="2"/>
  <c r="P233" i="2" s="1"/>
  <c r="H221" i="2"/>
  <c r="O221" i="2"/>
  <c r="P221" i="2" s="1"/>
  <c r="H209" i="2"/>
  <c r="O209" i="2"/>
  <c r="P209" i="2" s="1"/>
  <c r="H197" i="2"/>
  <c r="O197" i="2"/>
  <c r="P197" i="2" s="1"/>
  <c r="H185" i="2"/>
  <c r="O185" i="2"/>
  <c r="P185" i="2" s="1"/>
  <c r="H173" i="2"/>
  <c r="O173" i="2"/>
  <c r="P173" i="2" s="1"/>
  <c r="H161" i="2"/>
  <c r="O161" i="2"/>
  <c r="P161" i="2" s="1"/>
  <c r="H149" i="2"/>
  <c r="O149" i="2"/>
  <c r="P149" i="2" s="1"/>
  <c r="H137" i="2"/>
  <c r="O137" i="2"/>
  <c r="P137" i="2" s="1"/>
  <c r="H125" i="2"/>
  <c r="O125" i="2"/>
  <c r="P125" i="2" s="1"/>
  <c r="H113" i="2"/>
  <c r="O113" i="2"/>
  <c r="P113" i="2" s="1"/>
  <c r="H101" i="2"/>
  <c r="O101" i="2"/>
  <c r="P101" i="2" s="1"/>
  <c r="H89" i="2"/>
  <c r="O89" i="2"/>
  <c r="P89" i="2" s="1"/>
  <c r="H77" i="2"/>
  <c r="O77" i="2"/>
  <c r="P77" i="2" s="1"/>
  <c r="H65" i="2"/>
  <c r="O65" i="2"/>
  <c r="P65" i="2" s="1"/>
  <c r="H53" i="2"/>
  <c r="O53" i="2"/>
  <c r="P53" i="2" s="1"/>
  <c r="H41" i="2"/>
  <c r="O41" i="2"/>
  <c r="P41" i="2" s="1"/>
  <c r="H29" i="2"/>
  <c r="O29" i="2"/>
  <c r="P29" i="2" s="1"/>
  <c r="H17" i="2"/>
  <c r="O17" i="2"/>
  <c r="P17" i="2" s="1"/>
  <c r="H5" i="2"/>
  <c r="O5" i="2"/>
  <c r="P5" i="2" s="1"/>
  <c r="H2145" i="2"/>
  <c r="H973" i="2"/>
  <c r="H2493" i="2"/>
  <c r="O2493" i="2"/>
  <c r="P2493" i="2" s="1"/>
  <c r="H2481" i="2"/>
  <c r="O2481" i="2"/>
  <c r="P2481" i="2" s="1"/>
  <c r="H2421" i="2"/>
  <c r="O2421" i="2"/>
  <c r="P2421" i="2" s="1"/>
  <c r="H2253" i="2"/>
  <c r="O2253" i="2"/>
  <c r="P2253" i="2" s="1"/>
  <c r="H2157" i="2"/>
  <c r="O2157" i="2"/>
  <c r="P2157" i="2" s="1"/>
  <c r="H2133" i="2"/>
  <c r="O2133" i="2"/>
  <c r="P2133" i="2" s="1"/>
  <c r="H2121" i="2"/>
  <c r="O2121" i="2"/>
  <c r="P2121" i="2" s="1"/>
  <c r="H2109" i="2"/>
  <c r="O2109" i="2"/>
  <c r="P2109" i="2" s="1"/>
  <c r="H2025" i="2"/>
  <c r="O2025" i="2"/>
  <c r="P2025" i="2" s="1"/>
  <c r="H2013" i="2"/>
  <c r="O2013" i="2"/>
  <c r="P2013" i="2" s="1"/>
  <c r="H1905" i="2"/>
  <c r="O1905" i="2"/>
  <c r="P1905" i="2" s="1"/>
  <c r="H1833" i="2"/>
  <c r="O1833" i="2"/>
  <c r="P1833" i="2" s="1"/>
  <c r="H1761" i="2"/>
  <c r="O1761" i="2"/>
  <c r="P1761" i="2" s="1"/>
  <c r="H1749" i="2"/>
  <c r="O1749" i="2"/>
  <c r="P1749" i="2" s="1"/>
  <c r="H1737" i="2"/>
  <c r="O1737" i="2"/>
  <c r="P1737" i="2" s="1"/>
  <c r="H1665" i="2"/>
  <c r="O1665" i="2"/>
  <c r="P1665" i="2" s="1"/>
  <c r="H1653" i="2"/>
  <c r="O1653" i="2"/>
  <c r="P1653" i="2" s="1"/>
  <c r="H1641" i="2"/>
  <c r="O1641" i="2"/>
  <c r="P1641" i="2" s="1"/>
  <c r="H1509" i="2"/>
  <c r="O1509" i="2"/>
  <c r="P1509" i="2" s="1"/>
  <c r="H1497" i="2"/>
  <c r="O1497" i="2"/>
  <c r="P1497" i="2" s="1"/>
  <c r="H1413" i="2"/>
  <c r="O1413" i="2"/>
  <c r="P1413" i="2" s="1"/>
  <c r="H1401" i="2"/>
  <c r="O1401" i="2"/>
  <c r="P1401" i="2" s="1"/>
  <c r="H1389" i="2"/>
  <c r="O1389" i="2"/>
  <c r="P1389" i="2" s="1"/>
  <c r="H1377" i="2"/>
  <c r="O1377" i="2"/>
  <c r="P1377" i="2" s="1"/>
  <c r="H1365" i="2"/>
  <c r="O1365" i="2"/>
  <c r="P1365" i="2" s="1"/>
  <c r="H1353" i="2"/>
  <c r="O1353" i="2"/>
  <c r="P1353" i="2" s="1"/>
  <c r="H1341" i="2"/>
  <c r="O1341" i="2"/>
  <c r="P1341" i="2" s="1"/>
  <c r="H1245" i="2"/>
  <c r="O1245" i="2"/>
  <c r="P1245" i="2" s="1"/>
  <c r="H1125" i="2"/>
  <c r="O1125" i="2"/>
  <c r="P1125" i="2" s="1"/>
  <c r="H1113" i="2"/>
  <c r="O1113" i="2"/>
  <c r="P1113" i="2" s="1"/>
  <c r="H1101" i="2"/>
  <c r="O1101" i="2"/>
  <c r="P1101" i="2" s="1"/>
  <c r="H1089" i="2"/>
  <c r="O1089" i="2"/>
  <c r="P1089" i="2" s="1"/>
  <c r="H969" i="2"/>
  <c r="O969" i="2"/>
  <c r="P969" i="2" s="1"/>
  <c r="H957" i="2"/>
  <c r="O957" i="2"/>
  <c r="P957" i="2" s="1"/>
  <c r="H945" i="2"/>
  <c r="O945" i="2"/>
  <c r="P945" i="2" s="1"/>
  <c r="H897" i="2"/>
  <c r="O897" i="2"/>
  <c r="P897" i="2" s="1"/>
  <c r="H885" i="2"/>
  <c r="O885" i="2"/>
  <c r="P885" i="2" s="1"/>
  <c r="H813" i="2"/>
  <c r="O813" i="2"/>
  <c r="P813" i="2" s="1"/>
  <c r="O801" i="2"/>
  <c r="P801" i="2" s="1"/>
  <c r="H801" i="2"/>
  <c r="H753" i="2"/>
  <c r="O753" i="2"/>
  <c r="P753" i="2" s="1"/>
  <c r="H741" i="2"/>
  <c r="O741" i="2"/>
  <c r="P741" i="2" s="1"/>
  <c r="H645" i="2"/>
  <c r="O645" i="2"/>
  <c r="P645" i="2" s="1"/>
  <c r="H585" i="2"/>
  <c r="O585" i="2"/>
  <c r="P585" i="2" s="1"/>
  <c r="H573" i="2"/>
  <c r="O573" i="2"/>
  <c r="P573" i="2" s="1"/>
  <c r="H525" i="2"/>
  <c r="O525" i="2"/>
  <c r="P525" i="2" s="1"/>
  <c r="H441" i="2"/>
  <c r="O441" i="2"/>
  <c r="P441" i="2" s="1"/>
  <c r="H381" i="2"/>
  <c r="O381" i="2"/>
  <c r="P381" i="2" s="1"/>
  <c r="H369" i="2"/>
  <c r="O369" i="2"/>
  <c r="P369" i="2" s="1"/>
  <c r="H357" i="2"/>
  <c r="O357" i="2"/>
  <c r="P357" i="2" s="1"/>
  <c r="H345" i="2"/>
  <c r="O345" i="2"/>
  <c r="P345" i="2" s="1"/>
  <c r="H297" i="2"/>
  <c r="O297" i="2"/>
  <c r="P297" i="2" s="1"/>
  <c r="H249" i="2"/>
  <c r="O249" i="2"/>
  <c r="P249" i="2" s="1"/>
  <c r="H177" i="2"/>
  <c r="O177" i="2"/>
  <c r="P177" i="2" s="1"/>
  <c r="H165" i="2"/>
  <c r="O165" i="2"/>
  <c r="P165" i="2" s="1"/>
  <c r="H153" i="2"/>
  <c r="O153" i="2"/>
  <c r="P153" i="2" s="1"/>
  <c r="H93" i="2"/>
  <c r="O93" i="2"/>
  <c r="P93" i="2" s="1"/>
  <c r="H33" i="2"/>
  <c r="O33" i="2"/>
  <c r="P33" i="2" s="1"/>
  <c r="H21" i="2"/>
  <c r="O21" i="2"/>
  <c r="P21" i="2" s="1"/>
  <c r="H2443" i="2"/>
  <c r="O2443" i="2"/>
  <c r="P2443" i="2" s="1"/>
  <c r="H2371" i="2"/>
  <c r="O2371" i="2"/>
  <c r="P2371" i="2" s="1"/>
  <c r="H2359" i="2"/>
  <c r="O2359" i="2"/>
  <c r="P2359" i="2" s="1"/>
  <c r="H2323" i="2"/>
  <c r="O2323" i="2"/>
  <c r="P2323" i="2" s="1"/>
  <c r="H2227" i="2"/>
  <c r="O2227" i="2"/>
  <c r="P2227" i="2" s="1"/>
  <c r="H2191" i="2"/>
  <c r="O2191" i="2"/>
  <c r="P2191" i="2" s="1"/>
  <c r="H2155" i="2"/>
  <c r="O2155" i="2"/>
  <c r="P2155" i="2" s="1"/>
  <c r="H2059" i="2"/>
  <c r="O2059" i="2"/>
  <c r="P2059" i="2" s="1"/>
  <c r="H2035" i="2"/>
  <c r="O2035" i="2"/>
  <c r="P2035" i="2" s="1"/>
  <c r="H1963" i="2"/>
  <c r="O1963" i="2"/>
  <c r="P1963" i="2" s="1"/>
  <c r="H1879" i="2"/>
  <c r="O1879" i="2"/>
  <c r="P1879" i="2" s="1"/>
  <c r="H1867" i="2"/>
  <c r="O1867" i="2"/>
  <c r="P1867" i="2" s="1"/>
  <c r="H1831" i="2"/>
  <c r="O1831" i="2"/>
  <c r="P1831" i="2" s="1"/>
  <c r="H2381" i="2"/>
  <c r="O2381" i="2"/>
  <c r="P2381" i="2" s="1"/>
  <c r="H2369" i="2"/>
  <c r="O2369" i="2"/>
  <c r="P2369" i="2" s="1"/>
  <c r="H2357" i="2"/>
  <c r="O2357" i="2"/>
  <c r="P2357" i="2" s="1"/>
  <c r="H2345" i="2"/>
  <c r="O2345" i="2"/>
  <c r="P2345" i="2" s="1"/>
  <c r="H2333" i="2"/>
  <c r="O2333" i="2"/>
  <c r="P2333" i="2" s="1"/>
  <c r="H2261" i="2"/>
  <c r="O2261" i="2"/>
  <c r="P2261" i="2" s="1"/>
  <c r="H2165" i="2"/>
  <c r="O2165" i="2"/>
  <c r="P2165" i="2" s="1"/>
  <c r="H2069" i="2"/>
  <c r="O2069" i="2"/>
  <c r="P2069" i="2" s="1"/>
  <c r="H1949" i="2"/>
  <c r="O1949" i="2"/>
  <c r="P1949" i="2" s="1"/>
  <c r="H1937" i="2"/>
  <c r="O1937" i="2"/>
  <c r="P1937" i="2" s="1"/>
  <c r="H1793" i="2"/>
  <c r="O1793" i="2"/>
  <c r="P1793" i="2" s="1"/>
  <c r="H1757" i="2"/>
  <c r="O1757" i="2"/>
  <c r="P1757" i="2" s="1"/>
  <c r="H1745" i="2"/>
  <c r="O1745" i="2"/>
  <c r="P1745" i="2" s="1"/>
  <c r="H1733" i="2"/>
  <c r="O1733" i="2"/>
  <c r="P1733" i="2" s="1"/>
  <c r="H1721" i="2"/>
  <c r="O1721" i="2"/>
  <c r="P1721" i="2" s="1"/>
  <c r="H1649" i="2"/>
  <c r="O1649" i="2"/>
  <c r="P1649" i="2" s="1"/>
  <c r="H1625" i="2"/>
  <c r="O1625" i="2"/>
  <c r="P1625" i="2" s="1"/>
  <c r="H1601" i="2"/>
  <c r="O1601" i="2"/>
  <c r="P1601" i="2" s="1"/>
  <c r="H1589" i="2"/>
  <c r="O1589" i="2"/>
  <c r="P1589" i="2" s="1"/>
  <c r="H1577" i="2"/>
  <c r="O1577" i="2"/>
  <c r="P1577" i="2" s="1"/>
  <c r="H1541" i="2"/>
  <c r="O1541" i="2"/>
  <c r="P1541" i="2" s="1"/>
  <c r="H1529" i="2"/>
  <c r="O1529" i="2"/>
  <c r="P1529" i="2" s="1"/>
  <c r="H1493" i="2"/>
  <c r="O1493" i="2"/>
  <c r="P1493" i="2" s="1"/>
  <c r="H1469" i="2"/>
  <c r="O1469" i="2"/>
  <c r="P1469" i="2" s="1"/>
  <c r="H1409" i="2"/>
  <c r="O1409" i="2"/>
  <c r="P1409" i="2" s="1"/>
  <c r="H1385" i="2"/>
  <c r="O1385" i="2"/>
  <c r="P1385" i="2" s="1"/>
  <c r="H1373" i="2"/>
  <c r="O1373" i="2"/>
  <c r="P1373" i="2" s="1"/>
  <c r="H1325" i="2"/>
  <c r="O1325" i="2"/>
  <c r="P1325" i="2" s="1"/>
  <c r="H1313" i="2"/>
  <c r="O1313" i="2"/>
  <c r="P1313" i="2" s="1"/>
  <c r="H1289" i="2"/>
  <c r="O1289" i="2"/>
  <c r="P1289" i="2" s="1"/>
  <c r="H1277" i="2"/>
  <c r="O1277" i="2"/>
  <c r="P1277" i="2" s="1"/>
  <c r="H1265" i="2"/>
  <c r="O1265" i="2"/>
  <c r="P1265" i="2" s="1"/>
  <c r="H1253" i="2"/>
  <c r="O1253" i="2"/>
  <c r="P1253" i="2" s="1"/>
  <c r="H1241" i="2"/>
  <c r="O1241" i="2"/>
  <c r="P1241" i="2" s="1"/>
  <c r="H1169" i="2"/>
  <c r="O1169" i="2"/>
  <c r="P1169" i="2" s="1"/>
  <c r="H1133" i="2"/>
  <c r="O1133" i="2"/>
  <c r="P1133" i="2" s="1"/>
  <c r="H1121" i="2"/>
  <c r="O1121" i="2"/>
  <c r="P1121" i="2" s="1"/>
  <c r="H1109" i="2"/>
  <c r="O1109" i="2"/>
  <c r="P1109" i="2" s="1"/>
  <c r="H1097" i="2"/>
  <c r="O1097" i="2"/>
  <c r="P1097" i="2" s="1"/>
  <c r="H1085" i="2"/>
  <c r="O1085" i="2"/>
  <c r="P1085" i="2" s="1"/>
  <c r="H1049" i="2"/>
  <c r="O1049" i="2"/>
  <c r="P1049" i="2" s="1"/>
  <c r="H1037" i="2"/>
  <c r="O1037" i="2"/>
  <c r="P1037" i="2" s="1"/>
  <c r="H1025" i="2"/>
  <c r="O1025" i="2"/>
  <c r="P1025" i="2" s="1"/>
  <c r="H1013" i="2"/>
  <c r="O1013" i="2"/>
  <c r="P1013" i="2" s="1"/>
  <c r="H989" i="2"/>
  <c r="O989" i="2"/>
  <c r="P989" i="2" s="1"/>
  <c r="H977" i="2"/>
  <c r="O977" i="2"/>
  <c r="P977" i="2" s="1"/>
  <c r="H965" i="2"/>
  <c r="O965" i="2"/>
  <c r="P965" i="2" s="1"/>
  <c r="H953" i="2"/>
  <c r="O953" i="2"/>
  <c r="P953" i="2" s="1"/>
  <c r="H929" i="2"/>
  <c r="O929" i="2"/>
  <c r="P929" i="2" s="1"/>
  <c r="H905" i="2"/>
  <c r="O905" i="2"/>
  <c r="P905" i="2" s="1"/>
  <c r="H893" i="2"/>
  <c r="O893" i="2"/>
  <c r="P893" i="2" s="1"/>
  <c r="H881" i="2"/>
  <c r="O881" i="2"/>
  <c r="P881" i="2" s="1"/>
  <c r="H869" i="2"/>
  <c r="O869" i="2"/>
  <c r="P869" i="2" s="1"/>
  <c r="H857" i="2"/>
  <c r="O857" i="2"/>
  <c r="P857" i="2" s="1"/>
  <c r="H797" i="2"/>
  <c r="O797" i="2"/>
  <c r="P797" i="2" s="1"/>
  <c r="H761" i="2"/>
  <c r="O761" i="2"/>
  <c r="P761" i="2" s="1"/>
  <c r="H749" i="2"/>
  <c r="O749" i="2"/>
  <c r="P749" i="2" s="1"/>
  <c r="H725" i="2"/>
  <c r="O725" i="2"/>
  <c r="P725" i="2" s="1"/>
  <c r="H713" i="2"/>
  <c r="O713" i="2"/>
  <c r="P713" i="2" s="1"/>
  <c r="H701" i="2"/>
  <c r="O701" i="2"/>
  <c r="P701" i="2" s="1"/>
  <c r="H677" i="2"/>
  <c r="O677" i="2"/>
  <c r="P677" i="2" s="1"/>
  <c r="H653" i="2"/>
  <c r="O653" i="2"/>
  <c r="P653" i="2" s="1"/>
  <c r="H641" i="2"/>
  <c r="O641" i="2"/>
  <c r="P641" i="2" s="1"/>
  <c r="H629" i="2"/>
  <c r="O629" i="2"/>
  <c r="P629" i="2" s="1"/>
  <c r="H617" i="2"/>
  <c r="O617" i="2"/>
  <c r="P617" i="2" s="1"/>
  <c r="H593" i="2"/>
  <c r="O593" i="2"/>
  <c r="P593" i="2" s="1"/>
  <c r="H569" i="2"/>
  <c r="O569" i="2"/>
  <c r="P569" i="2" s="1"/>
  <c r="H533" i="2"/>
  <c r="O533" i="2"/>
  <c r="P533" i="2" s="1"/>
  <c r="H521" i="2"/>
  <c r="O521" i="2"/>
  <c r="P521" i="2" s="1"/>
  <c r="H509" i="2"/>
  <c r="O509" i="2"/>
  <c r="P509" i="2" s="1"/>
  <c r="H497" i="2"/>
  <c r="O497" i="2"/>
  <c r="P497" i="2" s="1"/>
  <c r="H485" i="2"/>
  <c r="O485" i="2"/>
  <c r="P485" i="2" s="1"/>
  <c r="H473" i="2"/>
  <c r="O473" i="2"/>
  <c r="P473" i="2" s="1"/>
  <c r="H461" i="2"/>
  <c r="O461" i="2"/>
  <c r="P461" i="2" s="1"/>
  <c r="H449" i="2"/>
  <c r="O449" i="2"/>
  <c r="P449" i="2" s="1"/>
  <c r="H425" i="2"/>
  <c r="O425" i="2"/>
  <c r="P425" i="2" s="1"/>
  <c r="H413" i="2"/>
  <c r="O413" i="2"/>
  <c r="P413" i="2" s="1"/>
  <c r="H389" i="2"/>
  <c r="O389" i="2"/>
  <c r="P389" i="2" s="1"/>
  <c r="H377" i="2"/>
  <c r="O377" i="2"/>
  <c r="P377" i="2" s="1"/>
  <c r="H293" i="2"/>
  <c r="O293" i="2"/>
  <c r="P293" i="2" s="1"/>
  <c r="H281" i="2"/>
  <c r="O281" i="2"/>
  <c r="P281" i="2" s="1"/>
  <c r="H269" i="2"/>
  <c r="O269" i="2"/>
  <c r="P269" i="2" s="1"/>
  <c r="H257" i="2"/>
  <c r="O257" i="2"/>
  <c r="P257" i="2" s="1"/>
  <c r="H1677" i="2"/>
  <c r="H2457" i="2"/>
  <c r="O2457" i="2"/>
  <c r="P2457" i="2" s="1"/>
  <c r="H2397" i="2"/>
  <c r="O2397" i="2"/>
  <c r="P2397" i="2" s="1"/>
  <c r="H2277" i="2"/>
  <c r="O2277" i="2"/>
  <c r="P2277" i="2" s="1"/>
  <c r="O2265" i="2"/>
  <c r="P2265" i="2" s="1"/>
  <c r="H2265" i="2"/>
  <c r="H2241" i="2"/>
  <c r="O2241" i="2"/>
  <c r="P2241" i="2" s="1"/>
  <c r="H2491" i="2"/>
  <c r="O2491" i="2"/>
  <c r="P2491" i="2" s="1"/>
  <c r="H2467" i="2"/>
  <c r="O2467" i="2"/>
  <c r="P2467" i="2" s="1"/>
  <c r="H2455" i="2"/>
  <c r="O2455" i="2"/>
  <c r="P2455" i="2" s="1"/>
  <c r="H2383" i="2"/>
  <c r="O2383" i="2"/>
  <c r="P2383" i="2" s="1"/>
  <c r="H2263" i="2"/>
  <c r="O2263" i="2"/>
  <c r="P2263" i="2" s="1"/>
  <c r="H2143" i="2"/>
  <c r="O2143" i="2"/>
  <c r="P2143" i="2" s="1"/>
  <c r="H2131" i="2"/>
  <c r="O2131" i="2"/>
  <c r="P2131" i="2" s="1"/>
  <c r="H2107" i="2"/>
  <c r="O2107" i="2"/>
  <c r="P2107" i="2" s="1"/>
  <c r="H2095" i="2"/>
  <c r="O2095" i="2"/>
  <c r="P2095" i="2" s="1"/>
  <c r="H2011" i="2"/>
  <c r="O2011" i="2"/>
  <c r="P2011" i="2" s="1"/>
  <c r="H1951" i="2"/>
  <c r="O1951" i="2"/>
  <c r="P1951" i="2" s="1"/>
  <c r="H1783" i="2"/>
  <c r="O1783" i="2"/>
  <c r="P1783" i="2" s="1"/>
  <c r="H2429" i="2"/>
  <c r="O2429" i="2"/>
  <c r="P2429" i="2" s="1"/>
  <c r="H2417" i="2"/>
  <c r="O2417" i="2"/>
  <c r="P2417" i="2" s="1"/>
  <c r="H2405" i="2"/>
  <c r="O2405" i="2"/>
  <c r="P2405" i="2" s="1"/>
  <c r="H2393" i="2"/>
  <c r="O2393" i="2"/>
  <c r="P2393" i="2" s="1"/>
  <c r="H2297" i="2"/>
  <c r="O2297" i="2"/>
  <c r="P2297" i="2" s="1"/>
  <c r="H2249" i="2"/>
  <c r="O2249" i="2"/>
  <c r="P2249" i="2" s="1"/>
  <c r="H2237" i="2"/>
  <c r="O2237" i="2"/>
  <c r="P2237" i="2" s="1"/>
  <c r="H2153" i="2"/>
  <c r="O2153" i="2"/>
  <c r="P2153" i="2" s="1"/>
  <c r="H2105" i="2"/>
  <c r="O2105" i="2"/>
  <c r="P2105" i="2" s="1"/>
  <c r="H2093" i="2"/>
  <c r="O2093" i="2"/>
  <c r="P2093" i="2" s="1"/>
  <c r="H2081" i="2"/>
  <c r="O2081" i="2"/>
  <c r="P2081" i="2" s="1"/>
  <c r="H2033" i="2"/>
  <c r="O2033" i="2"/>
  <c r="P2033" i="2" s="1"/>
  <c r="H2009" i="2"/>
  <c r="O2009" i="2"/>
  <c r="P2009" i="2" s="1"/>
  <c r="H1997" i="2"/>
  <c r="O1997" i="2"/>
  <c r="P1997" i="2" s="1"/>
  <c r="H1925" i="2"/>
  <c r="O1925" i="2"/>
  <c r="P1925" i="2" s="1"/>
  <c r="H2485" i="2"/>
  <c r="O2485" i="2"/>
  <c r="P2485" i="2" s="1"/>
  <c r="H2461" i="2"/>
  <c r="O2461" i="2"/>
  <c r="P2461" i="2" s="1"/>
  <c r="H2449" i="2"/>
  <c r="O2449" i="2"/>
  <c r="P2449" i="2" s="1"/>
  <c r="H2437" i="2"/>
  <c r="O2437" i="2"/>
  <c r="P2437" i="2" s="1"/>
  <c r="H2413" i="2"/>
  <c r="O2413" i="2"/>
  <c r="P2413" i="2" s="1"/>
  <c r="H2401" i="2"/>
  <c r="O2401" i="2"/>
  <c r="P2401" i="2" s="1"/>
  <c r="H2389" i="2"/>
  <c r="O2389" i="2"/>
  <c r="P2389" i="2" s="1"/>
  <c r="H2377" i="2"/>
  <c r="O2377" i="2"/>
  <c r="P2377" i="2" s="1"/>
  <c r="H2365" i="2"/>
  <c r="O2365" i="2"/>
  <c r="P2365" i="2" s="1"/>
  <c r="H2341" i="2"/>
  <c r="O2341" i="2"/>
  <c r="P2341" i="2" s="1"/>
  <c r="H2317" i="2"/>
  <c r="O2317" i="2"/>
  <c r="P2317" i="2" s="1"/>
  <c r="H2293" i="2"/>
  <c r="O2293" i="2"/>
  <c r="P2293" i="2" s="1"/>
  <c r="H2269" i="2"/>
  <c r="O2269" i="2"/>
  <c r="P2269" i="2" s="1"/>
  <c r="H2257" i="2"/>
  <c r="O2257" i="2"/>
  <c r="P2257" i="2" s="1"/>
  <c r="H2245" i="2"/>
  <c r="O2245" i="2"/>
  <c r="P2245" i="2" s="1"/>
  <c r="H2221" i="2"/>
  <c r="O2221" i="2"/>
  <c r="P2221" i="2" s="1"/>
  <c r="H2185" i="2"/>
  <c r="O2185" i="2"/>
  <c r="P2185" i="2" s="1"/>
  <c r="H2173" i="2"/>
  <c r="O2173" i="2"/>
  <c r="P2173" i="2" s="1"/>
  <c r="H2149" i="2"/>
  <c r="O2149" i="2"/>
  <c r="P2149" i="2" s="1"/>
  <c r="H2137" i="2"/>
  <c r="O2137" i="2"/>
  <c r="P2137" i="2" s="1"/>
  <c r="H2053" i="2"/>
  <c r="O2053" i="2"/>
  <c r="P2053" i="2" s="1"/>
  <c r="H2029" i="2"/>
  <c r="O2029" i="2"/>
  <c r="P2029" i="2" s="1"/>
  <c r="H2017" i="2"/>
  <c r="O2017" i="2"/>
  <c r="P2017" i="2" s="1"/>
  <c r="H2005" i="2"/>
  <c r="O2005" i="2"/>
  <c r="P2005" i="2" s="1"/>
  <c r="H1993" i="2"/>
  <c r="O1993" i="2"/>
  <c r="P1993" i="2" s="1"/>
  <c r="H1969" i="2"/>
  <c r="O1969" i="2"/>
  <c r="P1969" i="2" s="1"/>
  <c r="H1909" i="2"/>
  <c r="O1909" i="2"/>
  <c r="P1909" i="2" s="1"/>
  <c r="H1897" i="2"/>
  <c r="O1897" i="2"/>
  <c r="P1897" i="2" s="1"/>
  <c r="H1885" i="2"/>
  <c r="O1885" i="2"/>
  <c r="P1885" i="2" s="1"/>
  <c r="H1861" i="2"/>
  <c r="O1861" i="2"/>
  <c r="P1861" i="2" s="1"/>
  <c r="H1849" i="2"/>
  <c r="O1849" i="2"/>
  <c r="P1849" i="2" s="1"/>
  <c r="H1837" i="2"/>
  <c r="O1837" i="2"/>
  <c r="P1837" i="2" s="1"/>
  <c r="H1801" i="2"/>
  <c r="O1801" i="2"/>
  <c r="P1801" i="2" s="1"/>
  <c r="H1777" i="2"/>
  <c r="O1777" i="2"/>
  <c r="P1777" i="2" s="1"/>
  <c r="H1765" i="2"/>
  <c r="O1765" i="2"/>
  <c r="P1765" i="2" s="1"/>
  <c r="H1729" i="2"/>
  <c r="O1729" i="2"/>
  <c r="P1729" i="2" s="1"/>
  <c r="H1717" i="2"/>
  <c r="O1717" i="2"/>
  <c r="P1717" i="2" s="1"/>
  <c r="H1693" i="2"/>
  <c r="O1693" i="2"/>
  <c r="P1693" i="2" s="1"/>
  <c r="H1681" i="2"/>
  <c r="O1681" i="2"/>
  <c r="P1681" i="2" s="1"/>
  <c r="H1669" i="2"/>
  <c r="O1669" i="2"/>
  <c r="P1669" i="2" s="1"/>
  <c r="H1645" i="2"/>
  <c r="O1645" i="2"/>
  <c r="P1645" i="2" s="1"/>
  <c r="H1633" i="2"/>
  <c r="O1633" i="2"/>
  <c r="P1633" i="2" s="1"/>
  <c r="H1585" i="2"/>
  <c r="O1585" i="2"/>
  <c r="P1585" i="2" s="1"/>
  <c r="H1573" i="2"/>
  <c r="O1573" i="2"/>
  <c r="P1573" i="2" s="1"/>
  <c r="H1561" i="2"/>
  <c r="O1561" i="2"/>
  <c r="P1561" i="2" s="1"/>
  <c r="H1549" i="2"/>
  <c r="O1549" i="2"/>
  <c r="P1549" i="2" s="1"/>
  <c r="O1489" i="2"/>
  <c r="P1489" i="2" s="1"/>
  <c r="H1489" i="2"/>
  <c r="H1477" i="2"/>
  <c r="O1477" i="2"/>
  <c r="P1477" i="2" s="1"/>
  <c r="H1465" i="2"/>
  <c r="O1465" i="2"/>
  <c r="P1465" i="2" s="1"/>
  <c r="H1441" i="2"/>
  <c r="O1441" i="2"/>
  <c r="P1441" i="2" s="1"/>
  <c r="H1417" i="2"/>
  <c r="O1417" i="2"/>
  <c r="P1417" i="2" s="1"/>
  <c r="H1405" i="2"/>
  <c r="O1405" i="2"/>
  <c r="P1405" i="2" s="1"/>
  <c r="H1393" i="2"/>
  <c r="O1393" i="2"/>
  <c r="P1393" i="2" s="1"/>
  <c r="H1381" i="2"/>
  <c r="O1381" i="2"/>
  <c r="P1381" i="2" s="1"/>
  <c r="H1369" i="2"/>
  <c r="O1369" i="2"/>
  <c r="P1369" i="2" s="1"/>
  <c r="H1345" i="2"/>
  <c r="O1345" i="2"/>
  <c r="P1345" i="2" s="1"/>
  <c r="H1333" i="2"/>
  <c r="O1333" i="2"/>
  <c r="P1333" i="2" s="1"/>
  <c r="H1321" i="2"/>
  <c r="O1321" i="2"/>
  <c r="P1321" i="2" s="1"/>
  <c r="H1285" i="2"/>
  <c r="O1285" i="2"/>
  <c r="P1285" i="2" s="1"/>
  <c r="H1237" i="2"/>
  <c r="O1237" i="2"/>
  <c r="P1237" i="2" s="1"/>
  <c r="H1225" i="2"/>
  <c r="O1225" i="2"/>
  <c r="P1225" i="2" s="1"/>
  <c r="O1213" i="2"/>
  <c r="P1213" i="2" s="1"/>
  <c r="H1213" i="2"/>
  <c r="H1177" i="2"/>
  <c r="O1177" i="2"/>
  <c r="P1177" i="2" s="1"/>
  <c r="H1129" i="2"/>
  <c r="O1129" i="2"/>
  <c r="P1129" i="2" s="1"/>
  <c r="H1117" i="2"/>
  <c r="O1117" i="2"/>
  <c r="P1117" i="2" s="1"/>
  <c r="H1093" i="2"/>
  <c r="O1093" i="2"/>
  <c r="P1093" i="2" s="1"/>
  <c r="H1081" i="2"/>
  <c r="O1081" i="2"/>
  <c r="P1081" i="2" s="1"/>
  <c r="H1057" i="2"/>
  <c r="O1057" i="2"/>
  <c r="P1057" i="2" s="1"/>
  <c r="H1045" i="2"/>
  <c r="O1045" i="2"/>
  <c r="P1045" i="2" s="1"/>
  <c r="H997" i="2"/>
  <c r="O997" i="2"/>
  <c r="P997" i="2" s="1"/>
  <c r="H985" i="2"/>
  <c r="O985" i="2"/>
  <c r="P985" i="2" s="1"/>
  <c r="H961" i="2"/>
  <c r="O961" i="2"/>
  <c r="P961" i="2" s="1"/>
  <c r="H937" i="2"/>
  <c r="O937" i="2"/>
  <c r="P937" i="2" s="1"/>
  <c r="H925" i="2"/>
  <c r="O925" i="2"/>
  <c r="P925" i="2" s="1"/>
  <c r="H913" i="2"/>
  <c r="O913" i="2"/>
  <c r="P913" i="2" s="1"/>
  <c r="H889" i="2"/>
  <c r="O889" i="2"/>
  <c r="P889" i="2" s="1"/>
  <c r="H877" i="2"/>
  <c r="O877" i="2"/>
  <c r="P877" i="2" s="1"/>
  <c r="H865" i="2"/>
  <c r="O865" i="2"/>
  <c r="P865" i="2" s="1"/>
  <c r="H853" i="2"/>
  <c r="O853" i="2"/>
  <c r="P853" i="2" s="1"/>
  <c r="H841" i="2"/>
  <c r="O841" i="2"/>
  <c r="P841" i="2" s="1"/>
  <c r="H829" i="2"/>
  <c r="O829" i="2"/>
  <c r="P829" i="2" s="1"/>
  <c r="H805" i="2"/>
  <c r="O805" i="2"/>
  <c r="P805" i="2" s="1"/>
  <c r="H793" i="2"/>
  <c r="O793" i="2"/>
  <c r="P793" i="2" s="1"/>
  <c r="H757" i="2"/>
  <c r="O757" i="2"/>
  <c r="P757" i="2" s="1"/>
  <c r="H745" i="2"/>
  <c r="O745" i="2"/>
  <c r="P745" i="2" s="1"/>
  <c r="H709" i="2"/>
  <c r="O709" i="2"/>
  <c r="P709" i="2" s="1"/>
  <c r="H697" i="2"/>
  <c r="O697" i="2"/>
  <c r="P697" i="2" s="1"/>
  <c r="H685" i="2"/>
  <c r="O685" i="2"/>
  <c r="P685" i="2" s="1"/>
  <c r="H673" i="2"/>
  <c r="O673" i="2"/>
  <c r="P673" i="2" s="1"/>
  <c r="H661" i="2"/>
  <c r="O661" i="2"/>
  <c r="P661" i="2" s="1"/>
  <c r="H649" i="2"/>
  <c r="O649" i="2"/>
  <c r="P649" i="2" s="1"/>
  <c r="H613" i="2"/>
  <c r="O613" i="2"/>
  <c r="P613" i="2" s="1"/>
  <c r="H589" i="2"/>
  <c r="O589" i="2"/>
  <c r="P589" i="2" s="1"/>
  <c r="H577" i="2"/>
  <c r="O577" i="2"/>
  <c r="P577" i="2" s="1"/>
  <c r="H565" i="2"/>
  <c r="O565" i="2"/>
  <c r="P565" i="2" s="1"/>
  <c r="H553" i="2"/>
  <c r="O553" i="2"/>
  <c r="P553" i="2" s="1"/>
  <c r="H541" i="2"/>
  <c r="O541" i="2"/>
  <c r="P541" i="2" s="1"/>
  <c r="H529" i="2"/>
  <c r="O529" i="2"/>
  <c r="P529" i="2" s="1"/>
  <c r="H517" i="2"/>
  <c r="O517" i="2"/>
  <c r="P517" i="2" s="1"/>
  <c r="H505" i="2"/>
  <c r="O505" i="2"/>
  <c r="P505" i="2" s="1"/>
  <c r="H493" i="2"/>
  <c r="O493" i="2"/>
  <c r="P493" i="2" s="1"/>
  <c r="H457" i="2"/>
  <c r="O457" i="2"/>
  <c r="P457" i="2" s="1"/>
  <c r="H445" i="2"/>
  <c r="O445" i="2"/>
  <c r="P445" i="2" s="1"/>
  <c r="H433" i="2"/>
  <c r="O433" i="2"/>
  <c r="P433" i="2" s="1"/>
  <c r="H421" i="2"/>
  <c r="O421" i="2"/>
  <c r="P421" i="2" s="1"/>
  <c r="O409" i="2"/>
  <c r="P409" i="2" s="1"/>
  <c r="H409" i="2"/>
  <c r="H397" i="2"/>
  <c r="O397" i="2"/>
  <c r="P397" i="2" s="1"/>
  <c r="H2496" i="2"/>
  <c r="O2496" i="2"/>
  <c r="P2496" i="2" s="1"/>
  <c r="H2484" i="2"/>
  <c r="O2484" i="2"/>
  <c r="P2484" i="2" s="1"/>
  <c r="H2472" i="2"/>
  <c r="O2472" i="2"/>
  <c r="P2472" i="2" s="1"/>
  <c r="H2460" i="2"/>
  <c r="O2460" i="2"/>
  <c r="P2460" i="2" s="1"/>
  <c r="H2448" i="2"/>
  <c r="O2448" i="2"/>
  <c r="P2448" i="2" s="1"/>
  <c r="H2436" i="2"/>
  <c r="O2436" i="2"/>
  <c r="P2436" i="2" s="1"/>
  <c r="H2424" i="2"/>
  <c r="O2424" i="2"/>
  <c r="P2424" i="2" s="1"/>
  <c r="H2412" i="2"/>
  <c r="O2412" i="2"/>
  <c r="P2412" i="2" s="1"/>
  <c r="H2400" i="2"/>
  <c r="O2400" i="2"/>
  <c r="P2400" i="2" s="1"/>
  <c r="H2388" i="2"/>
  <c r="O2388" i="2"/>
  <c r="P2388" i="2" s="1"/>
  <c r="H2376" i="2"/>
  <c r="O2376" i="2"/>
  <c r="P2376" i="2" s="1"/>
  <c r="H2364" i="2"/>
  <c r="O2364" i="2"/>
  <c r="P2364" i="2" s="1"/>
  <c r="O2352" i="2"/>
  <c r="P2352" i="2" s="1"/>
  <c r="H2340" i="2"/>
  <c r="O2340" i="2"/>
  <c r="P2340" i="2" s="1"/>
  <c r="H2328" i="2"/>
  <c r="O2328" i="2"/>
  <c r="P2328" i="2" s="1"/>
  <c r="H2316" i="2"/>
  <c r="O2316" i="2"/>
  <c r="P2316" i="2" s="1"/>
  <c r="H2304" i="2"/>
  <c r="O2304" i="2"/>
  <c r="P2304" i="2" s="1"/>
  <c r="H2292" i="2"/>
  <c r="O2292" i="2"/>
  <c r="P2292" i="2" s="1"/>
  <c r="H2280" i="2"/>
  <c r="O2280" i="2"/>
  <c r="P2280" i="2" s="1"/>
  <c r="H2268" i="2"/>
  <c r="O2268" i="2"/>
  <c r="P2268" i="2" s="1"/>
  <c r="H2256" i="2"/>
  <c r="O2256" i="2"/>
  <c r="P2256" i="2" s="1"/>
  <c r="H2244" i="2"/>
  <c r="O2244" i="2"/>
  <c r="P2244" i="2" s="1"/>
  <c r="H2232" i="2"/>
  <c r="O2232" i="2"/>
  <c r="P2232" i="2" s="1"/>
  <c r="H2220" i="2"/>
  <c r="O2220" i="2"/>
  <c r="P2220" i="2" s="1"/>
  <c r="H2208" i="2"/>
  <c r="O2208" i="2"/>
  <c r="P2208" i="2" s="1"/>
  <c r="H2196" i="2"/>
  <c r="O2196" i="2"/>
  <c r="P2196" i="2" s="1"/>
  <c r="H2184" i="2"/>
  <c r="O2184" i="2"/>
  <c r="P2184" i="2" s="1"/>
  <c r="H2172" i="2"/>
  <c r="O2172" i="2"/>
  <c r="P2172" i="2" s="1"/>
  <c r="H2160" i="2"/>
  <c r="O2160" i="2"/>
  <c r="P2160" i="2" s="1"/>
  <c r="H2148" i="2"/>
  <c r="O2148" i="2"/>
  <c r="P2148" i="2" s="1"/>
  <c r="H2136" i="2"/>
  <c r="O2136" i="2"/>
  <c r="P2136" i="2" s="1"/>
  <c r="H2124" i="2"/>
  <c r="O2124" i="2"/>
  <c r="P2124" i="2" s="1"/>
  <c r="H2112" i="2"/>
  <c r="O2112" i="2"/>
  <c r="P2112" i="2" s="1"/>
  <c r="H2100" i="2"/>
  <c r="O2100" i="2"/>
  <c r="P2100" i="2" s="1"/>
  <c r="H2088" i="2"/>
  <c r="O2088" i="2"/>
  <c r="P2088" i="2" s="1"/>
  <c r="H2076" i="2"/>
  <c r="O2076" i="2"/>
  <c r="P2076" i="2" s="1"/>
  <c r="H2064" i="2"/>
  <c r="O2064" i="2"/>
  <c r="P2064" i="2" s="1"/>
  <c r="H2052" i="2"/>
  <c r="O2052" i="2"/>
  <c r="P2052" i="2" s="1"/>
  <c r="H2040" i="2"/>
  <c r="O2040" i="2"/>
  <c r="P2040" i="2" s="1"/>
  <c r="H2028" i="2"/>
  <c r="O2028" i="2"/>
  <c r="P2028" i="2" s="1"/>
  <c r="H2016" i="2"/>
  <c r="O2016" i="2"/>
  <c r="P2016" i="2" s="1"/>
  <c r="H2004" i="2"/>
  <c r="O2004" i="2"/>
  <c r="P2004" i="2" s="1"/>
  <c r="H1992" i="2"/>
  <c r="O1992" i="2"/>
  <c r="P1992" i="2" s="1"/>
  <c r="H1980" i="2"/>
  <c r="O1980" i="2"/>
  <c r="P1980" i="2" s="1"/>
  <c r="H1968" i="2"/>
  <c r="O1968" i="2"/>
  <c r="P1968" i="2" s="1"/>
  <c r="H1956" i="2"/>
  <c r="O1956" i="2"/>
  <c r="P1956" i="2" s="1"/>
  <c r="H1944" i="2"/>
  <c r="O1944" i="2"/>
  <c r="P1944" i="2" s="1"/>
  <c r="H1932" i="2"/>
  <c r="O1932" i="2"/>
  <c r="P1932" i="2" s="1"/>
  <c r="H1920" i="2"/>
  <c r="O1920" i="2"/>
  <c r="P1920" i="2" s="1"/>
  <c r="H1908" i="2"/>
  <c r="O1908" i="2"/>
  <c r="P1908" i="2" s="1"/>
  <c r="H1896" i="2"/>
  <c r="O1896" i="2"/>
  <c r="P1896" i="2" s="1"/>
  <c r="H1884" i="2"/>
  <c r="O1884" i="2"/>
  <c r="P1884" i="2" s="1"/>
  <c r="H1872" i="2"/>
  <c r="O1872" i="2"/>
  <c r="P1872" i="2" s="1"/>
  <c r="H1860" i="2"/>
  <c r="O1860" i="2"/>
  <c r="P1860" i="2" s="1"/>
  <c r="H1848" i="2"/>
  <c r="O1848" i="2"/>
  <c r="P1848" i="2" s="1"/>
  <c r="H1836" i="2"/>
  <c r="O1836" i="2"/>
  <c r="P1836" i="2" s="1"/>
  <c r="H1824" i="2"/>
  <c r="O1824" i="2"/>
  <c r="P1824" i="2" s="1"/>
  <c r="H1812" i="2"/>
  <c r="O1812" i="2"/>
  <c r="P1812" i="2" s="1"/>
  <c r="H1800" i="2"/>
  <c r="O1800" i="2"/>
  <c r="P1800" i="2" s="1"/>
  <c r="H1788" i="2"/>
  <c r="O1788" i="2"/>
  <c r="P1788" i="2" s="1"/>
  <c r="O1776" i="2"/>
  <c r="P1776" i="2" s="1"/>
  <c r="H1764" i="2"/>
  <c r="O1764" i="2"/>
  <c r="P1764" i="2" s="1"/>
  <c r="H1752" i="2"/>
  <c r="O1752" i="2"/>
  <c r="P1752" i="2" s="1"/>
  <c r="H1740" i="2"/>
  <c r="O1740" i="2"/>
  <c r="P1740" i="2" s="1"/>
  <c r="H1728" i="2"/>
  <c r="O1728" i="2"/>
  <c r="P1728" i="2" s="1"/>
  <c r="H1716" i="2"/>
  <c r="O1716" i="2"/>
  <c r="P1716" i="2" s="1"/>
  <c r="H1704" i="2"/>
  <c r="O1704" i="2"/>
  <c r="P1704" i="2" s="1"/>
  <c r="H1692" i="2"/>
  <c r="O1692" i="2"/>
  <c r="P1692" i="2" s="1"/>
  <c r="H1680" i="2"/>
  <c r="O1680" i="2"/>
  <c r="P1680" i="2" s="1"/>
  <c r="H1668" i="2"/>
  <c r="O1668" i="2"/>
  <c r="P1668" i="2" s="1"/>
  <c r="H1656" i="2"/>
  <c r="O1656" i="2"/>
  <c r="P1656" i="2" s="1"/>
  <c r="H1644" i="2"/>
  <c r="O1644" i="2"/>
  <c r="P1644" i="2" s="1"/>
  <c r="H1632" i="2"/>
  <c r="O1632" i="2"/>
  <c r="P1632" i="2" s="1"/>
  <c r="H1620" i="2"/>
  <c r="O1620" i="2"/>
  <c r="P1620" i="2" s="1"/>
  <c r="H1608" i="2"/>
  <c r="O1608" i="2"/>
  <c r="P1608" i="2" s="1"/>
  <c r="H1596" i="2"/>
  <c r="O1596" i="2"/>
  <c r="P1596" i="2" s="1"/>
  <c r="H1584" i="2"/>
  <c r="O1584" i="2"/>
  <c r="P1584" i="2" s="1"/>
  <c r="H1572" i="2"/>
  <c r="O1572" i="2"/>
  <c r="P1572" i="2" s="1"/>
  <c r="H1560" i="2"/>
  <c r="O1560" i="2"/>
  <c r="P1560" i="2" s="1"/>
  <c r="H1548" i="2"/>
  <c r="O1548" i="2"/>
  <c r="P1548" i="2" s="1"/>
  <c r="H1536" i="2"/>
  <c r="O1536" i="2"/>
  <c r="P1536" i="2" s="1"/>
  <c r="H1524" i="2"/>
  <c r="O1524" i="2"/>
  <c r="P1524" i="2" s="1"/>
  <c r="H1512" i="2"/>
  <c r="O1512" i="2"/>
  <c r="P1512" i="2" s="1"/>
  <c r="H1500" i="2"/>
  <c r="O1500" i="2"/>
  <c r="P1500" i="2" s="1"/>
  <c r="H1488" i="2"/>
  <c r="O1488" i="2"/>
  <c r="P1488" i="2" s="1"/>
  <c r="H1476" i="2"/>
  <c r="O1476" i="2"/>
  <c r="P1476" i="2" s="1"/>
  <c r="H1464" i="2"/>
  <c r="O1464" i="2"/>
  <c r="P1464" i="2" s="1"/>
  <c r="H1452" i="2"/>
  <c r="O1452" i="2"/>
  <c r="P1452" i="2" s="1"/>
  <c r="H1440" i="2"/>
  <c r="O1440" i="2"/>
  <c r="P1440" i="2" s="1"/>
  <c r="H1428" i="2"/>
  <c r="O1428" i="2"/>
  <c r="P1428" i="2" s="1"/>
  <c r="H1416" i="2"/>
  <c r="O1416" i="2"/>
  <c r="P1416" i="2" s="1"/>
  <c r="H1404" i="2"/>
  <c r="O1404" i="2"/>
  <c r="P1404" i="2" s="1"/>
  <c r="H1392" i="2"/>
  <c r="O1392" i="2"/>
  <c r="P1392" i="2" s="1"/>
  <c r="H1380" i="2"/>
  <c r="O1380" i="2"/>
  <c r="P1380" i="2" s="1"/>
  <c r="H1368" i="2"/>
  <c r="O1368" i="2"/>
  <c r="P1368" i="2" s="1"/>
  <c r="H1356" i="2"/>
  <c r="O1356" i="2"/>
  <c r="P1356" i="2" s="1"/>
  <c r="H1344" i="2"/>
  <c r="O1344" i="2"/>
  <c r="P1344" i="2" s="1"/>
  <c r="H1332" i="2"/>
  <c r="O1332" i="2"/>
  <c r="P1332" i="2" s="1"/>
  <c r="H1320" i="2"/>
  <c r="O1320" i="2"/>
  <c r="P1320" i="2" s="1"/>
  <c r="H1308" i="2"/>
  <c r="O1308" i="2"/>
  <c r="P1308" i="2" s="1"/>
  <c r="H1296" i="2"/>
  <c r="O1296" i="2"/>
  <c r="P1296" i="2" s="1"/>
  <c r="H1284" i="2"/>
  <c r="O1284" i="2"/>
  <c r="P1284" i="2" s="1"/>
  <c r="H1272" i="2"/>
  <c r="O1272" i="2"/>
  <c r="P1272" i="2" s="1"/>
  <c r="H1260" i="2"/>
  <c r="O1260" i="2"/>
  <c r="P1260" i="2" s="1"/>
  <c r="H1248" i="2"/>
  <c r="O1248" i="2"/>
  <c r="P1248" i="2" s="1"/>
  <c r="H1236" i="2"/>
  <c r="O1236" i="2"/>
  <c r="P1236" i="2" s="1"/>
  <c r="H1224" i="2"/>
  <c r="O1224" i="2"/>
  <c r="P1224" i="2" s="1"/>
  <c r="H1212" i="2"/>
  <c r="O1212" i="2"/>
  <c r="P1212" i="2" s="1"/>
  <c r="H1200" i="2"/>
  <c r="O1200" i="2"/>
  <c r="P1200" i="2" s="1"/>
  <c r="H1188" i="2"/>
  <c r="O1188" i="2"/>
  <c r="P1188" i="2" s="1"/>
  <c r="H1176" i="2"/>
  <c r="O1176" i="2"/>
  <c r="P1176" i="2" s="1"/>
  <c r="H1164" i="2"/>
  <c r="O1164" i="2"/>
  <c r="P1164" i="2" s="1"/>
  <c r="H1152" i="2"/>
  <c r="O1152" i="2"/>
  <c r="P1152" i="2" s="1"/>
  <c r="H1140" i="2"/>
  <c r="O1140" i="2"/>
  <c r="P1140" i="2" s="1"/>
  <c r="H1128" i="2"/>
  <c r="O1128" i="2"/>
  <c r="P1128" i="2" s="1"/>
  <c r="H1116" i="2"/>
  <c r="O1116" i="2"/>
  <c r="P1116" i="2" s="1"/>
  <c r="H1104" i="2"/>
  <c r="O1104" i="2"/>
  <c r="P1104" i="2" s="1"/>
  <c r="H1092" i="2"/>
  <c r="O1092" i="2"/>
  <c r="P1092" i="2" s="1"/>
  <c r="H1080" i="2"/>
  <c r="O1080" i="2"/>
  <c r="P1080" i="2" s="1"/>
  <c r="H1068" i="2"/>
  <c r="O1068" i="2"/>
  <c r="P1068" i="2" s="1"/>
  <c r="H1056" i="2"/>
  <c r="O1056" i="2"/>
  <c r="P1056" i="2" s="1"/>
  <c r="H1044" i="2"/>
  <c r="O1044" i="2"/>
  <c r="P1044" i="2" s="1"/>
  <c r="H1032" i="2"/>
  <c r="O1032" i="2"/>
  <c r="P1032" i="2" s="1"/>
  <c r="H1020" i="2"/>
  <c r="O1020" i="2"/>
  <c r="P1020" i="2" s="1"/>
  <c r="H1008" i="2"/>
  <c r="O1008" i="2"/>
  <c r="P1008" i="2" s="1"/>
  <c r="H996" i="2"/>
  <c r="O996" i="2"/>
  <c r="P996" i="2" s="1"/>
  <c r="H984" i="2"/>
  <c r="O984" i="2"/>
  <c r="P984" i="2" s="1"/>
  <c r="H972" i="2"/>
  <c r="O972" i="2"/>
  <c r="P972" i="2" s="1"/>
  <c r="H960" i="2"/>
  <c r="O960" i="2"/>
  <c r="P960" i="2" s="1"/>
  <c r="H948" i="2"/>
  <c r="O948" i="2"/>
  <c r="P948" i="2" s="1"/>
  <c r="H936" i="2"/>
  <c r="O936" i="2"/>
  <c r="P936" i="2" s="1"/>
  <c r="H924" i="2"/>
  <c r="O924" i="2"/>
  <c r="P924" i="2" s="1"/>
  <c r="H912" i="2"/>
  <c r="O912" i="2"/>
  <c r="P912" i="2" s="1"/>
  <c r="H900" i="2"/>
  <c r="O900" i="2"/>
  <c r="P900" i="2" s="1"/>
  <c r="H888" i="2"/>
  <c r="O888" i="2"/>
  <c r="P888" i="2" s="1"/>
  <c r="H876" i="2"/>
  <c r="O876" i="2"/>
  <c r="P876" i="2" s="1"/>
  <c r="H864" i="2"/>
  <c r="O864" i="2"/>
  <c r="P864" i="2" s="1"/>
  <c r="H852" i="2"/>
  <c r="O852" i="2"/>
  <c r="P852" i="2" s="1"/>
  <c r="H840" i="2"/>
  <c r="O840" i="2"/>
  <c r="P840" i="2" s="1"/>
  <c r="H828" i="2"/>
  <c r="O828" i="2"/>
  <c r="P828" i="2" s="1"/>
  <c r="H816" i="2"/>
  <c r="O816" i="2"/>
  <c r="P816" i="2" s="1"/>
  <c r="H804" i="2"/>
  <c r="O804" i="2"/>
  <c r="P804" i="2" s="1"/>
  <c r="H792" i="2"/>
  <c r="O792" i="2"/>
  <c r="P792" i="2" s="1"/>
  <c r="H780" i="2"/>
  <c r="O780" i="2"/>
  <c r="P780" i="2" s="1"/>
  <c r="H768" i="2"/>
  <c r="O768" i="2"/>
  <c r="P768" i="2" s="1"/>
  <c r="H756" i="2"/>
  <c r="O756" i="2"/>
  <c r="P756" i="2" s="1"/>
  <c r="H744" i="2"/>
  <c r="O744" i="2"/>
  <c r="P744" i="2" s="1"/>
  <c r="H732" i="2"/>
  <c r="O732" i="2"/>
  <c r="P732" i="2" s="1"/>
  <c r="H720" i="2"/>
  <c r="O720" i="2"/>
  <c r="P720" i="2" s="1"/>
  <c r="H708" i="2"/>
  <c r="O708" i="2"/>
  <c r="P708" i="2" s="1"/>
  <c r="H696" i="2"/>
  <c r="O696" i="2"/>
  <c r="P696" i="2" s="1"/>
  <c r="H684" i="2"/>
  <c r="O684" i="2"/>
  <c r="P684" i="2" s="1"/>
  <c r="H672" i="2"/>
  <c r="O672" i="2"/>
  <c r="P672" i="2" s="1"/>
  <c r="H660" i="2"/>
  <c r="O660" i="2"/>
  <c r="P660" i="2" s="1"/>
  <c r="H648" i="2"/>
  <c r="O648" i="2"/>
  <c r="P648" i="2" s="1"/>
  <c r="H636" i="2"/>
  <c r="O636" i="2"/>
  <c r="P636" i="2" s="1"/>
  <c r="H624" i="2"/>
  <c r="O624" i="2"/>
  <c r="P624" i="2" s="1"/>
  <c r="H612" i="2"/>
  <c r="O612" i="2"/>
  <c r="P612" i="2" s="1"/>
  <c r="H600" i="2"/>
  <c r="O600" i="2"/>
  <c r="P600" i="2" s="1"/>
  <c r="H588" i="2"/>
  <c r="O588" i="2"/>
  <c r="P588" i="2" s="1"/>
  <c r="H576" i="2"/>
  <c r="O576" i="2"/>
  <c r="P576" i="2" s="1"/>
  <c r="H564" i="2"/>
  <c r="O564" i="2"/>
  <c r="P564" i="2" s="1"/>
  <c r="H552" i="2"/>
  <c r="O552" i="2"/>
  <c r="P552" i="2" s="1"/>
  <c r="H540" i="2"/>
  <c r="O540" i="2"/>
  <c r="P540" i="2" s="1"/>
  <c r="H528" i="2"/>
  <c r="O528" i="2"/>
  <c r="P528" i="2" s="1"/>
  <c r="H516" i="2"/>
  <c r="O516" i="2"/>
  <c r="P516" i="2" s="1"/>
  <c r="H504" i="2"/>
  <c r="O504" i="2"/>
  <c r="P504" i="2" s="1"/>
  <c r="H492" i="2"/>
  <c r="O492" i="2"/>
  <c r="P492" i="2" s="1"/>
  <c r="H480" i="2"/>
  <c r="O480" i="2"/>
  <c r="P480" i="2" s="1"/>
  <c r="H468" i="2"/>
  <c r="O468" i="2"/>
  <c r="P468" i="2" s="1"/>
  <c r="H456" i="2"/>
  <c r="O456" i="2"/>
  <c r="P456" i="2" s="1"/>
  <c r="H444" i="2"/>
  <c r="O444" i="2"/>
  <c r="P444" i="2" s="1"/>
  <c r="H432" i="2"/>
  <c r="O432" i="2"/>
  <c r="P432" i="2" s="1"/>
  <c r="H420" i="2"/>
  <c r="O420" i="2"/>
  <c r="P420" i="2" s="1"/>
  <c r="H408" i="2"/>
  <c r="O408" i="2"/>
  <c r="P408" i="2" s="1"/>
  <c r="H396" i="2"/>
  <c r="O396" i="2"/>
  <c r="P396" i="2" s="1"/>
  <c r="H384" i="2"/>
  <c r="O384" i="2"/>
  <c r="P384" i="2" s="1"/>
  <c r="H372" i="2"/>
  <c r="O372" i="2"/>
  <c r="P372" i="2" s="1"/>
  <c r="H360" i="2"/>
  <c r="O360" i="2"/>
  <c r="P360" i="2" s="1"/>
  <c r="H348" i="2"/>
  <c r="O348" i="2"/>
  <c r="P348" i="2" s="1"/>
  <c r="H336" i="2"/>
  <c r="O336" i="2"/>
  <c r="P336" i="2" s="1"/>
  <c r="H324" i="2"/>
  <c r="O324" i="2"/>
  <c r="P324" i="2" s="1"/>
  <c r="H312" i="2"/>
  <c r="O312" i="2"/>
  <c r="P312" i="2" s="1"/>
  <c r="H300" i="2"/>
  <c r="O300" i="2"/>
  <c r="P300" i="2" s="1"/>
  <c r="H288" i="2"/>
  <c r="O288" i="2"/>
  <c r="P288" i="2" s="1"/>
  <c r="H276" i="2"/>
  <c r="O276" i="2"/>
  <c r="P276" i="2" s="1"/>
  <c r="H264" i="2"/>
  <c r="O264" i="2"/>
  <c r="P264" i="2" s="1"/>
  <c r="H252" i="2"/>
  <c r="O252" i="2"/>
  <c r="P252" i="2" s="1"/>
  <c r="H240" i="2"/>
  <c r="O240" i="2"/>
  <c r="P240" i="2" s="1"/>
  <c r="H228" i="2"/>
  <c r="O228" i="2"/>
  <c r="P228" i="2" s="1"/>
  <c r="H216" i="2"/>
  <c r="O216" i="2"/>
  <c r="P216" i="2" s="1"/>
  <c r="H204" i="2"/>
  <c r="O204" i="2"/>
  <c r="P204" i="2" s="1"/>
  <c r="H192" i="2"/>
  <c r="O192" i="2"/>
  <c r="P192" i="2" s="1"/>
  <c r="H180" i="2"/>
  <c r="O180" i="2"/>
  <c r="P180" i="2" s="1"/>
  <c r="H168" i="2"/>
  <c r="O168" i="2"/>
  <c r="P168" i="2" s="1"/>
  <c r="H156" i="2"/>
  <c r="O156" i="2"/>
  <c r="P156" i="2" s="1"/>
  <c r="H144" i="2"/>
  <c r="O144" i="2"/>
  <c r="P144" i="2" s="1"/>
  <c r="H132" i="2"/>
  <c r="O132" i="2"/>
  <c r="P132" i="2" s="1"/>
  <c r="H120" i="2"/>
  <c r="O120" i="2"/>
  <c r="P120" i="2" s="1"/>
  <c r="H108" i="2"/>
  <c r="O108" i="2"/>
  <c r="P108" i="2" s="1"/>
  <c r="H96" i="2"/>
  <c r="O96" i="2"/>
  <c r="P96" i="2" s="1"/>
  <c r="H84" i="2"/>
  <c r="O84" i="2"/>
  <c r="P84" i="2" s="1"/>
  <c r="H72" i="2"/>
  <c r="O72" i="2"/>
  <c r="P72" i="2" s="1"/>
  <c r="H60" i="2"/>
  <c r="O60" i="2"/>
  <c r="P60" i="2" s="1"/>
  <c r="H48" i="2"/>
  <c r="O48" i="2"/>
  <c r="P48" i="2" s="1"/>
  <c r="H36" i="2"/>
  <c r="O36" i="2"/>
  <c r="P36" i="2" s="1"/>
  <c r="H24" i="2"/>
  <c r="O24" i="2"/>
  <c r="P24" i="2" s="1"/>
  <c r="H12" i="2"/>
  <c r="O12" i="2"/>
  <c r="P12" i="2" s="1"/>
  <c r="H1776" i="2"/>
  <c r="H385" i="2"/>
  <c r="O385" i="2"/>
  <c r="P385" i="2" s="1"/>
  <c r="O373" i="2"/>
  <c r="P373" i="2" s="1"/>
  <c r="H361" i="2"/>
  <c r="O361" i="2"/>
  <c r="P361" i="2" s="1"/>
  <c r="H349" i="2"/>
  <c r="O349" i="2"/>
  <c r="P349" i="2" s="1"/>
  <c r="H337" i="2"/>
  <c r="O337" i="2"/>
  <c r="P337" i="2" s="1"/>
  <c r="H325" i="2"/>
  <c r="O325" i="2"/>
  <c r="P325" i="2" s="1"/>
  <c r="H313" i="2"/>
  <c r="O313" i="2"/>
  <c r="P313" i="2" s="1"/>
  <c r="H301" i="2"/>
  <c r="O301" i="2"/>
  <c r="P301" i="2" s="1"/>
  <c r="H289" i="2"/>
  <c r="O289" i="2"/>
  <c r="P289" i="2" s="1"/>
  <c r="H277" i="2"/>
  <c r="O277" i="2"/>
  <c r="P277" i="2" s="1"/>
  <c r="H265" i="2"/>
  <c r="O265" i="2"/>
  <c r="P265" i="2" s="1"/>
  <c r="H253" i="2"/>
  <c r="O253" i="2"/>
  <c r="P253" i="2" s="1"/>
  <c r="H241" i="2"/>
  <c r="O241" i="2"/>
  <c r="P241" i="2" s="1"/>
  <c r="H229" i="2"/>
  <c r="O229" i="2"/>
  <c r="P229" i="2" s="1"/>
  <c r="H217" i="2"/>
  <c r="O217" i="2"/>
  <c r="P217" i="2" s="1"/>
  <c r="H205" i="2"/>
  <c r="O205" i="2"/>
  <c r="P205" i="2" s="1"/>
  <c r="H193" i="2"/>
  <c r="O193" i="2"/>
  <c r="P193" i="2" s="1"/>
  <c r="H181" i="2"/>
  <c r="O181" i="2"/>
  <c r="P181" i="2" s="1"/>
  <c r="H169" i="2"/>
  <c r="O169" i="2"/>
  <c r="P169" i="2" s="1"/>
  <c r="H157" i="2"/>
  <c r="O157" i="2"/>
  <c r="P157" i="2" s="1"/>
  <c r="H145" i="2"/>
  <c r="O145" i="2"/>
  <c r="P145" i="2" s="1"/>
  <c r="H133" i="2"/>
  <c r="O133" i="2"/>
  <c r="P133" i="2" s="1"/>
  <c r="H121" i="2"/>
  <c r="O121" i="2"/>
  <c r="P121" i="2" s="1"/>
  <c r="H109" i="2"/>
  <c r="O109" i="2"/>
  <c r="P109" i="2" s="1"/>
  <c r="H97" i="2"/>
  <c r="O97" i="2"/>
  <c r="P97" i="2" s="1"/>
  <c r="H85" i="2"/>
  <c r="O85" i="2"/>
  <c r="P85" i="2" s="1"/>
  <c r="H73" i="2"/>
  <c r="O73" i="2"/>
  <c r="P73" i="2" s="1"/>
  <c r="O61" i="2"/>
  <c r="P61" i="2" s="1"/>
  <c r="H49" i="2"/>
  <c r="O49" i="2"/>
  <c r="P49" i="2" s="1"/>
  <c r="H37" i="2"/>
  <c r="O37" i="2"/>
  <c r="P37" i="2" s="1"/>
  <c r="H25" i="2"/>
  <c r="O25" i="2"/>
  <c r="P25" i="2" s="1"/>
  <c r="H13" i="2"/>
  <c r="O13" i="2"/>
  <c r="P13" i="2" s="1"/>
  <c r="H2495" i="2"/>
  <c r="O2495" i="2"/>
  <c r="P2495" i="2" s="1"/>
  <c r="H2483" i="2"/>
  <c r="O2483" i="2"/>
  <c r="P2483" i="2" s="1"/>
  <c r="H2471" i="2"/>
  <c r="O2471" i="2"/>
  <c r="P2471" i="2" s="1"/>
  <c r="H2459" i="2"/>
  <c r="O2459" i="2"/>
  <c r="P2459" i="2" s="1"/>
  <c r="H2447" i="2"/>
  <c r="O2447" i="2"/>
  <c r="P2447" i="2" s="1"/>
  <c r="H2435" i="2"/>
  <c r="O2435" i="2"/>
  <c r="P2435" i="2" s="1"/>
  <c r="H2423" i="2"/>
  <c r="O2423" i="2"/>
  <c r="P2423" i="2" s="1"/>
  <c r="H2411" i="2"/>
  <c r="O2411" i="2"/>
  <c r="P2411" i="2" s="1"/>
  <c r="H2399" i="2"/>
  <c r="O2399" i="2"/>
  <c r="P2399" i="2" s="1"/>
  <c r="H2387" i="2"/>
  <c r="O2387" i="2"/>
  <c r="P2387" i="2" s="1"/>
  <c r="H2375" i="2"/>
  <c r="O2375" i="2"/>
  <c r="P2375" i="2" s="1"/>
  <c r="H2363" i="2"/>
  <c r="O2363" i="2"/>
  <c r="P2363" i="2" s="1"/>
  <c r="H2339" i="2"/>
  <c r="O2339" i="2"/>
  <c r="P2339" i="2" s="1"/>
  <c r="H2327" i="2"/>
  <c r="O2327" i="2"/>
  <c r="P2327" i="2" s="1"/>
  <c r="H2315" i="2"/>
  <c r="O2315" i="2"/>
  <c r="P2315" i="2" s="1"/>
  <c r="H2303" i="2"/>
  <c r="O2303" i="2"/>
  <c r="P2303" i="2" s="1"/>
  <c r="H2291" i="2"/>
  <c r="O2291" i="2"/>
  <c r="P2291" i="2" s="1"/>
  <c r="H2279" i="2"/>
  <c r="O2279" i="2"/>
  <c r="P2279" i="2" s="1"/>
  <c r="H2267" i="2"/>
  <c r="O2267" i="2"/>
  <c r="P2267" i="2" s="1"/>
  <c r="H2255" i="2"/>
  <c r="O2255" i="2"/>
  <c r="P2255" i="2" s="1"/>
  <c r="H2243" i="2"/>
  <c r="O2243" i="2"/>
  <c r="P2243" i="2" s="1"/>
  <c r="H2231" i="2"/>
  <c r="O2231" i="2"/>
  <c r="P2231" i="2" s="1"/>
  <c r="H2219" i="2"/>
  <c r="O2219" i="2"/>
  <c r="P2219" i="2" s="1"/>
  <c r="H2207" i="2"/>
  <c r="O2207" i="2"/>
  <c r="P2207" i="2" s="1"/>
  <c r="H2195" i="2"/>
  <c r="O2195" i="2"/>
  <c r="P2195" i="2" s="1"/>
  <c r="H2183" i="2"/>
  <c r="O2183" i="2"/>
  <c r="P2183" i="2" s="1"/>
  <c r="H2171" i="2"/>
  <c r="O2171" i="2"/>
  <c r="P2171" i="2" s="1"/>
  <c r="H2159" i="2"/>
  <c r="O2159" i="2"/>
  <c r="P2159" i="2" s="1"/>
  <c r="H2147" i="2"/>
  <c r="O2147" i="2"/>
  <c r="P2147" i="2" s="1"/>
  <c r="H2135" i="2"/>
  <c r="O2135" i="2"/>
  <c r="P2135" i="2" s="1"/>
  <c r="H2123" i="2"/>
  <c r="O2123" i="2"/>
  <c r="P2123" i="2" s="1"/>
  <c r="H2111" i="2"/>
  <c r="O2111" i="2"/>
  <c r="P2111" i="2" s="1"/>
  <c r="H2099" i="2"/>
  <c r="O2099" i="2"/>
  <c r="P2099" i="2" s="1"/>
  <c r="H2087" i="2"/>
  <c r="O2087" i="2"/>
  <c r="P2087" i="2" s="1"/>
  <c r="H2075" i="2"/>
  <c r="O2075" i="2"/>
  <c r="P2075" i="2" s="1"/>
  <c r="H2063" i="2"/>
  <c r="O2063" i="2"/>
  <c r="P2063" i="2" s="1"/>
  <c r="H2051" i="2"/>
  <c r="O2051" i="2"/>
  <c r="P2051" i="2" s="1"/>
  <c r="H2039" i="2"/>
  <c r="O2039" i="2"/>
  <c r="P2039" i="2" s="1"/>
  <c r="H2027" i="2"/>
  <c r="O2027" i="2"/>
  <c r="P2027" i="2" s="1"/>
  <c r="H2015" i="2"/>
  <c r="O2015" i="2"/>
  <c r="P2015" i="2" s="1"/>
  <c r="H2003" i="2"/>
  <c r="O2003" i="2"/>
  <c r="P2003" i="2" s="1"/>
  <c r="H1991" i="2"/>
  <c r="O1991" i="2"/>
  <c r="P1991" i="2" s="1"/>
  <c r="H1979" i="2"/>
  <c r="O1979" i="2"/>
  <c r="P1979" i="2" s="1"/>
  <c r="H1967" i="2"/>
  <c r="O1967" i="2"/>
  <c r="P1967" i="2" s="1"/>
  <c r="H1955" i="2"/>
  <c r="O1955" i="2"/>
  <c r="P1955" i="2" s="1"/>
  <c r="H1943" i="2"/>
  <c r="O1943" i="2"/>
  <c r="P1943" i="2" s="1"/>
  <c r="H1931" i="2"/>
  <c r="O1931" i="2"/>
  <c r="P1931" i="2" s="1"/>
  <c r="H1919" i="2"/>
  <c r="O1919" i="2"/>
  <c r="P1919" i="2" s="1"/>
  <c r="H1895" i="2"/>
  <c r="O1895" i="2"/>
  <c r="P1895" i="2" s="1"/>
  <c r="H1883" i="2"/>
  <c r="O1883" i="2"/>
  <c r="P1883" i="2" s="1"/>
  <c r="H1871" i="2"/>
  <c r="O1871" i="2"/>
  <c r="P1871" i="2" s="1"/>
  <c r="H1859" i="2"/>
  <c r="O1859" i="2"/>
  <c r="P1859" i="2" s="1"/>
  <c r="H1847" i="2"/>
  <c r="O1847" i="2"/>
  <c r="P1847" i="2" s="1"/>
  <c r="H1835" i="2"/>
  <c r="O1835" i="2"/>
  <c r="P1835" i="2" s="1"/>
  <c r="H1823" i="2"/>
  <c r="O1823" i="2"/>
  <c r="P1823" i="2" s="1"/>
  <c r="H1811" i="2"/>
  <c r="O1811" i="2"/>
  <c r="P1811" i="2" s="1"/>
  <c r="H1799" i="2"/>
  <c r="O1799" i="2"/>
  <c r="P1799" i="2" s="1"/>
  <c r="H1787" i="2"/>
  <c r="O1787" i="2"/>
  <c r="P1787" i="2" s="1"/>
  <c r="H1775" i="2"/>
  <c r="O1775" i="2"/>
  <c r="P1775" i="2" s="1"/>
  <c r="H1763" i="2"/>
  <c r="O1763" i="2"/>
  <c r="P1763" i="2" s="1"/>
  <c r="H1751" i="2"/>
  <c r="O1751" i="2"/>
  <c r="P1751" i="2" s="1"/>
  <c r="H1739" i="2"/>
  <c r="O1739" i="2"/>
  <c r="P1739" i="2" s="1"/>
  <c r="H1727" i="2"/>
  <c r="O1727" i="2"/>
  <c r="P1727" i="2" s="1"/>
  <c r="H1715" i="2"/>
  <c r="O1715" i="2"/>
  <c r="P1715" i="2" s="1"/>
  <c r="H1703" i="2"/>
  <c r="O1703" i="2"/>
  <c r="P1703" i="2" s="1"/>
  <c r="H1691" i="2"/>
  <c r="O1691" i="2"/>
  <c r="P1691" i="2" s="1"/>
  <c r="H1679" i="2"/>
  <c r="O1679" i="2"/>
  <c r="P1679" i="2" s="1"/>
  <c r="H1667" i="2"/>
  <c r="O1667" i="2"/>
  <c r="P1667" i="2" s="1"/>
  <c r="H1655" i="2"/>
  <c r="O1655" i="2"/>
  <c r="P1655" i="2" s="1"/>
  <c r="H1643" i="2"/>
  <c r="O1643" i="2"/>
  <c r="P1643" i="2" s="1"/>
  <c r="H1631" i="2"/>
  <c r="O1631" i="2"/>
  <c r="P1631" i="2" s="1"/>
  <c r="H1619" i="2"/>
  <c r="O1619" i="2"/>
  <c r="P1619" i="2" s="1"/>
  <c r="H1607" i="2"/>
  <c r="O1607" i="2"/>
  <c r="P1607" i="2" s="1"/>
  <c r="H1595" i="2"/>
  <c r="O1595" i="2"/>
  <c r="P1595" i="2" s="1"/>
  <c r="H1583" i="2"/>
  <c r="O1583" i="2"/>
  <c r="P1583" i="2" s="1"/>
  <c r="H1571" i="2"/>
  <c r="O1571" i="2"/>
  <c r="P1571" i="2" s="1"/>
  <c r="H1559" i="2"/>
  <c r="O1559" i="2"/>
  <c r="P1559" i="2" s="1"/>
  <c r="H1547" i="2"/>
  <c r="O1547" i="2"/>
  <c r="P1547" i="2" s="1"/>
  <c r="H1535" i="2"/>
  <c r="O1535" i="2"/>
  <c r="P1535" i="2" s="1"/>
  <c r="H1523" i="2"/>
  <c r="O1523" i="2"/>
  <c r="P1523" i="2" s="1"/>
  <c r="H1511" i="2"/>
  <c r="O1511" i="2"/>
  <c r="P1511" i="2" s="1"/>
  <c r="H1499" i="2"/>
  <c r="O1499" i="2"/>
  <c r="P1499" i="2" s="1"/>
  <c r="H1487" i="2"/>
  <c r="O1487" i="2"/>
  <c r="P1487" i="2" s="1"/>
  <c r="H1475" i="2"/>
  <c r="O1475" i="2"/>
  <c r="P1475" i="2" s="1"/>
  <c r="H1463" i="2"/>
  <c r="O1463" i="2"/>
  <c r="P1463" i="2" s="1"/>
  <c r="H1451" i="2"/>
  <c r="O1451" i="2"/>
  <c r="P1451" i="2" s="1"/>
  <c r="H1439" i="2"/>
  <c r="O1439" i="2"/>
  <c r="P1439" i="2" s="1"/>
  <c r="H1427" i="2"/>
  <c r="O1427" i="2"/>
  <c r="P1427" i="2" s="1"/>
  <c r="H1415" i="2"/>
  <c r="O1415" i="2"/>
  <c r="P1415" i="2" s="1"/>
  <c r="H1403" i="2"/>
  <c r="O1403" i="2"/>
  <c r="P1403" i="2" s="1"/>
  <c r="H1391" i="2"/>
  <c r="O1391" i="2"/>
  <c r="P1391" i="2" s="1"/>
  <c r="H1379" i="2"/>
  <c r="O1379" i="2"/>
  <c r="P1379" i="2" s="1"/>
  <c r="H1367" i="2"/>
  <c r="O1367" i="2"/>
  <c r="P1367" i="2" s="1"/>
  <c r="H1355" i="2"/>
  <c r="O1355" i="2"/>
  <c r="P1355" i="2" s="1"/>
  <c r="H1343" i="2"/>
  <c r="O1343" i="2"/>
  <c r="P1343" i="2" s="1"/>
  <c r="H1331" i="2"/>
  <c r="O1331" i="2"/>
  <c r="P1331" i="2" s="1"/>
  <c r="H1319" i="2"/>
  <c r="O1319" i="2"/>
  <c r="P1319" i="2" s="1"/>
  <c r="H1307" i="2"/>
  <c r="O1307" i="2"/>
  <c r="P1307" i="2" s="1"/>
  <c r="H1295" i="2"/>
  <c r="O1295" i="2"/>
  <c r="P1295" i="2" s="1"/>
  <c r="H1283" i="2"/>
  <c r="O1283" i="2"/>
  <c r="P1283" i="2" s="1"/>
  <c r="H1271" i="2"/>
  <c r="O1271" i="2"/>
  <c r="P1271" i="2" s="1"/>
  <c r="H1259" i="2"/>
  <c r="O1259" i="2"/>
  <c r="P1259" i="2" s="1"/>
  <c r="H1247" i="2"/>
  <c r="O1247" i="2"/>
  <c r="P1247" i="2" s="1"/>
  <c r="H1235" i="2"/>
  <c r="O1235" i="2"/>
  <c r="P1235" i="2" s="1"/>
  <c r="H1223" i="2"/>
  <c r="O1223" i="2"/>
  <c r="P1223" i="2" s="1"/>
  <c r="H1211" i="2"/>
  <c r="O1211" i="2"/>
  <c r="P1211" i="2" s="1"/>
  <c r="H1199" i="2"/>
  <c r="O1199" i="2"/>
  <c r="P1199" i="2" s="1"/>
  <c r="H1187" i="2"/>
  <c r="O1187" i="2"/>
  <c r="P1187" i="2" s="1"/>
  <c r="H1175" i="2"/>
  <c r="O1175" i="2"/>
  <c r="P1175" i="2" s="1"/>
  <c r="H1163" i="2"/>
  <c r="O1163" i="2"/>
  <c r="P1163" i="2" s="1"/>
  <c r="H1151" i="2"/>
  <c r="O1151" i="2"/>
  <c r="P1151" i="2" s="1"/>
  <c r="H1139" i="2"/>
  <c r="O1139" i="2"/>
  <c r="P1139" i="2" s="1"/>
  <c r="H1127" i="2"/>
  <c r="O1127" i="2"/>
  <c r="P1127" i="2" s="1"/>
  <c r="H1115" i="2"/>
  <c r="O1115" i="2"/>
  <c r="P1115" i="2" s="1"/>
  <c r="H1103" i="2"/>
  <c r="O1103" i="2"/>
  <c r="P1103" i="2" s="1"/>
  <c r="H1091" i="2"/>
  <c r="O1091" i="2"/>
  <c r="P1091" i="2" s="1"/>
  <c r="H1079" i="2"/>
  <c r="O1079" i="2"/>
  <c r="P1079" i="2" s="1"/>
  <c r="H1067" i="2"/>
  <c r="O1067" i="2"/>
  <c r="P1067" i="2" s="1"/>
  <c r="H1055" i="2"/>
  <c r="O1055" i="2"/>
  <c r="P1055" i="2" s="1"/>
  <c r="H1043" i="2"/>
  <c r="O1043" i="2"/>
  <c r="P1043" i="2" s="1"/>
  <c r="H1031" i="2"/>
  <c r="O1031" i="2"/>
  <c r="P1031" i="2" s="1"/>
  <c r="H1019" i="2"/>
  <c r="O1019" i="2"/>
  <c r="P1019" i="2" s="1"/>
  <c r="H1007" i="2"/>
  <c r="O1007" i="2"/>
  <c r="P1007" i="2" s="1"/>
  <c r="H995" i="2"/>
  <c r="O995" i="2"/>
  <c r="P995" i="2" s="1"/>
  <c r="H983" i="2"/>
  <c r="O983" i="2"/>
  <c r="P983" i="2" s="1"/>
  <c r="H971" i="2"/>
  <c r="O971" i="2"/>
  <c r="P971" i="2" s="1"/>
  <c r="H959" i="2"/>
  <c r="O959" i="2"/>
  <c r="P959" i="2" s="1"/>
  <c r="H947" i="2"/>
  <c r="O947" i="2"/>
  <c r="P947" i="2" s="1"/>
  <c r="H935" i="2"/>
  <c r="O935" i="2"/>
  <c r="P935" i="2" s="1"/>
  <c r="H923" i="2"/>
  <c r="O923" i="2"/>
  <c r="P923" i="2" s="1"/>
  <c r="H911" i="2"/>
  <c r="O911" i="2"/>
  <c r="P911" i="2" s="1"/>
  <c r="H899" i="2"/>
  <c r="O899" i="2"/>
  <c r="P899" i="2" s="1"/>
  <c r="H887" i="2"/>
  <c r="O887" i="2"/>
  <c r="P887" i="2" s="1"/>
  <c r="H875" i="2"/>
  <c r="O875" i="2"/>
  <c r="P875" i="2" s="1"/>
  <c r="H863" i="2"/>
  <c r="O863" i="2"/>
  <c r="P863" i="2" s="1"/>
  <c r="H851" i="2"/>
  <c r="O851" i="2"/>
  <c r="P851" i="2" s="1"/>
  <c r="H839" i="2"/>
  <c r="O839" i="2"/>
  <c r="P839" i="2" s="1"/>
  <c r="H827" i="2"/>
  <c r="O827" i="2"/>
  <c r="P827" i="2" s="1"/>
  <c r="H815" i="2"/>
  <c r="O815" i="2"/>
  <c r="P815" i="2" s="1"/>
  <c r="H803" i="2"/>
  <c r="O803" i="2"/>
  <c r="P803" i="2" s="1"/>
  <c r="H791" i="2"/>
  <c r="O791" i="2"/>
  <c r="P791" i="2" s="1"/>
  <c r="H779" i="2"/>
  <c r="O779" i="2"/>
  <c r="P779" i="2" s="1"/>
  <c r="H767" i="2"/>
  <c r="O767" i="2"/>
  <c r="P767" i="2" s="1"/>
  <c r="H755" i="2"/>
  <c r="O755" i="2"/>
  <c r="P755" i="2" s="1"/>
  <c r="H743" i="2"/>
  <c r="O743" i="2"/>
  <c r="P743" i="2" s="1"/>
  <c r="H731" i="2"/>
  <c r="O731" i="2"/>
  <c r="P731" i="2" s="1"/>
  <c r="H719" i="2"/>
  <c r="O719" i="2"/>
  <c r="P719" i="2" s="1"/>
  <c r="H707" i="2"/>
  <c r="O707" i="2"/>
  <c r="P707" i="2" s="1"/>
  <c r="H695" i="2"/>
  <c r="O695" i="2"/>
  <c r="P695" i="2" s="1"/>
  <c r="H683" i="2"/>
  <c r="O683" i="2"/>
  <c r="P683" i="2" s="1"/>
  <c r="H671" i="2"/>
  <c r="O671" i="2"/>
  <c r="P671" i="2" s="1"/>
  <c r="H659" i="2"/>
  <c r="O659" i="2"/>
  <c r="P659" i="2" s="1"/>
  <c r="H647" i="2"/>
  <c r="O647" i="2"/>
  <c r="P647" i="2" s="1"/>
  <c r="H635" i="2"/>
  <c r="O635" i="2"/>
  <c r="P635" i="2" s="1"/>
  <c r="H623" i="2"/>
  <c r="O623" i="2"/>
  <c r="P623" i="2" s="1"/>
  <c r="H611" i="2"/>
  <c r="O611" i="2"/>
  <c r="P611" i="2" s="1"/>
  <c r="H599" i="2"/>
  <c r="O599" i="2"/>
  <c r="P599" i="2" s="1"/>
  <c r="H587" i="2"/>
  <c r="O587" i="2"/>
  <c r="P587" i="2" s="1"/>
  <c r="H575" i="2"/>
  <c r="O575" i="2"/>
  <c r="P575" i="2" s="1"/>
  <c r="H563" i="2"/>
  <c r="O563" i="2"/>
  <c r="P563" i="2" s="1"/>
  <c r="H551" i="2"/>
  <c r="O551" i="2"/>
  <c r="P551" i="2" s="1"/>
  <c r="H539" i="2"/>
  <c r="O539" i="2"/>
  <c r="P539" i="2" s="1"/>
  <c r="H527" i="2"/>
  <c r="O527" i="2"/>
  <c r="P527" i="2" s="1"/>
  <c r="H515" i="2"/>
  <c r="O515" i="2"/>
  <c r="P515" i="2" s="1"/>
  <c r="H503" i="2"/>
  <c r="O503" i="2"/>
  <c r="P503" i="2" s="1"/>
  <c r="H491" i="2"/>
  <c r="O491" i="2"/>
  <c r="P491" i="2" s="1"/>
  <c r="H479" i="2"/>
  <c r="O479" i="2"/>
  <c r="P479" i="2" s="1"/>
  <c r="H467" i="2"/>
  <c r="O467" i="2"/>
  <c r="P467" i="2" s="1"/>
  <c r="H455" i="2"/>
  <c r="O455" i="2"/>
  <c r="P455" i="2" s="1"/>
  <c r="H443" i="2"/>
  <c r="O443" i="2"/>
  <c r="P443" i="2" s="1"/>
  <c r="H431" i="2"/>
  <c r="O431" i="2"/>
  <c r="P431" i="2" s="1"/>
  <c r="H419" i="2"/>
  <c r="O419" i="2"/>
  <c r="P419" i="2" s="1"/>
  <c r="H407" i="2"/>
  <c r="O407" i="2"/>
  <c r="P407" i="2" s="1"/>
  <c r="H395" i="2"/>
  <c r="O395" i="2"/>
  <c r="P395" i="2" s="1"/>
  <c r="H383" i="2"/>
  <c r="O383" i="2"/>
  <c r="P383" i="2" s="1"/>
  <c r="H371" i="2"/>
  <c r="O371" i="2"/>
  <c r="P371" i="2" s="1"/>
  <c r="H359" i="2"/>
  <c r="O359" i="2"/>
  <c r="P359" i="2" s="1"/>
  <c r="H347" i="2"/>
  <c r="O347" i="2"/>
  <c r="P347" i="2" s="1"/>
  <c r="H335" i="2"/>
  <c r="O335" i="2"/>
  <c r="P335" i="2" s="1"/>
  <c r="H323" i="2"/>
  <c r="O323" i="2"/>
  <c r="P323" i="2" s="1"/>
  <c r="H311" i="2"/>
  <c r="O311" i="2"/>
  <c r="P311" i="2" s="1"/>
  <c r="H299" i="2"/>
  <c r="O299" i="2"/>
  <c r="P299" i="2" s="1"/>
  <c r="H287" i="2"/>
  <c r="O287" i="2"/>
  <c r="P287" i="2" s="1"/>
  <c r="H275" i="2"/>
  <c r="O275" i="2"/>
  <c r="P275" i="2" s="1"/>
  <c r="H263" i="2"/>
  <c r="O263" i="2"/>
  <c r="P263" i="2" s="1"/>
  <c r="H251" i="2"/>
  <c r="O251" i="2"/>
  <c r="P251" i="2" s="1"/>
  <c r="H239" i="2"/>
  <c r="O239" i="2"/>
  <c r="P239" i="2" s="1"/>
  <c r="H227" i="2"/>
  <c r="O227" i="2"/>
  <c r="P227" i="2" s="1"/>
  <c r="H215" i="2"/>
  <c r="O215" i="2"/>
  <c r="P215" i="2" s="1"/>
  <c r="H203" i="2"/>
  <c r="O203" i="2"/>
  <c r="P203" i="2" s="1"/>
  <c r="H191" i="2"/>
  <c r="O191" i="2"/>
  <c r="P191" i="2" s="1"/>
  <c r="H179" i="2"/>
  <c r="O179" i="2"/>
  <c r="P179" i="2" s="1"/>
  <c r="H167" i="2"/>
  <c r="O167" i="2"/>
  <c r="P167" i="2" s="1"/>
  <c r="H155" i="2"/>
  <c r="O155" i="2"/>
  <c r="P155" i="2" s="1"/>
  <c r="H143" i="2"/>
  <c r="O143" i="2"/>
  <c r="P143" i="2" s="1"/>
  <c r="H131" i="2"/>
  <c r="O131" i="2"/>
  <c r="P131" i="2" s="1"/>
  <c r="H119" i="2"/>
  <c r="O119" i="2"/>
  <c r="P119" i="2" s="1"/>
  <c r="H107" i="2"/>
  <c r="O107" i="2"/>
  <c r="P107" i="2" s="1"/>
  <c r="H95" i="2"/>
  <c r="O95" i="2"/>
  <c r="P95" i="2" s="1"/>
  <c r="H83" i="2"/>
  <c r="O83" i="2"/>
  <c r="P83" i="2" s="1"/>
  <c r="H71" i="2"/>
  <c r="O71" i="2"/>
  <c r="P71" i="2" s="1"/>
  <c r="H59" i="2"/>
  <c r="O59" i="2"/>
  <c r="P59" i="2" s="1"/>
  <c r="H47" i="2"/>
  <c r="O47" i="2"/>
  <c r="P47" i="2" s="1"/>
  <c r="H35" i="2"/>
  <c r="O35" i="2"/>
  <c r="P35" i="2" s="1"/>
  <c r="H23" i="2"/>
  <c r="O23" i="2"/>
  <c r="P23" i="2" s="1"/>
  <c r="H11" i="2"/>
  <c r="O11" i="2"/>
  <c r="P11" i="2" s="1"/>
  <c r="H2492" i="2"/>
  <c r="O2492" i="2"/>
  <c r="P2492" i="2" s="1"/>
  <c r="H2480" i="2"/>
  <c r="O2480" i="2"/>
  <c r="P2480" i="2" s="1"/>
  <c r="H2468" i="2"/>
  <c r="O2468" i="2"/>
  <c r="P2468" i="2" s="1"/>
  <c r="H2456" i="2"/>
  <c r="O2456" i="2"/>
  <c r="P2456" i="2" s="1"/>
  <c r="H2444" i="2"/>
  <c r="O2444" i="2"/>
  <c r="P2444" i="2" s="1"/>
  <c r="H2432" i="2"/>
  <c r="O2432" i="2"/>
  <c r="P2432" i="2" s="1"/>
  <c r="H2420" i="2"/>
  <c r="O2420" i="2"/>
  <c r="P2420" i="2" s="1"/>
  <c r="H2408" i="2"/>
  <c r="O2408" i="2"/>
  <c r="P2408" i="2" s="1"/>
  <c r="H2396" i="2"/>
  <c r="O2396" i="2"/>
  <c r="P2396" i="2" s="1"/>
  <c r="H2384" i="2"/>
  <c r="O2384" i="2"/>
  <c r="P2384" i="2" s="1"/>
  <c r="H2372" i="2"/>
  <c r="O2372" i="2"/>
  <c r="P2372" i="2" s="1"/>
  <c r="H2360" i="2"/>
  <c r="O2360" i="2"/>
  <c r="P2360" i="2" s="1"/>
  <c r="H2348" i="2"/>
  <c r="O2348" i="2"/>
  <c r="P2348" i="2" s="1"/>
  <c r="H2336" i="2"/>
  <c r="O2336" i="2"/>
  <c r="P2336" i="2" s="1"/>
  <c r="H2324" i="2"/>
  <c r="O2324" i="2"/>
  <c r="P2324" i="2" s="1"/>
  <c r="H2312" i="2"/>
  <c r="O2312" i="2"/>
  <c r="P2312" i="2" s="1"/>
  <c r="H2300" i="2"/>
  <c r="O2300" i="2"/>
  <c r="P2300" i="2" s="1"/>
  <c r="H2288" i="2"/>
  <c r="O2288" i="2"/>
  <c r="P2288" i="2" s="1"/>
  <c r="H2276" i="2"/>
  <c r="O2276" i="2"/>
  <c r="P2276" i="2" s="1"/>
  <c r="H2264" i="2"/>
  <c r="O2264" i="2"/>
  <c r="P2264" i="2" s="1"/>
  <c r="H2252" i="2"/>
  <c r="O2252" i="2"/>
  <c r="P2252" i="2" s="1"/>
  <c r="H2240" i="2"/>
  <c r="O2240" i="2"/>
  <c r="P2240" i="2" s="1"/>
  <c r="H2228" i="2"/>
  <c r="O2228" i="2"/>
  <c r="P2228" i="2" s="1"/>
  <c r="H2216" i="2"/>
  <c r="O2216" i="2"/>
  <c r="P2216" i="2" s="1"/>
  <c r="H2204" i="2"/>
  <c r="O2204" i="2"/>
  <c r="P2204" i="2" s="1"/>
  <c r="H2192" i="2"/>
  <c r="O2192" i="2"/>
  <c r="P2192" i="2" s="1"/>
  <c r="H2180" i="2"/>
  <c r="O2180" i="2"/>
  <c r="P2180" i="2" s="1"/>
  <c r="H2168" i="2"/>
  <c r="O2168" i="2"/>
  <c r="P2168" i="2" s="1"/>
  <c r="H2156" i="2"/>
  <c r="O2156" i="2"/>
  <c r="P2156" i="2" s="1"/>
  <c r="H2144" i="2"/>
  <c r="O2144" i="2"/>
  <c r="P2144" i="2" s="1"/>
  <c r="H2132" i="2"/>
  <c r="O2132" i="2"/>
  <c r="P2132" i="2" s="1"/>
  <c r="H2120" i="2"/>
  <c r="O2120" i="2"/>
  <c r="P2120" i="2" s="1"/>
  <c r="H2108" i="2"/>
  <c r="O2108" i="2"/>
  <c r="P2108" i="2" s="1"/>
  <c r="H2084" i="2"/>
  <c r="O2084" i="2"/>
  <c r="P2084" i="2" s="1"/>
  <c r="H2072" i="2"/>
  <c r="O2072" i="2"/>
  <c r="P2072" i="2" s="1"/>
  <c r="H2060" i="2"/>
  <c r="O2060" i="2"/>
  <c r="P2060" i="2" s="1"/>
  <c r="H2048" i="2"/>
  <c r="O2048" i="2"/>
  <c r="P2048" i="2" s="1"/>
  <c r="H2036" i="2"/>
  <c r="O2036" i="2"/>
  <c r="P2036" i="2" s="1"/>
  <c r="H2024" i="2"/>
  <c r="O2024" i="2"/>
  <c r="P2024" i="2" s="1"/>
  <c r="H2012" i="2"/>
  <c r="O2012" i="2"/>
  <c r="P2012" i="2" s="1"/>
  <c r="H2000" i="2"/>
  <c r="O2000" i="2"/>
  <c r="P2000" i="2" s="1"/>
  <c r="H1988" i="2"/>
  <c r="O1988" i="2"/>
  <c r="P1988" i="2" s="1"/>
  <c r="H1976" i="2"/>
  <c r="O1976" i="2"/>
  <c r="P1976" i="2" s="1"/>
  <c r="H1964" i="2"/>
  <c r="O1964" i="2"/>
  <c r="P1964" i="2" s="1"/>
  <c r="H1952" i="2"/>
  <c r="O1952" i="2"/>
  <c r="P1952" i="2" s="1"/>
  <c r="H1940" i="2"/>
  <c r="O1940" i="2"/>
  <c r="P1940" i="2" s="1"/>
  <c r="H1928" i="2"/>
  <c r="O1928" i="2"/>
  <c r="P1928" i="2" s="1"/>
  <c r="H1916" i="2"/>
  <c r="O1916" i="2"/>
  <c r="P1916" i="2" s="1"/>
  <c r="H1904" i="2"/>
  <c r="O1904" i="2"/>
  <c r="P1904" i="2" s="1"/>
  <c r="H1892" i="2"/>
  <c r="O1892" i="2"/>
  <c r="P1892" i="2" s="1"/>
  <c r="H1880" i="2"/>
  <c r="O1880" i="2"/>
  <c r="P1880" i="2" s="1"/>
  <c r="H1868" i="2"/>
  <c r="O1868" i="2"/>
  <c r="P1868" i="2" s="1"/>
  <c r="H1856" i="2"/>
  <c r="O1856" i="2"/>
  <c r="P1856" i="2" s="1"/>
  <c r="H1844" i="2"/>
  <c r="O1844" i="2"/>
  <c r="P1844" i="2" s="1"/>
  <c r="H1832" i="2"/>
  <c r="O1832" i="2"/>
  <c r="P1832" i="2" s="1"/>
  <c r="H1820" i="2"/>
  <c r="O1820" i="2"/>
  <c r="P1820" i="2" s="1"/>
  <c r="H1808" i="2"/>
  <c r="O1808" i="2"/>
  <c r="P1808" i="2" s="1"/>
  <c r="H1796" i="2"/>
  <c r="O1796" i="2"/>
  <c r="P1796" i="2" s="1"/>
  <c r="H1784" i="2"/>
  <c r="O1784" i="2"/>
  <c r="P1784" i="2" s="1"/>
  <c r="H1772" i="2"/>
  <c r="O1772" i="2"/>
  <c r="P1772" i="2" s="1"/>
  <c r="H1760" i="2"/>
  <c r="O1760" i="2"/>
  <c r="P1760" i="2" s="1"/>
  <c r="H1748" i="2"/>
  <c r="O1748" i="2"/>
  <c r="P1748" i="2" s="1"/>
  <c r="H1736" i="2"/>
  <c r="O1736" i="2"/>
  <c r="P1736" i="2" s="1"/>
  <c r="H1724" i="2"/>
  <c r="O1724" i="2"/>
  <c r="P1724" i="2" s="1"/>
  <c r="H1712" i="2"/>
  <c r="O1712" i="2"/>
  <c r="P1712" i="2" s="1"/>
  <c r="H1700" i="2"/>
  <c r="O1700" i="2"/>
  <c r="P1700" i="2" s="1"/>
  <c r="H1688" i="2"/>
  <c r="O1688" i="2"/>
  <c r="P1688" i="2" s="1"/>
  <c r="H1676" i="2"/>
  <c r="O1676" i="2"/>
  <c r="P1676" i="2" s="1"/>
  <c r="H1664" i="2"/>
  <c r="O1664" i="2"/>
  <c r="P1664" i="2" s="1"/>
  <c r="H1652" i="2"/>
  <c r="O1652" i="2"/>
  <c r="P1652" i="2" s="1"/>
  <c r="H1640" i="2"/>
  <c r="O1640" i="2"/>
  <c r="P1640" i="2" s="1"/>
  <c r="H1628" i="2"/>
  <c r="O1628" i="2"/>
  <c r="P1628" i="2" s="1"/>
  <c r="H1616" i="2"/>
  <c r="O1616" i="2"/>
  <c r="P1616" i="2" s="1"/>
  <c r="H1604" i="2"/>
  <c r="O1604" i="2"/>
  <c r="P1604" i="2" s="1"/>
  <c r="H1592" i="2"/>
  <c r="O1592" i="2"/>
  <c r="P1592" i="2" s="1"/>
  <c r="H1580" i="2"/>
  <c r="O1580" i="2"/>
  <c r="P1580" i="2" s="1"/>
  <c r="H1568" i="2"/>
  <c r="O1568" i="2"/>
  <c r="P1568" i="2" s="1"/>
  <c r="H1556" i="2"/>
  <c r="O1556" i="2"/>
  <c r="P1556" i="2" s="1"/>
  <c r="H1544" i="2"/>
  <c r="O1544" i="2"/>
  <c r="P1544" i="2" s="1"/>
  <c r="H1532" i="2"/>
  <c r="O1532" i="2"/>
  <c r="P1532" i="2" s="1"/>
  <c r="H1520" i="2"/>
  <c r="O1520" i="2"/>
  <c r="P1520" i="2" s="1"/>
  <c r="H1508" i="2"/>
  <c r="O1508" i="2"/>
  <c r="P1508" i="2" s="1"/>
  <c r="H1496" i="2"/>
  <c r="O1496" i="2"/>
  <c r="P1496" i="2" s="1"/>
  <c r="H1484" i="2"/>
  <c r="O1484" i="2"/>
  <c r="P1484" i="2" s="1"/>
  <c r="H1472" i="2"/>
  <c r="O1472" i="2"/>
  <c r="P1472" i="2" s="1"/>
  <c r="H1460" i="2"/>
  <c r="O1460" i="2"/>
  <c r="P1460" i="2" s="1"/>
  <c r="H1448" i="2"/>
  <c r="O1448" i="2"/>
  <c r="P1448" i="2" s="1"/>
  <c r="H1436" i="2"/>
  <c r="O1436" i="2"/>
  <c r="P1436" i="2" s="1"/>
  <c r="H1424" i="2"/>
  <c r="O1424" i="2"/>
  <c r="P1424" i="2" s="1"/>
  <c r="H1412" i="2"/>
  <c r="O1412" i="2"/>
  <c r="P1412" i="2" s="1"/>
  <c r="H1400" i="2"/>
  <c r="O1400" i="2"/>
  <c r="P1400" i="2" s="1"/>
  <c r="H1388" i="2"/>
  <c r="O1388" i="2"/>
  <c r="P1388" i="2" s="1"/>
  <c r="H1376" i="2"/>
  <c r="O1376" i="2"/>
  <c r="P1376" i="2" s="1"/>
  <c r="H1364" i="2"/>
  <c r="O1364" i="2"/>
  <c r="P1364" i="2" s="1"/>
  <c r="H1352" i="2"/>
  <c r="O1352" i="2"/>
  <c r="P1352" i="2" s="1"/>
  <c r="H1340" i="2"/>
  <c r="O1340" i="2"/>
  <c r="P1340" i="2" s="1"/>
  <c r="H1328" i="2"/>
  <c r="O1328" i="2"/>
  <c r="P1328" i="2" s="1"/>
  <c r="H1316" i="2"/>
  <c r="O1316" i="2"/>
  <c r="P1316" i="2" s="1"/>
  <c r="H1304" i="2"/>
  <c r="O1304" i="2"/>
  <c r="P1304" i="2" s="1"/>
  <c r="H1292" i="2"/>
  <c r="O1292" i="2"/>
  <c r="P1292" i="2" s="1"/>
  <c r="H1280" i="2"/>
  <c r="O1280" i="2"/>
  <c r="P1280" i="2" s="1"/>
  <c r="H1256" i="2"/>
  <c r="O1256" i="2"/>
  <c r="P1256" i="2" s="1"/>
  <c r="H1244" i="2"/>
  <c r="O1244" i="2"/>
  <c r="P1244" i="2" s="1"/>
  <c r="H1232" i="2"/>
  <c r="O1232" i="2"/>
  <c r="P1232" i="2" s="1"/>
  <c r="H1220" i="2"/>
  <c r="O1220" i="2"/>
  <c r="P1220" i="2" s="1"/>
  <c r="H1208" i="2"/>
  <c r="O1208" i="2"/>
  <c r="P1208" i="2" s="1"/>
  <c r="H1196" i="2"/>
  <c r="O1196" i="2"/>
  <c r="P1196" i="2" s="1"/>
  <c r="H1184" i="2"/>
  <c r="O1184" i="2"/>
  <c r="P1184" i="2" s="1"/>
  <c r="H1172" i="2"/>
  <c r="O1172" i="2"/>
  <c r="P1172" i="2" s="1"/>
  <c r="H1160" i="2"/>
  <c r="O1160" i="2"/>
  <c r="P1160" i="2" s="1"/>
  <c r="H1148" i="2"/>
  <c r="O1148" i="2"/>
  <c r="P1148" i="2" s="1"/>
  <c r="H1136" i="2"/>
  <c r="O1136" i="2"/>
  <c r="P1136" i="2" s="1"/>
  <c r="H1124" i="2"/>
  <c r="O1124" i="2"/>
  <c r="P1124" i="2" s="1"/>
  <c r="H1112" i="2"/>
  <c r="O1112" i="2"/>
  <c r="P1112" i="2" s="1"/>
  <c r="H1100" i="2"/>
  <c r="O1100" i="2"/>
  <c r="P1100" i="2" s="1"/>
  <c r="H1088" i="2"/>
  <c r="O1088" i="2"/>
  <c r="P1088" i="2" s="1"/>
  <c r="H1076" i="2"/>
  <c r="O1076" i="2"/>
  <c r="P1076" i="2" s="1"/>
  <c r="H1064" i="2"/>
  <c r="O1064" i="2"/>
  <c r="P1064" i="2" s="1"/>
  <c r="H1052" i="2"/>
  <c r="O1052" i="2"/>
  <c r="P1052" i="2" s="1"/>
  <c r="H2490" i="2"/>
  <c r="O2490" i="2"/>
  <c r="P2490" i="2" s="1"/>
  <c r="H2478" i="2"/>
  <c r="O2478" i="2"/>
  <c r="P2478" i="2" s="1"/>
  <c r="H2466" i="2"/>
  <c r="O2466" i="2"/>
  <c r="P2466" i="2" s="1"/>
  <c r="H2454" i="2"/>
  <c r="O2454" i="2"/>
  <c r="P2454" i="2" s="1"/>
  <c r="H2442" i="2"/>
  <c r="O2442" i="2"/>
  <c r="P2442" i="2" s="1"/>
  <c r="H2430" i="2"/>
  <c r="O2430" i="2"/>
  <c r="P2430" i="2" s="1"/>
  <c r="H2418" i="2"/>
  <c r="O2418" i="2"/>
  <c r="P2418" i="2" s="1"/>
  <c r="H2406" i="2"/>
  <c r="O2406" i="2"/>
  <c r="P2406" i="2" s="1"/>
  <c r="H2394" i="2"/>
  <c r="O2394" i="2"/>
  <c r="P2394" i="2" s="1"/>
  <c r="H2382" i="2"/>
  <c r="O2382" i="2"/>
  <c r="P2382" i="2" s="1"/>
  <c r="H2370" i="2"/>
  <c r="O2370" i="2"/>
  <c r="P2370" i="2" s="1"/>
  <c r="H2358" i="2"/>
  <c r="O2358" i="2"/>
  <c r="P2358" i="2" s="1"/>
  <c r="H2346" i="2"/>
  <c r="O2346" i="2"/>
  <c r="P2346" i="2" s="1"/>
  <c r="H2334" i="2"/>
  <c r="O2334" i="2"/>
  <c r="P2334" i="2" s="1"/>
  <c r="H2322" i="2"/>
  <c r="O2322" i="2"/>
  <c r="P2322" i="2" s="1"/>
  <c r="H2310" i="2"/>
  <c r="O2310" i="2"/>
  <c r="P2310" i="2" s="1"/>
  <c r="H2298" i="2"/>
  <c r="O2298" i="2"/>
  <c r="P2298" i="2" s="1"/>
  <c r="H2286" i="2"/>
  <c r="O2286" i="2"/>
  <c r="P2286" i="2" s="1"/>
  <c r="H2274" i="2"/>
  <c r="O2274" i="2"/>
  <c r="P2274" i="2" s="1"/>
  <c r="H2262" i="2"/>
  <c r="O2262" i="2"/>
  <c r="P2262" i="2" s="1"/>
  <c r="H2250" i="2"/>
  <c r="O2250" i="2"/>
  <c r="P2250" i="2" s="1"/>
  <c r="H2238" i="2"/>
  <c r="O2238" i="2"/>
  <c r="P2238" i="2" s="1"/>
  <c r="H2226" i="2"/>
  <c r="O2226" i="2"/>
  <c r="P2226" i="2" s="1"/>
  <c r="H2214" i="2"/>
  <c r="O2214" i="2"/>
  <c r="P2214" i="2" s="1"/>
  <c r="H2202" i="2"/>
  <c r="O2202" i="2"/>
  <c r="P2202" i="2" s="1"/>
  <c r="H2190" i="2"/>
  <c r="O2190" i="2"/>
  <c r="P2190" i="2" s="1"/>
  <c r="H2178" i="2"/>
  <c r="O2178" i="2"/>
  <c r="P2178" i="2" s="1"/>
  <c r="H2166" i="2"/>
  <c r="O2166" i="2"/>
  <c r="P2166" i="2" s="1"/>
  <c r="H2154" i="2"/>
  <c r="O2154" i="2"/>
  <c r="P2154" i="2" s="1"/>
  <c r="H2142" i="2"/>
  <c r="O2142" i="2"/>
  <c r="P2142" i="2" s="1"/>
  <c r="H2130" i="2"/>
  <c r="O2130" i="2"/>
  <c r="P2130" i="2" s="1"/>
  <c r="H2118" i="2"/>
  <c r="O2118" i="2"/>
  <c r="P2118" i="2" s="1"/>
  <c r="H2106" i="2"/>
  <c r="O2106" i="2"/>
  <c r="P2106" i="2" s="1"/>
  <c r="H2094" i="2"/>
  <c r="O2094" i="2"/>
  <c r="P2094" i="2" s="1"/>
  <c r="H2082" i="2"/>
  <c r="O2082" i="2"/>
  <c r="P2082" i="2" s="1"/>
  <c r="H2070" i="2"/>
  <c r="O2070" i="2"/>
  <c r="P2070" i="2" s="1"/>
  <c r="H2058" i="2"/>
  <c r="O2058" i="2"/>
  <c r="P2058" i="2" s="1"/>
  <c r="H2046" i="2"/>
  <c r="O2046" i="2"/>
  <c r="P2046" i="2" s="1"/>
  <c r="H2034" i="2"/>
  <c r="O2034" i="2"/>
  <c r="P2034" i="2" s="1"/>
  <c r="H2022" i="2"/>
  <c r="O2022" i="2"/>
  <c r="P2022" i="2" s="1"/>
  <c r="H2010" i="2"/>
  <c r="O2010" i="2"/>
  <c r="P2010" i="2" s="1"/>
  <c r="H1998" i="2"/>
  <c r="O1998" i="2"/>
  <c r="P1998" i="2" s="1"/>
  <c r="H1986" i="2"/>
  <c r="O1986" i="2"/>
  <c r="P1986" i="2" s="1"/>
  <c r="H1974" i="2"/>
  <c r="O1974" i="2"/>
  <c r="P1974" i="2" s="1"/>
  <c r="H1962" i="2"/>
  <c r="O1962" i="2"/>
  <c r="P1962" i="2" s="1"/>
  <c r="H1950" i="2"/>
  <c r="O1950" i="2"/>
  <c r="P1950" i="2" s="1"/>
  <c r="H1938" i="2"/>
  <c r="O1938" i="2"/>
  <c r="P1938" i="2" s="1"/>
  <c r="H1926" i="2"/>
  <c r="O1926" i="2"/>
  <c r="P1926" i="2" s="1"/>
  <c r="H1914" i="2"/>
  <c r="O1914" i="2"/>
  <c r="P1914" i="2" s="1"/>
  <c r="H1902" i="2"/>
  <c r="O1902" i="2"/>
  <c r="P1902" i="2" s="1"/>
  <c r="H1890" i="2"/>
  <c r="O1890" i="2"/>
  <c r="P1890" i="2" s="1"/>
  <c r="H1878" i="2"/>
  <c r="O1878" i="2"/>
  <c r="P1878" i="2" s="1"/>
  <c r="H1866" i="2"/>
  <c r="O1866" i="2"/>
  <c r="P1866" i="2" s="1"/>
  <c r="H1854" i="2"/>
  <c r="O1854" i="2"/>
  <c r="P1854" i="2" s="1"/>
  <c r="H1842" i="2"/>
  <c r="O1842" i="2"/>
  <c r="P1842" i="2" s="1"/>
  <c r="H1830" i="2"/>
  <c r="O1830" i="2"/>
  <c r="P1830" i="2" s="1"/>
  <c r="H1818" i="2"/>
  <c r="O1818" i="2"/>
  <c r="P1818" i="2" s="1"/>
  <c r="H1806" i="2"/>
  <c r="O1806" i="2"/>
  <c r="P1806" i="2" s="1"/>
  <c r="H1794" i="2"/>
  <c r="O1794" i="2"/>
  <c r="P1794" i="2" s="1"/>
  <c r="H1782" i="2"/>
  <c r="O1782" i="2"/>
  <c r="P1782" i="2" s="1"/>
  <c r="H1770" i="2"/>
  <c r="O1770" i="2"/>
  <c r="P1770" i="2" s="1"/>
  <c r="H1758" i="2"/>
  <c r="O1758" i="2"/>
  <c r="P1758" i="2" s="1"/>
  <c r="H1746" i="2"/>
  <c r="O1746" i="2"/>
  <c r="P1746" i="2" s="1"/>
  <c r="H1734" i="2"/>
  <c r="O1734" i="2"/>
  <c r="P1734" i="2" s="1"/>
  <c r="H1722" i="2"/>
  <c r="O1722" i="2"/>
  <c r="P1722" i="2" s="1"/>
  <c r="H1710" i="2"/>
  <c r="O1710" i="2"/>
  <c r="P1710" i="2" s="1"/>
  <c r="H1698" i="2"/>
  <c r="O1698" i="2"/>
  <c r="P1698" i="2" s="1"/>
  <c r="H1686" i="2"/>
  <c r="O1686" i="2"/>
  <c r="P1686" i="2" s="1"/>
  <c r="H1674" i="2"/>
  <c r="O1674" i="2"/>
  <c r="P1674" i="2" s="1"/>
  <c r="H1662" i="2"/>
  <c r="O1662" i="2"/>
  <c r="P1662" i="2" s="1"/>
  <c r="H1650" i="2"/>
  <c r="O1650" i="2"/>
  <c r="P1650" i="2" s="1"/>
  <c r="H1638" i="2"/>
  <c r="O1638" i="2"/>
  <c r="P1638" i="2" s="1"/>
  <c r="H1626" i="2"/>
  <c r="O1626" i="2"/>
  <c r="P1626" i="2" s="1"/>
  <c r="H1614" i="2"/>
  <c r="O1614" i="2"/>
  <c r="P1614" i="2" s="1"/>
  <c r="H1602" i="2"/>
  <c r="O1602" i="2"/>
  <c r="P1602" i="2" s="1"/>
  <c r="H1590" i="2"/>
  <c r="O1590" i="2"/>
  <c r="P1590" i="2" s="1"/>
  <c r="H1578" i="2"/>
  <c r="O1578" i="2"/>
  <c r="P1578" i="2" s="1"/>
  <c r="H1566" i="2"/>
  <c r="O1566" i="2"/>
  <c r="P1566" i="2" s="1"/>
  <c r="O1554" i="2"/>
  <c r="P1554" i="2" s="1"/>
  <c r="H1554" i="2"/>
  <c r="H1542" i="2"/>
  <c r="O1542" i="2"/>
  <c r="P1542" i="2" s="1"/>
  <c r="H1530" i="2"/>
  <c r="O1530" i="2"/>
  <c r="P1530" i="2" s="1"/>
  <c r="H1518" i="2"/>
  <c r="O1518" i="2"/>
  <c r="P1518" i="2" s="1"/>
  <c r="H1506" i="2"/>
  <c r="O1506" i="2"/>
  <c r="P1506" i="2" s="1"/>
  <c r="H1494" i="2"/>
  <c r="O1494" i="2"/>
  <c r="P1494" i="2" s="1"/>
  <c r="H1482" i="2"/>
  <c r="O1482" i="2"/>
  <c r="P1482" i="2" s="1"/>
  <c r="H1470" i="2"/>
  <c r="O1470" i="2"/>
  <c r="P1470" i="2" s="1"/>
  <c r="H1458" i="2"/>
  <c r="O1458" i="2"/>
  <c r="P1458" i="2" s="1"/>
  <c r="H1446" i="2"/>
  <c r="O1446" i="2"/>
  <c r="P1446" i="2" s="1"/>
  <c r="H1434" i="2"/>
  <c r="O1434" i="2"/>
  <c r="P1434" i="2" s="1"/>
  <c r="H1422" i="2"/>
  <c r="O1422" i="2"/>
  <c r="P1422" i="2" s="1"/>
  <c r="H1410" i="2"/>
  <c r="O1410" i="2"/>
  <c r="P1410" i="2" s="1"/>
  <c r="H1398" i="2"/>
  <c r="O1398" i="2"/>
  <c r="P1398" i="2" s="1"/>
  <c r="H1386" i="2"/>
  <c r="O1386" i="2"/>
  <c r="P1386" i="2" s="1"/>
  <c r="H1374" i="2"/>
  <c r="O1374" i="2"/>
  <c r="P1374" i="2" s="1"/>
  <c r="H1362" i="2"/>
  <c r="O1362" i="2"/>
  <c r="P1362" i="2" s="1"/>
  <c r="H1350" i="2"/>
  <c r="O1350" i="2"/>
  <c r="P1350" i="2" s="1"/>
  <c r="H1338" i="2"/>
  <c r="O1338" i="2"/>
  <c r="P1338" i="2" s="1"/>
  <c r="H1326" i="2"/>
  <c r="O1326" i="2"/>
  <c r="P1326" i="2" s="1"/>
  <c r="H1314" i="2"/>
  <c r="O1314" i="2"/>
  <c r="P1314" i="2" s="1"/>
  <c r="H1302" i="2"/>
  <c r="O1302" i="2"/>
  <c r="P1302" i="2" s="1"/>
  <c r="H1290" i="2"/>
  <c r="O1290" i="2"/>
  <c r="P1290" i="2" s="1"/>
  <c r="H1278" i="2"/>
  <c r="O1278" i="2"/>
  <c r="P1278" i="2" s="1"/>
  <c r="H1266" i="2"/>
  <c r="O1266" i="2"/>
  <c r="P1266" i="2" s="1"/>
  <c r="H1254" i="2"/>
  <c r="O1254" i="2"/>
  <c r="P1254" i="2" s="1"/>
  <c r="H1242" i="2"/>
  <c r="O1242" i="2"/>
  <c r="P1242" i="2" s="1"/>
  <c r="H1230" i="2"/>
  <c r="O1230" i="2"/>
  <c r="P1230" i="2" s="1"/>
  <c r="H1218" i="2"/>
  <c r="O1218" i="2"/>
  <c r="P1218" i="2" s="1"/>
  <c r="H1206" i="2"/>
  <c r="O1206" i="2"/>
  <c r="P1206" i="2" s="1"/>
  <c r="H1194" i="2"/>
  <c r="O1194" i="2"/>
  <c r="P1194" i="2" s="1"/>
  <c r="H1182" i="2"/>
  <c r="O1182" i="2"/>
  <c r="P1182" i="2" s="1"/>
  <c r="H1170" i="2"/>
  <c r="O1170" i="2"/>
  <c r="P1170" i="2" s="1"/>
  <c r="H1158" i="2"/>
  <c r="O1158" i="2"/>
  <c r="P1158" i="2" s="1"/>
  <c r="H1146" i="2"/>
  <c r="O1146" i="2"/>
  <c r="P1146" i="2" s="1"/>
  <c r="H1134" i="2"/>
  <c r="O1134" i="2"/>
  <c r="P1134" i="2" s="1"/>
  <c r="H1122" i="2"/>
  <c r="O1122" i="2"/>
  <c r="P1122" i="2" s="1"/>
  <c r="H1110" i="2"/>
  <c r="O1110" i="2"/>
  <c r="P1110" i="2" s="1"/>
  <c r="H1098" i="2"/>
  <c r="O1098" i="2"/>
  <c r="P1098" i="2" s="1"/>
  <c r="H1086" i="2"/>
  <c r="O1086" i="2"/>
  <c r="P1086" i="2" s="1"/>
  <c r="H1074" i="2"/>
  <c r="O1074" i="2"/>
  <c r="P1074" i="2" s="1"/>
  <c r="H1062" i="2"/>
  <c r="O1062" i="2"/>
  <c r="P1062" i="2" s="1"/>
  <c r="H1050" i="2"/>
  <c r="O1050" i="2"/>
  <c r="P1050" i="2" s="1"/>
  <c r="H1038" i="2"/>
  <c r="O1038" i="2"/>
  <c r="P1038" i="2" s="1"/>
  <c r="H1026" i="2"/>
  <c r="O1026" i="2"/>
  <c r="P1026" i="2" s="1"/>
  <c r="H1014" i="2"/>
  <c r="O1014" i="2"/>
  <c r="P1014" i="2" s="1"/>
  <c r="H1002" i="2"/>
  <c r="O1002" i="2"/>
  <c r="P1002" i="2" s="1"/>
  <c r="H990" i="2"/>
  <c r="O990" i="2"/>
  <c r="P990" i="2" s="1"/>
  <c r="H978" i="2"/>
  <c r="O978" i="2"/>
  <c r="P978" i="2" s="1"/>
  <c r="H966" i="2"/>
  <c r="O966" i="2"/>
  <c r="P966" i="2" s="1"/>
  <c r="H954" i="2"/>
  <c r="O954" i="2"/>
  <c r="P954" i="2" s="1"/>
  <c r="H942" i="2"/>
  <c r="O942" i="2"/>
  <c r="P942" i="2" s="1"/>
  <c r="H930" i="2"/>
  <c r="O930" i="2"/>
  <c r="P930" i="2" s="1"/>
  <c r="H918" i="2"/>
  <c r="O918" i="2"/>
  <c r="P918" i="2" s="1"/>
  <c r="H906" i="2"/>
  <c r="O906" i="2"/>
  <c r="P906" i="2" s="1"/>
  <c r="H894" i="2"/>
  <c r="O894" i="2"/>
  <c r="P894" i="2" s="1"/>
  <c r="H882" i="2"/>
  <c r="O882" i="2"/>
  <c r="P882" i="2" s="1"/>
  <c r="H870" i="2"/>
  <c r="O870" i="2"/>
  <c r="P870" i="2" s="1"/>
  <c r="H858" i="2"/>
  <c r="O858" i="2"/>
  <c r="P858" i="2" s="1"/>
  <c r="H846" i="2"/>
  <c r="O846" i="2"/>
  <c r="P846" i="2" s="1"/>
  <c r="H834" i="2"/>
  <c r="O834" i="2"/>
  <c r="P834" i="2" s="1"/>
  <c r="H822" i="2"/>
  <c r="O822" i="2"/>
  <c r="P822" i="2" s="1"/>
  <c r="H810" i="2"/>
  <c r="O810" i="2"/>
  <c r="P810" i="2" s="1"/>
  <c r="H798" i="2"/>
  <c r="O798" i="2"/>
  <c r="P798" i="2" s="1"/>
  <c r="H786" i="2"/>
  <c r="O786" i="2"/>
  <c r="P786" i="2" s="1"/>
  <c r="H774" i="2"/>
  <c r="O774" i="2"/>
  <c r="P774" i="2" s="1"/>
  <c r="H762" i="2"/>
  <c r="O762" i="2"/>
  <c r="P762" i="2" s="1"/>
  <c r="H750" i="2"/>
  <c r="O750" i="2"/>
  <c r="P750" i="2" s="1"/>
  <c r="H738" i="2"/>
  <c r="O738" i="2"/>
  <c r="P738" i="2" s="1"/>
  <c r="H726" i="2"/>
  <c r="O726" i="2"/>
  <c r="P726" i="2" s="1"/>
  <c r="H714" i="2"/>
  <c r="O714" i="2"/>
  <c r="P714" i="2" s="1"/>
  <c r="H702" i="2"/>
  <c r="O702" i="2"/>
  <c r="P702" i="2" s="1"/>
  <c r="H690" i="2"/>
  <c r="O690" i="2"/>
  <c r="P690" i="2" s="1"/>
  <c r="H678" i="2"/>
  <c r="O678" i="2"/>
  <c r="P678" i="2" s="1"/>
  <c r="H666" i="2"/>
  <c r="O666" i="2"/>
  <c r="P666" i="2" s="1"/>
  <c r="H654" i="2"/>
  <c r="O654" i="2"/>
  <c r="P654" i="2" s="1"/>
  <c r="H642" i="2"/>
  <c r="O642" i="2"/>
  <c r="P642" i="2" s="1"/>
  <c r="H630" i="2"/>
  <c r="O630" i="2"/>
  <c r="P630" i="2" s="1"/>
  <c r="H618" i="2"/>
  <c r="O618" i="2"/>
  <c r="P618" i="2" s="1"/>
  <c r="H606" i="2"/>
  <c r="O606" i="2"/>
  <c r="P606" i="2" s="1"/>
  <c r="H594" i="2"/>
  <c r="O594" i="2"/>
  <c r="P594" i="2" s="1"/>
  <c r="H582" i="2"/>
  <c r="O582" i="2"/>
  <c r="P582" i="2" s="1"/>
  <c r="H570" i="2"/>
  <c r="O570" i="2"/>
  <c r="P570" i="2" s="1"/>
  <c r="H558" i="2"/>
  <c r="O558" i="2"/>
  <c r="P558" i="2" s="1"/>
  <c r="H546" i="2"/>
  <c r="O546" i="2"/>
  <c r="P546" i="2" s="1"/>
  <c r="H534" i="2"/>
  <c r="O534" i="2"/>
  <c r="P534" i="2" s="1"/>
  <c r="H522" i="2"/>
  <c r="O522" i="2"/>
  <c r="P522" i="2" s="1"/>
  <c r="H510" i="2"/>
  <c r="O510" i="2"/>
  <c r="P510" i="2" s="1"/>
  <c r="H498" i="2"/>
  <c r="O498" i="2"/>
  <c r="P498" i="2" s="1"/>
  <c r="H486" i="2"/>
  <c r="O486" i="2"/>
  <c r="P486" i="2" s="1"/>
  <c r="H474" i="2"/>
  <c r="O474" i="2"/>
  <c r="P474" i="2" s="1"/>
  <c r="H462" i="2"/>
  <c r="O462" i="2"/>
  <c r="P462" i="2" s="1"/>
  <c r="H450" i="2"/>
  <c r="O450" i="2"/>
  <c r="P450" i="2" s="1"/>
  <c r="H438" i="2"/>
  <c r="O438" i="2"/>
  <c r="P438" i="2" s="1"/>
  <c r="H426" i="2"/>
  <c r="O426" i="2"/>
  <c r="P426" i="2" s="1"/>
  <c r="H414" i="2"/>
  <c r="O414" i="2"/>
  <c r="P414" i="2" s="1"/>
  <c r="H402" i="2"/>
  <c r="O402" i="2"/>
  <c r="P402" i="2" s="1"/>
  <c r="H390" i="2"/>
  <c r="O390" i="2"/>
  <c r="P390" i="2" s="1"/>
  <c r="H378" i="2"/>
  <c r="O378" i="2"/>
  <c r="P378" i="2" s="1"/>
  <c r="H366" i="2"/>
  <c r="O366" i="2"/>
  <c r="P366" i="2" s="1"/>
  <c r="H354" i="2"/>
  <c r="O354" i="2"/>
  <c r="P354" i="2" s="1"/>
  <c r="H342" i="2"/>
  <c r="O342" i="2"/>
  <c r="P342" i="2" s="1"/>
  <c r="H330" i="2"/>
  <c r="O330" i="2"/>
  <c r="P330" i="2" s="1"/>
  <c r="H318" i="2"/>
  <c r="O318" i="2"/>
  <c r="P318" i="2" s="1"/>
  <c r="H306" i="2"/>
  <c r="O306" i="2"/>
  <c r="P306" i="2" s="1"/>
  <c r="H294" i="2"/>
  <c r="O294" i="2"/>
  <c r="P294" i="2" s="1"/>
  <c r="H282" i="2"/>
  <c r="O282" i="2"/>
  <c r="P282" i="2" s="1"/>
  <c r="H270" i="2"/>
  <c r="O270" i="2"/>
  <c r="P270" i="2" s="1"/>
  <c r="H258" i="2"/>
  <c r="O258" i="2"/>
  <c r="P258" i="2" s="1"/>
  <c r="H246" i="2"/>
  <c r="O246" i="2"/>
  <c r="P246" i="2" s="1"/>
  <c r="H234" i="2"/>
  <c r="O234" i="2"/>
  <c r="P234" i="2" s="1"/>
  <c r="H222" i="2"/>
  <c r="O222" i="2"/>
  <c r="P222" i="2" s="1"/>
  <c r="H210" i="2"/>
  <c r="O210" i="2"/>
  <c r="P210" i="2" s="1"/>
  <c r="H198" i="2"/>
  <c r="O198" i="2"/>
  <c r="P198" i="2" s="1"/>
  <c r="H186" i="2"/>
  <c r="O186" i="2"/>
  <c r="P186" i="2" s="1"/>
  <c r="H174" i="2"/>
  <c r="O174" i="2"/>
  <c r="P174" i="2" s="1"/>
  <c r="H162" i="2"/>
  <c r="O162" i="2"/>
  <c r="P162" i="2" s="1"/>
  <c r="H150" i="2"/>
  <c r="O150" i="2"/>
  <c r="P150" i="2" s="1"/>
  <c r="H138" i="2"/>
  <c r="O138" i="2"/>
  <c r="P138" i="2" s="1"/>
  <c r="H126" i="2"/>
  <c r="O126" i="2"/>
  <c r="P126" i="2" s="1"/>
  <c r="H114" i="2"/>
  <c r="O114" i="2"/>
  <c r="P114" i="2" s="1"/>
  <c r="H102" i="2"/>
  <c r="O102" i="2"/>
  <c r="P102" i="2" s="1"/>
  <c r="H90" i="2"/>
  <c r="O90" i="2"/>
  <c r="P90" i="2" s="1"/>
  <c r="H78" i="2"/>
  <c r="O78" i="2"/>
  <c r="P78" i="2" s="1"/>
  <c r="H66" i="2"/>
  <c r="O66" i="2"/>
  <c r="P66" i="2" s="1"/>
  <c r="H54" i="2"/>
  <c r="O54" i="2"/>
  <c r="P54" i="2" s="1"/>
  <c r="H42" i="2"/>
  <c r="O42" i="2"/>
  <c r="P42" i="2" s="1"/>
  <c r="H30" i="2"/>
  <c r="O30" i="2"/>
  <c r="P30" i="2" s="1"/>
  <c r="H18" i="2"/>
  <c r="O18" i="2"/>
  <c r="P18" i="2" s="1"/>
  <c r="H6" i="2"/>
  <c r="O6" i="2"/>
  <c r="P6" i="2" s="1"/>
  <c r="H2487" i="2"/>
  <c r="O2487" i="2"/>
  <c r="P2487" i="2" s="1"/>
  <c r="H2463" i="2"/>
  <c r="O2463" i="2"/>
  <c r="P2463" i="2" s="1"/>
  <c r="H2415" i="2"/>
  <c r="O2415" i="2"/>
  <c r="P2415" i="2" s="1"/>
  <c r="H2403" i="2"/>
  <c r="O2403" i="2"/>
  <c r="P2403" i="2" s="1"/>
  <c r="H2355" i="2"/>
  <c r="O2355" i="2"/>
  <c r="P2355" i="2" s="1"/>
  <c r="H2343" i="2"/>
  <c r="O2343" i="2"/>
  <c r="P2343" i="2" s="1"/>
  <c r="H2307" i="2"/>
  <c r="O2307" i="2"/>
  <c r="P2307" i="2" s="1"/>
  <c r="H2283" i="2"/>
  <c r="O2283" i="2"/>
  <c r="P2283" i="2" s="1"/>
  <c r="H2271" i="2"/>
  <c r="O2271" i="2"/>
  <c r="P2271" i="2" s="1"/>
  <c r="H2247" i="2"/>
  <c r="O2247" i="2"/>
  <c r="P2247" i="2" s="1"/>
  <c r="H2235" i="2"/>
  <c r="O2235" i="2"/>
  <c r="P2235" i="2" s="1"/>
  <c r="H2199" i="2"/>
  <c r="O2199" i="2"/>
  <c r="P2199" i="2" s="1"/>
  <c r="H2163" i="2"/>
  <c r="O2163" i="2"/>
  <c r="P2163" i="2" s="1"/>
  <c r="H2139" i="2"/>
  <c r="O2139" i="2"/>
  <c r="P2139" i="2" s="1"/>
  <c r="H2127" i="2"/>
  <c r="O2127" i="2"/>
  <c r="P2127" i="2" s="1"/>
  <c r="H2115" i="2"/>
  <c r="O2115" i="2"/>
  <c r="P2115" i="2" s="1"/>
  <c r="H2079" i="2"/>
  <c r="O2079" i="2"/>
  <c r="P2079" i="2" s="1"/>
  <c r="H2067" i="2"/>
  <c r="O2067" i="2"/>
  <c r="P2067" i="2" s="1"/>
  <c r="H2043" i="2"/>
  <c r="O2043" i="2"/>
  <c r="P2043" i="2" s="1"/>
  <c r="H2031" i="2"/>
  <c r="O2031" i="2"/>
  <c r="P2031" i="2" s="1"/>
  <c r="H2007" i="2"/>
  <c r="O2007" i="2"/>
  <c r="P2007" i="2" s="1"/>
  <c r="H1983" i="2"/>
  <c r="O1983" i="2"/>
  <c r="P1983" i="2" s="1"/>
  <c r="H1971" i="2"/>
  <c r="O1971" i="2"/>
  <c r="P1971" i="2" s="1"/>
  <c r="H1947" i="2"/>
  <c r="O1947" i="2"/>
  <c r="P1947" i="2" s="1"/>
  <c r="H1935" i="2"/>
  <c r="O1935" i="2"/>
  <c r="P1935" i="2" s="1"/>
  <c r="H1911" i="2"/>
  <c r="O1911" i="2"/>
  <c r="P1911" i="2" s="1"/>
  <c r="H1863" i="2"/>
  <c r="O1863" i="2"/>
  <c r="P1863" i="2" s="1"/>
  <c r="H1839" i="2"/>
  <c r="O1839" i="2"/>
  <c r="P1839" i="2" s="1"/>
  <c r="H1827" i="2"/>
  <c r="O1827" i="2"/>
  <c r="P1827" i="2" s="1"/>
  <c r="H1803" i="2"/>
  <c r="O1803" i="2"/>
  <c r="P1803" i="2" s="1"/>
  <c r="H1779" i="2"/>
  <c r="O1779" i="2"/>
  <c r="P1779" i="2" s="1"/>
  <c r="H1743" i="2"/>
  <c r="O1743" i="2"/>
  <c r="P1743" i="2" s="1"/>
  <c r="H1719" i="2"/>
  <c r="O1719" i="2"/>
  <c r="P1719" i="2" s="1"/>
  <c r="H1707" i="2"/>
  <c r="O1707" i="2"/>
  <c r="P1707" i="2" s="1"/>
  <c r="H1695" i="2"/>
  <c r="O1695" i="2"/>
  <c r="P1695" i="2" s="1"/>
  <c r="H1683" i="2"/>
  <c r="O1683" i="2"/>
  <c r="P1683" i="2" s="1"/>
  <c r="H1647" i="2"/>
  <c r="O1647" i="2"/>
  <c r="P1647" i="2" s="1"/>
  <c r="H1623" i="2"/>
  <c r="O1623" i="2"/>
  <c r="P1623" i="2" s="1"/>
  <c r="H1599" i="2"/>
  <c r="O1599" i="2"/>
  <c r="P1599" i="2" s="1"/>
  <c r="H1563" i="2"/>
  <c r="O1563" i="2"/>
  <c r="P1563" i="2" s="1"/>
  <c r="H1527" i="2"/>
  <c r="O1527" i="2"/>
  <c r="P1527" i="2" s="1"/>
  <c r="H1491" i="2"/>
  <c r="O1491" i="2"/>
  <c r="P1491" i="2" s="1"/>
  <c r="H1467" i="2"/>
  <c r="O1467" i="2"/>
  <c r="P1467" i="2" s="1"/>
  <c r="H1443" i="2"/>
  <c r="O1443" i="2"/>
  <c r="P1443" i="2" s="1"/>
  <c r="H1419" i="2"/>
  <c r="O1419" i="2"/>
  <c r="P1419" i="2" s="1"/>
  <c r="H1395" i="2"/>
  <c r="O1395" i="2"/>
  <c r="P1395" i="2" s="1"/>
  <c r="H1335" i="2"/>
  <c r="O1335" i="2"/>
  <c r="P1335" i="2" s="1"/>
  <c r="H1311" i="2"/>
  <c r="O1311" i="2"/>
  <c r="P1311" i="2" s="1"/>
  <c r="H1299" i="2"/>
  <c r="O1299" i="2"/>
  <c r="P1299" i="2" s="1"/>
  <c r="H1287" i="2"/>
  <c r="O1287" i="2"/>
  <c r="P1287" i="2" s="1"/>
  <c r="H1275" i="2"/>
  <c r="O1275" i="2"/>
  <c r="P1275" i="2" s="1"/>
  <c r="H1263" i="2"/>
  <c r="O1263" i="2"/>
  <c r="P1263" i="2" s="1"/>
  <c r="H1239" i="2"/>
  <c r="O1239" i="2"/>
  <c r="P1239" i="2" s="1"/>
  <c r="H1203" i="2"/>
  <c r="O1203" i="2"/>
  <c r="P1203" i="2" s="1"/>
  <c r="H1179" i="2"/>
  <c r="O1179" i="2"/>
  <c r="P1179" i="2" s="1"/>
  <c r="H1155" i="2"/>
  <c r="O1155" i="2"/>
  <c r="P1155" i="2" s="1"/>
  <c r="H1131" i="2"/>
  <c r="O1131" i="2"/>
  <c r="P1131" i="2" s="1"/>
  <c r="H1107" i="2"/>
  <c r="O1107" i="2"/>
  <c r="P1107" i="2" s="1"/>
  <c r="H1095" i="2"/>
  <c r="O1095" i="2"/>
  <c r="P1095" i="2" s="1"/>
  <c r="H1083" i="2"/>
  <c r="O1083" i="2"/>
  <c r="P1083" i="2" s="1"/>
  <c r="H1071" i="2"/>
  <c r="O1071" i="2"/>
  <c r="P1071" i="2" s="1"/>
  <c r="H1035" i="2"/>
  <c r="O1035" i="2"/>
  <c r="P1035" i="2" s="1"/>
  <c r="H1023" i="2"/>
  <c r="O1023" i="2"/>
  <c r="P1023" i="2" s="1"/>
  <c r="H1011" i="2"/>
  <c r="O1011" i="2"/>
  <c r="P1011" i="2" s="1"/>
  <c r="H975" i="2"/>
  <c r="O975" i="2"/>
  <c r="P975" i="2" s="1"/>
  <c r="H963" i="2"/>
  <c r="O963" i="2"/>
  <c r="P963" i="2" s="1"/>
  <c r="H951" i="2"/>
  <c r="O951" i="2"/>
  <c r="P951" i="2" s="1"/>
  <c r="H939" i="2"/>
  <c r="O939" i="2"/>
  <c r="P939" i="2" s="1"/>
  <c r="H927" i="2"/>
  <c r="O927" i="2"/>
  <c r="P927" i="2" s="1"/>
  <c r="H879" i="2"/>
  <c r="O879" i="2"/>
  <c r="P879" i="2" s="1"/>
  <c r="H867" i="2"/>
  <c r="O867" i="2"/>
  <c r="P867" i="2" s="1"/>
  <c r="H855" i="2"/>
  <c r="O855" i="2"/>
  <c r="P855" i="2" s="1"/>
  <c r="H831" i="2"/>
  <c r="O831" i="2"/>
  <c r="P831" i="2" s="1"/>
  <c r="H819" i="2"/>
  <c r="O819" i="2"/>
  <c r="P819" i="2" s="1"/>
  <c r="H807" i="2"/>
  <c r="O807" i="2"/>
  <c r="P807" i="2" s="1"/>
  <c r="H795" i="2"/>
  <c r="O795" i="2"/>
  <c r="P795" i="2" s="1"/>
  <c r="H771" i="2"/>
  <c r="O771" i="2"/>
  <c r="P771" i="2" s="1"/>
  <c r="H747" i="2"/>
  <c r="O747" i="2"/>
  <c r="P747" i="2" s="1"/>
  <c r="H735" i="2"/>
  <c r="O735" i="2"/>
  <c r="P735" i="2" s="1"/>
  <c r="H687" i="2"/>
  <c r="O687" i="2"/>
  <c r="P687" i="2" s="1"/>
  <c r="H675" i="2"/>
  <c r="O675" i="2"/>
  <c r="P675" i="2" s="1"/>
  <c r="H603" i="2"/>
  <c r="O603" i="2"/>
  <c r="P603" i="2" s="1"/>
  <c r="H591" i="2"/>
  <c r="O591" i="2"/>
  <c r="P591" i="2" s="1"/>
  <c r="H579" i="2"/>
  <c r="O579" i="2"/>
  <c r="P579" i="2" s="1"/>
  <c r="H567" i="2"/>
  <c r="O567" i="2"/>
  <c r="P567" i="2" s="1"/>
  <c r="H495" i="2"/>
  <c r="O495" i="2"/>
  <c r="P495" i="2" s="1"/>
  <c r="H435" i="2"/>
  <c r="O435" i="2"/>
  <c r="P435" i="2" s="1"/>
  <c r="H411" i="2"/>
  <c r="O411" i="2"/>
  <c r="P411" i="2" s="1"/>
  <c r="H387" i="2"/>
  <c r="O387" i="2"/>
  <c r="P387" i="2" s="1"/>
  <c r="H375" i="2"/>
  <c r="O375" i="2"/>
  <c r="P375" i="2" s="1"/>
  <c r="H351" i="2"/>
  <c r="O351" i="2"/>
  <c r="P351" i="2" s="1"/>
  <c r="H339" i="2"/>
  <c r="O339" i="2"/>
  <c r="P339" i="2" s="1"/>
  <c r="H327" i="2"/>
  <c r="O327" i="2"/>
  <c r="P327" i="2" s="1"/>
  <c r="H315" i="2"/>
  <c r="O315" i="2"/>
  <c r="P315" i="2" s="1"/>
  <c r="H255" i="2"/>
  <c r="O255" i="2"/>
  <c r="P255" i="2" s="1"/>
  <c r="H243" i="2"/>
  <c r="O243" i="2"/>
  <c r="P243" i="2" s="1"/>
  <c r="H183" i="2"/>
  <c r="O183" i="2"/>
  <c r="P183" i="2" s="1"/>
  <c r="H171" i="2"/>
  <c r="O171" i="2"/>
  <c r="P171" i="2" s="1"/>
  <c r="H159" i="2"/>
  <c r="O159" i="2"/>
  <c r="P159" i="2" s="1"/>
  <c r="H147" i="2"/>
  <c r="O147" i="2"/>
  <c r="P147" i="2" s="1"/>
  <c r="H111" i="2"/>
  <c r="O111" i="2"/>
  <c r="P111" i="2" s="1"/>
  <c r="H87" i="2"/>
  <c r="O87" i="2"/>
  <c r="P87" i="2" s="1"/>
  <c r="H51" i="2"/>
  <c r="O51" i="2"/>
  <c r="P51" i="2" s="1"/>
  <c r="H39" i="2"/>
  <c r="O39" i="2"/>
  <c r="P39" i="2" s="1"/>
  <c r="H27" i="2"/>
  <c r="O27" i="2"/>
  <c r="P27" i="2" s="1"/>
  <c r="H3" i="2"/>
  <c r="H2499" i="2"/>
  <c r="O2499" i="2"/>
  <c r="P2499" i="2" s="1"/>
  <c r="H2475" i="2"/>
  <c r="O2475" i="2"/>
  <c r="P2475" i="2" s="1"/>
  <c r="H2451" i="2"/>
  <c r="O2451" i="2"/>
  <c r="P2451" i="2" s="1"/>
  <c r="H2439" i="2"/>
  <c r="O2439" i="2"/>
  <c r="P2439" i="2" s="1"/>
  <c r="H2427" i="2"/>
  <c r="O2427" i="2"/>
  <c r="P2427" i="2" s="1"/>
  <c r="H2391" i="2"/>
  <c r="O2391" i="2"/>
  <c r="P2391" i="2" s="1"/>
  <c r="H2379" i="2"/>
  <c r="O2379" i="2"/>
  <c r="P2379" i="2" s="1"/>
  <c r="H2367" i="2"/>
  <c r="O2367" i="2"/>
  <c r="P2367" i="2" s="1"/>
  <c r="H2331" i="2"/>
  <c r="O2331" i="2"/>
  <c r="P2331" i="2" s="1"/>
  <c r="H2319" i="2"/>
  <c r="O2319" i="2"/>
  <c r="P2319" i="2" s="1"/>
  <c r="H2295" i="2"/>
  <c r="O2295" i="2"/>
  <c r="P2295" i="2" s="1"/>
  <c r="H2259" i="2"/>
  <c r="O2259" i="2"/>
  <c r="P2259" i="2" s="1"/>
  <c r="H2223" i="2"/>
  <c r="O2223" i="2"/>
  <c r="P2223" i="2" s="1"/>
  <c r="H2211" i="2"/>
  <c r="O2211" i="2"/>
  <c r="P2211" i="2" s="1"/>
  <c r="H2187" i="2"/>
  <c r="O2187" i="2"/>
  <c r="P2187" i="2" s="1"/>
  <c r="H2175" i="2"/>
  <c r="O2175" i="2"/>
  <c r="P2175" i="2" s="1"/>
  <c r="H2151" i="2"/>
  <c r="O2151" i="2"/>
  <c r="P2151" i="2" s="1"/>
  <c r="H2103" i="2"/>
  <c r="O2103" i="2"/>
  <c r="P2103" i="2" s="1"/>
  <c r="H2091" i="2"/>
  <c r="O2091" i="2"/>
  <c r="P2091" i="2" s="1"/>
  <c r="H2055" i="2"/>
  <c r="O2055" i="2"/>
  <c r="P2055" i="2" s="1"/>
  <c r="H2019" i="2"/>
  <c r="O2019" i="2"/>
  <c r="P2019" i="2" s="1"/>
  <c r="H1995" i="2"/>
  <c r="O1995" i="2"/>
  <c r="P1995" i="2" s="1"/>
  <c r="O1959" i="2"/>
  <c r="P1959" i="2" s="1"/>
  <c r="H1923" i="2"/>
  <c r="O1923" i="2"/>
  <c r="P1923" i="2" s="1"/>
  <c r="H1899" i="2"/>
  <c r="O1899" i="2"/>
  <c r="P1899" i="2" s="1"/>
  <c r="H1887" i="2"/>
  <c r="O1887" i="2"/>
  <c r="P1887" i="2" s="1"/>
  <c r="H1875" i="2"/>
  <c r="O1875" i="2"/>
  <c r="P1875" i="2" s="1"/>
  <c r="H1851" i="2"/>
  <c r="O1851" i="2"/>
  <c r="P1851" i="2" s="1"/>
  <c r="H1815" i="2"/>
  <c r="O1815" i="2"/>
  <c r="P1815" i="2" s="1"/>
  <c r="H1791" i="2"/>
  <c r="O1791" i="2"/>
  <c r="P1791" i="2" s="1"/>
  <c r="H1767" i="2"/>
  <c r="O1767" i="2"/>
  <c r="P1767" i="2" s="1"/>
  <c r="H1755" i="2"/>
  <c r="O1755" i="2"/>
  <c r="P1755" i="2" s="1"/>
  <c r="H1731" i="2"/>
  <c r="O1731" i="2"/>
  <c r="P1731" i="2" s="1"/>
  <c r="H1671" i="2"/>
  <c r="O1671" i="2"/>
  <c r="P1671" i="2" s="1"/>
  <c r="H1659" i="2"/>
  <c r="O1659" i="2"/>
  <c r="P1659" i="2" s="1"/>
  <c r="H1635" i="2"/>
  <c r="O1635" i="2"/>
  <c r="P1635" i="2" s="1"/>
  <c r="H1611" i="2"/>
  <c r="O1611" i="2"/>
  <c r="P1611" i="2" s="1"/>
  <c r="H1587" i="2"/>
  <c r="O1587" i="2"/>
  <c r="P1587" i="2" s="1"/>
  <c r="H1575" i="2"/>
  <c r="O1575" i="2"/>
  <c r="P1575" i="2" s="1"/>
  <c r="H1551" i="2"/>
  <c r="O1551" i="2"/>
  <c r="P1551" i="2" s="1"/>
  <c r="H1539" i="2"/>
  <c r="O1539" i="2"/>
  <c r="P1539" i="2" s="1"/>
  <c r="H1515" i="2"/>
  <c r="O1515" i="2"/>
  <c r="P1515" i="2" s="1"/>
  <c r="H1503" i="2"/>
  <c r="O1503" i="2"/>
  <c r="P1503" i="2" s="1"/>
  <c r="H1479" i="2"/>
  <c r="O1479" i="2"/>
  <c r="P1479" i="2" s="1"/>
  <c r="H1455" i="2"/>
  <c r="O1455" i="2"/>
  <c r="P1455" i="2" s="1"/>
  <c r="H1431" i="2"/>
  <c r="O1431" i="2"/>
  <c r="P1431" i="2" s="1"/>
  <c r="H1407" i="2"/>
  <c r="O1407" i="2"/>
  <c r="P1407" i="2" s="1"/>
  <c r="H1383" i="2"/>
  <c r="O1383" i="2"/>
  <c r="P1383" i="2" s="1"/>
  <c r="H1371" i="2"/>
  <c r="O1371" i="2"/>
  <c r="P1371" i="2" s="1"/>
  <c r="H1359" i="2"/>
  <c r="O1359" i="2"/>
  <c r="P1359" i="2" s="1"/>
  <c r="H1347" i="2"/>
  <c r="O1347" i="2"/>
  <c r="P1347" i="2" s="1"/>
  <c r="H1323" i="2"/>
  <c r="O1323" i="2"/>
  <c r="P1323" i="2" s="1"/>
  <c r="H1251" i="2"/>
  <c r="O1251" i="2"/>
  <c r="P1251" i="2" s="1"/>
  <c r="H1227" i="2"/>
  <c r="O1227" i="2"/>
  <c r="P1227" i="2" s="1"/>
  <c r="H1215" i="2"/>
  <c r="O1215" i="2"/>
  <c r="P1215" i="2" s="1"/>
  <c r="H1191" i="2"/>
  <c r="O1191" i="2"/>
  <c r="P1191" i="2" s="1"/>
  <c r="H1167" i="2"/>
  <c r="O1167" i="2"/>
  <c r="P1167" i="2" s="1"/>
  <c r="H1143" i="2"/>
  <c r="O1143" i="2"/>
  <c r="P1143" i="2" s="1"/>
  <c r="H1119" i="2"/>
  <c r="O1119" i="2"/>
  <c r="P1119" i="2" s="1"/>
  <c r="H1059" i="2"/>
  <c r="O1059" i="2"/>
  <c r="P1059" i="2" s="1"/>
  <c r="H1047" i="2"/>
  <c r="O1047" i="2"/>
  <c r="P1047" i="2" s="1"/>
  <c r="H999" i="2"/>
  <c r="O999" i="2"/>
  <c r="P999" i="2" s="1"/>
  <c r="H987" i="2"/>
  <c r="O987" i="2"/>
  <c r="P987" i="2" s="1"/>
  <c r="H915" i="2"/>
  <c r="O915" i="2"/>
  <c r="P915" i="2" s="1"/>
  <c r="H903" i="2"/>
  <c r="O903" i="2"/>
  <c r="P903" i="2" s="1"/>
  <c r="H891" i="2"/>
  <c r="O891" i="2"/>
  <c r="P891" i="2" s="1"/>
  <c r="H843" i="2"/>
  <c r="O843" i="2"/>
  <c r="P843" i="2" s="1"/>
  <c r="H783" i="2"/>
  <c r="O783" i="2"/>
  <c r="P783" i="2" s="1"/>
  <c r="H759" i="2"/>
  <c r="O759" i="2"/>
  <c r="P759" i="2" s="1"/>
  <c r="O723" i="2"/>
  <c r="P723" i="2" s="1"/>
  <c r="H711" i="2"/>
  <c r="O711" i="2"/>
  <c r="P711" i="2" s="1"/>
  <c r="H699" i="2"/>
  <c r="O699" i="2"/>
  <c r="P699" i="2" s="1"/>
  <c r="H663" i="2"/>
  <c r="O663" i="2"/>
  <c r="P663" i="2" s="1"/>
  <c r="H651" i="2"/>
  <c r="O651" i="2"/>
  <c r="P651" i="2" s="1"/>
  <c r="H639" i="2"/>
  <c r="O639" i="2"/>
  <c r="P639" i="2" s="1"/>
  <c r="H627" i="2"/>
  <c r="O627" i="2"/>
  <c r="P627" i="2" s="1"/>
  <c r="H615" i="2"/>
  <c r="O615" i="2"/>
  <c r="P615" i="2" s="1"/>
  <c r="H555" i="2"/>
  <c r="O555" i="2"/>
  <c r="P555" i="2" s="1"/>
  <c r="H543" i="2"/>
  <c r="O543" i="2"/>
  <c r="P543" i="2" s="1"/>
  <c r="H531" i="2"/>
  <c r="O531" i="2"/>
  <c r="P531" i="2" s="1"/>
  <c r="H519" i="2"/>
  <c r="O519" i="2"/>
  <c r="P519" i="2" s="1"/>
  <c r="H507" i="2"/>
  <c r="O507" i="2"/>
  <c r="P507" i="2" s="1"/>
  <c r="H483" i="2"/>
  <c r="O483" i="2"/>
  <c r="P483" i="2" s="1"/>
  <c r="H471" i="2"/>
  <c r="O471" i="2"/>
  <c r="P471" i="2" s="1"/>
  <c r="H459" i="2"/>
  <c r="O459" i="2"/>
  <c r="P459" i="2" s="1"/>
  <c r="H447" i="2"/>
  <c r="O447" i="2"/>
  <c r="P447" i="2" s="1"/>
  <c r="H423" i="2"/>
  <c r="O423" i="2"/>
  <c r="P423" i="2" s="1"/>
  <c r="H399" i="2"/>
  <c r="O399" i="2"/>
  <c r="P399" i="2" s="1"/>
  <c r="H363" i="2"/>
  <c r="O363" i="2"/>
  <c r="P363" i="2" s="1"/>
  <c r="H303" i="2"/>
  <c r="O303" i="2"/>
  <c r="P303" i="2" s="1"/>
  <c r="H291" i="2"/>
  <c r="O291" i="2"/>
  <c r="P291" i="2" s="1"/>
  <c r="H279" i="2"/>
  <c r="O279" i="2"/>
  <c r="P279" i="2" s="1"/>
  <c r="H267" i="2"/>
  <c r="O267" i="2"/>
  <c r="P267" i="2" s="1"/>
  <c r="H231" i="2"/>
  <c r="O231" i="2"/>
  <c r="P231" i="2" s="1"/>
  <c r="H219" i="2"/>
  <c r="O219" i="2"/>
  <c r="P219" i="2" s="1"/>
  <c r="H207" i="2"/>
  <c r="O207" i="2"/>
  <c r="P207" i="2" s="1"/>
  <c r="H195" i="2"/>
  <c r="O195" i="2"/>
  <c r="P195" i="2" s="1"/>
  <c r="H135" i="2"/>
  <c r="O135" i="2"/>
  <c r="P135" i="2" s="1"/>
  <c r="H123" i="2"/>
  <c r="O123" i="2"/>
  <c r="P123" i="2" s="1"/>
  <c r="H99" i="2"/>
  <c r="O99" i="2"/>
  <c r="P99" i="2" s="1"/>
  <c r="H75" i="2"/>
  <c r="O75" i="2"/>
  <c r="P75" i="2" s="1"/>
  <c r="H63" i="2"/>
  <c r="O63" i="2"/>
  <c r="P63" i="2" s="1"/>
  <c r="H15" i="2"/>
  <c r="O15" i="2"/>
  <c r="P15" i="2" s="1"/>
  <c r="H1907" i="2"/>
  <c r="H1268" i="2"/>
  <c r="O1694" i="2"/>
  <c r="P1694" i="2" s="1"/>
  <c r="O1586" i="2"/>
  <c r="P1586" i="2" s="1"/>
  <c r="O1538" i="2"/>
  <c r="P1538" i="2" s="1"/>
  <c r="O1430" i="2"/>
  <c r="P1430" i="2" s="1"/>
  <c r="O788" i="2"/>
  <c r="P788" i="2" s="1"/>
  <c r="O2440" i="2"/>
  <c r="P2440" i="2" s="1"/>
  <c r="O2222" i="2"/>
  <c r="P2222" i="2" s="1"/>
  <c r="O2018" i="2"/>
  <c r="P2018" i="2" s="1"/>
  <c r="O1298" i="2"/>
  <c r="P1298" i="2" s="1"/>
  <c r="O1034" i="2"/>
  <c r="P1034" i="2" s="1"/>
  <c r="O832" i="2"/>
  <c r="P832" i="2" s="1"/>
  <c r="O688" i="2"/>
  <c r="P688" i="2" s="1"/>
  <c r="O416" i="2"/>
  <c r="P416" i="2" s="1"/>
  <c r="O272" i="2"/>
  <c r="P272" i="2" s="1"/>
  <c r="O112" i="2"/>
  <c r="P112" i="2" s="1"/>
  <c r="O2414" i="2"/>
  <c r="P2414" i="2" s="1"/>
  <c r="O2246" i="2"/>
  <c r="P2246" i="2" s="1"/>
  <c r="O2114" i="2"/>
  <c r="P2114" i="2" s="1"/>
  <c r="O1838" i="2"/>
  <c r="P1838" i="2" s="1"/>
  <c r="O1658" i="2"/>
  <c r="P1658" i="2" s="1"/>
  <c r="O1502" i="2"/>
  <c r="P1502" i="2" s="1"/>
  <c r="O992" i="2"/>
  <c r="P992" i="2" s="1"/>
  <c r="O728" i="2"/>
  <c r="P728" i="2" s="1"/>
  <c r="O520" i="2"/>
  <c r="P520" i="2" s="1"/>
  <c r="O164" i="2"/>
  <c r="P164" i="2" s="1"/>
  <c r="O2438" i="2"/>
  <c r="P2438" i="2" s="1"/>
  <c r="O2390" i="2"/>
  <c r="P2390" i="2" s="1"/>
  <c r="O1082" i="2"/>
  <c r="P1082" i="2" s="1"/>
  <c r="O620" i="2"/>
  <c r="P620" i="2" s="1"/>
  <c r="O268" i="2"/>
  <c r="P268" i="2" s="1"/>
  <c r="O208" i="2"/>
  <c r="P208" i="2" s="1"/>
  <c r="O2356" i="2"/>
  <c r="P2356" i="2" s="1"/>
  <c r="O2210" i="2"/>
  <c r="P2210" i="2" s="1"/>
  <c r="O1970" i="2"/>
  <c r="P1970" i="2" s="1"/>
  <c r="O1934" i="2"/>
  <c r="P1934" i="2" s="1"/>
  <c r="O1286" i="2"/>
  <c r="P1286" i="2" s="1"/>
  <c r="O512" i="2"/>
  <c r="P512" i="2" s="1"/>
  <c r="O304" i="2"/>
  <c r="P304" i="2" s="1"/>
  <c r="H1040" i="2"/>
  <c r="O1040" i="2"/>
  <c r="P1040" i="2" s="1"/>
  <c r="H1028" i="2"/>
  <c r="O1028" i="2"/>
  <c r="P1028" i="2" s="1"/>
  <c r="H1016" i="2"/>
  <c r="O1016" i="2"/>
  <c r="P1016" i="2" s="1"/>
  <c r="H980" i="2"/>
  <c r="O980" i="2"/>
  <c r="P980" i="2" s="1"/>
  <c r="H968" i="2"/>
  <c r="O968" i="2"/>
  <c r="P968" i="2" s="1"/>
  <c r="H956" i="2"/>
  <c r="O956" i="2"/>
  <c r="P956" i="2" s="1"/>
  <c r="H944" i="2"/>
  <c r="O944" i="2"/>
  <c r="P944" i="2" s="1"/>
  <c r="H932" i="2"/>
  <c r="O932" i="2"/>
  <c r="P932" i="2" s="1"/>
  <c r="H920" i="2"/>
  <c r="O920" i="2"/>
  <c r="P920" i="2" s="1"/>
  <c r="H908" i="2"/>
  <c r="O908" i="2"/>
  <c r="P908" i="2" s="1"/>
  <c r="H896" i="2"/>
  <c r="O896" i="2"/>
  <c r="P896" i="2" s="1"/>
  <c r="H884" i="2"/>
  <c r="O884" i="2"/>
  <c r="P884" i="2" s="1"/>
  <c r="H860" i="2"/>
  <c r="O860" i="2"/>
  <c r="P860" i="2" s="1"/>
  <c r="H848" i="2"/>
  <c r="O848" i="2"/>
  <c r="P848" i="2" s="1"/>
  <c r="H836" i="2"/>
  <c r="O836" i="2"/>
  <c r="P836" i="2" s="1"/>
  <c r="H824" i="2"/>
  <c r="O824" i="2"/>
  <c r="P824" i="2" s="1"/>
  <c r="H812" i="2"/>
  <c r="O812" i="2"/>
  <c r="P812" i="2" s="1"/>
  <c r="H800" i="2"/>
  <c r="O800" i="2"/>
  <c r="P800" i="2" s="1"/>
  <c r="H776" i="2"/>
  <c r="O776" i="2"/>
  <c r="P776" i="2" s="1"/>
  <c r="H764" i="2"/>
  <c r="O764" i="2"/>
  <c r="P764" i="2" s="1"/>
  <c r="H752" i="2"/>
  <c r="O752" i="2"/>
  <c r="P752" i="2" s="1"/>
  <c r="H740" i="2"/>
  <c r="O740" i="2"/>
  <c r="P740" i="2" s="1"/>
  <c r="H704" i="2"/>
  <c r="O704" i="2"/>
  <c r="P704" i="2" s="1"/>
  <c r="H680" i="2"/>
  <c r="O680" i="2"/>
  <c r="P680" i="2" s="1"/>
  <c r="H668" i="2"/>
  <c r="O668" i="2"/>
  <c r="P668" i="2" s="1"/>
  <c r="H656" i="2"/>
  <c r="O656" i="2"/>
  <c r="P656" i="2" s="1"/>
  <c r="H644" i="2"/>
  <c r="O644" i="2"/>
  <c r="P644" i="2" s="1"/>
  <c r="H632" i="2"/>
  <c r="O632" i="2"/>
  <c r="P632" i="2" s="1"/>
  <c r="H608" i="2"/>
  <c r="O608" i="2"/>
  <c r="P608" i="2" s="1"/>
  <c r="H584" i="2"/>
  <c r="O584" i="2"/>
  <c r="P584" i="2" s="1"/>
  <c r="H572" i="2"/>
  <c r="O572" i="2"/>
  <c r="P572" i="2" s="1"/>
  <c r="H560" i="2"/>
  <c r="O560" i="2"/>
  <c r="P560" i="2" s="1"/>
  <c r="H536" i="2"/>
  <c r="O536" i="2"/>
  <c r="P536" i="2" s="1"/>
  <c r="H524" i="2"/>
  <c r="O524" i="2"/>
  <c r="P524" i="2" s="1"/>
  <c r="H500" i="2"/>
  <c r="O500" i="2"/>
  <c r="P500" i="2" s="1"/>
  <c r="H488" i="2"/>
  <c r="O488" i="2"/>
  <c r="P488" i="2" s="1"/>
  <c r="H476" i="2"/>
  <c r="O476" i="2"/>
  <c r="P476" i="2" s="1"/>
  <c r="H464" i="2"/>
  <c r="O464" i="2"/>
  <c r="P464" i="2" s="1"/>
  <c r="H428" i="2"/>
  <c r="O428" i="2"/>
  <c r="P428" i="2" s="1"/>
  <c r="H392" i="2"/>
  <c r="O392" i="2"/>
  <c r="P392" i="2" s="1"/>
  <c r="H380" i="2"/>
  <c r="O380" i="2"/>
  <c r="P380" i="2" s="1"/>
  <c r="H368" i="2"/>
  <c r="O368" i="2"/>
  <c r="P368" i="2" s="1"/>
  <c r="H356" i="2"/>
  <c r="O356" i="2"/>
  <c r="P356" i="2" s="1"/>
  <c r="H332" i="2"/>
  <c r="O332" i="2"/>
  <c r="P332" i="2" s="1"/>
  <c r="H320" i="2"/>
  <c r="O320" i="2"/>
  <c r="P320" i="2" s="1"/>
  <c r="H308" i="2"/>
  <c r="O308" i="2"/>
  <c r="P308" i="2" s="1"/>
  <c r="H296" i="2"/>
  <c r="O296" i="2"/>
  <c r="P296" i="2" s="1"/>
  <c r="H284" i="2"/>
  <c r="O284" i="2"/>
  <c r="P284" i="2" s="1"/>
  <c r="H260" i="2"/>
  <c r="O260" i="2"/>
  <c r="P260" i="2" s="1"/>
  <c r="H248" i="2"/>
  <c r="O248" i="2"/>
  <c r="P248" i="2" s="1"/>
  <c r="H224" i="2"/>
  <c r="O224" i="2"/>
  <c r="P224" i="2" s="1"/>
  <c r="H212" i="2"/>
  <c r="O212" i="2"/>
  <c r="P212" i="2" s="1"/>
  <c r="H200" i="2"/>
  <c r="O200" i="2"/>
  <c r="P200" i="2" s="1"/>
  <c r="H188" i="2"/>
  <c r="O188" i="2"/>
  <c r="P188" i="2" s="1"/>
  <c r="H176" i="2"/>
  <c r="O176" i="2"/>
  <c r="P176" i="2" s="1"/>
  <c r="H152" i="2"/>
  <c r="O152" i="2"/>
  <c r="P152" i="2" s="1"/>
  <c r="H116" i="2"/>
  <c r="O116" i="2"/>
  <c r="P116" i="2" s="1"/>
  <c r="H104" i="2"/>
  <c r="O104" i="2"/>
  <c r="P104" i="2" s="1"/>
  <c r="H92" i="2"/>
  <c r="O92" i="2"/>
  <c r="P92" i="2" s="1"/>
  <c r="H80" i="2"/>
  <c r="O80" i="2"/>
  <c r="P80" i="2" s="1"/>
  <c r="H56" i="2"/>
  <c r="O56" i="2"/>
  <c r="P56" i="2" s="1"/>
  <c r="H44" i="2"/>
  <c r="O44" i="2"/>
  <c r="P44" i="2" s="1"/>
  <c r="H32" i="2"/>
  <c r="O32" i="2"/>
  <c r="P32" i="2" s="1"/>
  <c r="H20" i="2"/>
  <c r="O20" i="2"/>
  <c r="P20" i="2" s="1"/>
  <c r="H8" i="2"/>
  <c r="O8" i="2"/>
  <c r="P8" i="2" s="1"/>
  <c r="O2486" i="2"/>
  <c r="P2486" i="2" s="1"/>
  <c r="O1322" i="2"/>
  <c r="P1322" i="2" s="1"/>
  <c r="O1202" i="2"/>
  <c r="P1202" i="2" s="1"/>
  <c r="O872" i="2"/>
  <c r="P872" i="2" s="1"/>
  <c r="O664" i="2"/>
  <c r="P664" i="2" s="1"/>
  <c r="O556" i="2"/>
  <c r="P556" i="2" s="1"/>
  <c r="O412" i="2"/>
  <c r="P412" i="2" s="1"/>
  <c r="O140" i="2"/>
  <c r="P140" i="2" s="1"/>
  <c r="O2380" i="2"/>
  <c r="P2380" i="2" s="1"/>
  <c r="O2354" i="2"/>
  <c r="P2354" i="2" s="1"/>
  <c r="O2296" i="2"/>
  <c r="P2296" i="2" s="1"/>
  <c r="O2138" i="2"/>
  <c r="P2138" i="2" s="1"/>
  <c r="O1898" i="2"/>
  <c r="P1898" i="2" s="1"/>
  <c r="O1862" i="2"/>
  <c r="P1862" i="2" s="1"/>
  <c r="O716" i="2"/>
  <c r="P716" i="2" s="1"/>
  <c r="O452" i="2"/>
  <c r="P452" i="2" s="1"/>
  <c r="O244" i="2"/>
  <c r="P244" i="2" s="1"/>
  <c r="O1718" i="2"/>
  <c r="P1718" i="2" s="1"/>
  <c r="O1682" i="2"/>
  <c r="P1682" i="2" s="1"/>
  <c r="O1562" i="2"/>
  <c r="P1562" i="2" s="1"/>
  <c r="O1406" i="2"/>
  <c r="P1406" i="2" s="1"/>
  <c r="O1370" i="2"/>
  <c r="P1370" i="2" s="1"/>
  <c r="O760" i="2"/>
  <c r="P760" i="2" s="1"/>
  <c r="O404" i="2"/>
  <c r="P404" i="2" s="1"/>
  <c r="O344" i="2"/>
  <c r="P344" i="2" s="1"/>
  <c r="O236" i="2"/>
  <c r="P236" i="2" s="1"/>
  <c r="O28" i="2"/>
  <c r="P28" i="2" s="1"/>
  <c r="H2500" i="2"/>
  <c r="O2500" i="2"/>
  <c r="P2500" i="2" s="1"/>
  <c r="H2488" i="2"/>
  <c r="O2488" i="2"/>
  <c r="P2488" i="2" s="1"/>
  <c r="H2464" i="2"/>
  <c r="O2464" i="2"/>
  <c r="P2464" i="2" s="1"/>
  <c r="H2416" i="2"/>
  <c r="O2416" i="2"/>
  <c r="P2416" i="2" s="1"/>
  <c r="H2404" i="2"/>
  <c r="O2404" i="2"/>
  <c r="P2404" i="2" s="1"/>
  <c r="H2392" i="2"/>
  <c r="O2392" i="2"/>
  <c r="P2392" i="2" s="1"/>
  <c r="H2368" i="2"/>
  <c r="O2368" i="2"/>
  <c r="P2368" i="2" s="1"/>
  <c r="H2344" i="2"/>
  <c r="O2344" i="2"/>
  <c r="P2344" i="2" s="1"/>
  <c r="H2332" i="2"/>
  <c r="O2332" i="2"/>
  <c r="P2332" i="2" s="1"/>
  <c r="H2320" i="2"/>
  <c r="O2320" i="2"/>
  <c r="P2320" i="2" s="1"/>
  <c r="H2308" i="2"/>
  <c r="O2308" i="2"/>
  <c r="P2308" i="2" s="1"/>
  <c r="H2272" i="2"/>
  <c r="O2272" i="2"/>
  <c r="P2272" i="2" s="1"/>
  <c r="H2248" i="2"/>
  <c r="O2248" i="2"/>
  <c r="P2248" i="2" s="1"/>
  <c r="H2236" i="2"/>
  <c r="O2236" i="2"/>
  <c r="P2236" i="2" s="1"/>
  <c r="H2212" i="2"/>
  <c r="O2212" i="2"/>
  <c r="P2212" i="2" s="1"/>
  <c r="H2200" i="2"/>
  <c r="O2200" i="2"/>
  <c r="P2200" i="2" s="1"/>
  <c r="H2188" i="2"/>
  <c r="O2188" i="2"/>
  <c r="P2188" i="2" s="1"/>
  <c r="O2176" i="2"/>
  <c r="P2176" i="2" s="1"/>
  <c r="H2164" i="2"/>
  <c r="O2164" i="2"/>
  <c r="P2164" i="2" s="1"/>
  <c r="O2152" i="2"/>
  <c r="P2152" i="2" s="1"/>
  <c r="H2140" i="2"/>
  <c r="O2140" i="2"/>
  <c r="P2140" i="2" s="1"/>
  <c r="H2128" i="2"/>
  <c r="O2128" i="2"/>
  <c r="P2128" i="2" s="1"/>
  <c r="H2116" i="2"/>
  <c r="O2116" i="2"/>
  <c r="P2116" i="2" s="1"/>
  <c r="H2104" i="2"/>
  <c r="O2104" i="2"/>
  <c r="P2104" i="2" s="1"/>
  <c r="H2092" i="2"/>
  <c r="O2092" i="2"/>
  <c r="P2092" i="2" s="1"/>
  <c r="H2080" i="2"/>
  <c r="O2080" i="2"/>
  <c r="P2080" i="2" s="1"/>
  <c r="H2068" i="2"/>
  <c r="O2068" i="2"/>
  <c r="P2068" i="2" s="1"/>
  <c r="H2056" i="2"/>
  <c r="O2056" i="2"/>
  <c r="P2056" i="2" s="1"/>
  <c r="H2044" i="2"/>
  <c r="O2044" i="2"/>
  <c r="P2044" i="2" s="1"/>
  <c r="H2032" i="2"/>
  <c r="O2032" i="2"/>
  <c r="P2032" i="2" s="1"/>
  <c r="H2020" i="2"/>
  <c r="O2020" i="2"/>
  <c r="P2020" i="2" s="1"/>
  <c r="H2008" i="2"/>
  <c r="O2008" i="2"/>
  <c r="P2008" i="2" s="1"/>
  <c r="H1996" i="2"/>
  <c r="O1996" i="2"/>
  <c r="P1996" i="2" s="1"/>
  <c r="H1984" i="2"/>
  <c r="O1984" i="2"/>
  <c r="P1984" i="2" s="1"/>
  <c r="H1972" i="2"/>
  <c r="O1972" i="2"/>
  <c r="P1972" i="2" s="1"/>
  <c r="H1960" i="2"/>
  <c r="O1960" i="2"/>
  <c r="P1960" i="2" s="1"/>
  <c r="H1948" i="2"/>
  <c r="O1948" i="2"/>
  <c r="P1948" i="2" s="1"/>
  <c r="H1936" i="2"/>
  <c r="O1936" i="2"/>
  <c r="P1936" i="2" s="1"/>
  <c r="H1924" i="2"/>
  <c r="O1924" i="2"/>
  <c r="P1924" i="2" s="1"/>
  <c r="H1912" i="2"/>
  <c r="O1912" i="2"/>
  <c r="P1912" i="2" s="1"/>
  <c r="H1900" i="2"/>
  <c r="O1900" i="2"/>
  <c r="P1900" i="2" s="1"/>
  <c r="H1888" i="2"/>
  <c r="O1888" i="2"/>
  <c r="P1888" i="2" s="1"/>
  <c r="H1876" i="2"/>
  <c r="O1876" i="2"/>
  <c r="P1876" i="2" s="1"/>
  <c r="H1864" i="2"/>
  <c r="O1864" i="2"/>
  <c r="P1864" i="2" s="1"/>
  <c r="H1852" i="2"/>
  <c r="O1852" i="2"/>
  <c r="P1852" i="2" s="1"/>
  <c r="H1840" i="2"/>
  <c r="O1840" i="2"/>
  <c r="P1840" i="2" s="1"/>
  <c r="H1828" i="2"/>
  <c r="O1828" i="2"/>
  <c r="P1828" i="2" s="1"/>
  <c r="H1816" i="2"/>
  <c r="O1816" i="2"/>
  <c r="P1816" i="2" s="1"/>
  <c r="H1804" i="2"/>
  <c r="O1804" i="2"/>
  <c r="P1804" i="2" s="1"/>
  <c r="H1792" i="2"/>
  <c r="O1792" i="2"/>
  <c r="P1792" i="2" s="1"/>
  <c r="H1780" i="2"/>
  <c r="O1780" i="2"/>
  <c r="P1780" i="2" s="1"/>
  <c r="H1768" i="2"/>
  <c r="O1768" i="2"/>
  <c r="P1768" i="2" s="1"/>
  <c r="H1756" i="2"/>
  <c r="O1756" i="2"/>
  <c r="P1756" i="2" s="1"/>
  <c r="H1744" i="2"/>
  <c r="O1744" i="2"/>
  <c r="P1744" i="2" s="1"/>
  <c r="H1732" i="2"/>
  <c r="O1732" i="2"/>
  <c r="P1732" i="2" s="1"/>
  <c r="H1720" i="2"/>
  <c r="O1720" i="2"/>
  <c r="P1720" i="2" s="1"/>
  <c r="H1708" i="2"/>
  <c r="O1708" i="2"/>
  <c r="P1708" i="2" s="1"/>
  <c r="O1696" i="2"/>
  <c r="P1696" i="2" s="1"/>
  <c r="H1684" i="2"/>
  <c r="O1684" i="2"/>
  <c r="P1684" i="2" s="1"/>
  <c r="H1672" i="2"/>
  <c r="O1672" i="2"/>
  <c r="P1672" i="2" s="1"/>
  <c r="H1660" i="2"/>
  <c r="O1660" i="2"/>
  <c r="P1660" i="2" s="1"/>
  <c r="H1648" i="2"/>
  <c r="O1648" i="2"/>
  <c r="P1648" i="2" s="1"/>
  <c r="H1636" i="2"/>
  <c r="O1636" i="2"/>
  <c r="P1636" i="2" s="1"/>
  <c r="O1624" i="2"/>
  <c r="P1624" i="2" s="1"/>
  <c r="H1612" i="2"/>
  <c r="O1612" i="2"/>
  <c r="P1612" i="2" s="1"/>
  <c r="H1600" i="2"/>
  <c r="O1600" i="2"/>
  <c r="P1600" i="2" s="1"/>
  <c r="H1588" i="2"/>
  <c r="O1588" i="2"/>
  <c r="P1588" i="2" s="1"/>
  <c r="H1576" i="2"/>
  <c r="O1576" i="2"/>
  <c r="P1576" i="2" s="1"/>
  <c r="O1564" i="2"/>
  <c r="P1564" i="2" s="1"/>
  <c r="O1552" i="2"/>
  <c r="P1552" i="2" s="1"/>
  <c r="H1540" i="2"/>
  <c r="O1540" i="2"/>
  <c r="P1540" i="2" s="1"/>
  <c r="H1528" i="2"/>
  <c r="O1528" i="2"/>
  <c r="P1528" i="2" s="1"/>
  <c r="H1516" i="2"/>
  <c r="O1516" i="2"/>
  <c r="P1516" i="2" s="1"/>
  <c r="H1504" i="2"/>
  <c r="O1504" i="2"/>
  <c r="P1504" i="2" s="1"/>
  <c r="H1492" i="2"/>
  <c r="O1492" i="2"/>
  <c r="P1492" i="2" s="1"/>
  <c r="H1480" i="2"/>
  <c r="O1480" i="2"/>
  <c r="P1480" i="2" s="1"/>
  <c r="H1468" i="2"/>
  <c r="O1468" i="2"/>
  <c r="P1468" i="2" s="1"/>
  <c r="H1456" i="2"/>
  <c r="O1456" i="2"/>
  <c r="P1456" i="2" s="1"/>
  <c r="H1444" i="2"/>
  <c r="O1444" i="2"/>
  <c r="P1444" i="2" s="1"/>
  <c r="O1432" i="2"/>
  <c r="P1432" i="2" s="1"/>
  <c r="H1420" i="2"/>
  <c r="O1420" i="2"/>
  <c r="P1420" i="2" s="1"/>
  <c r="H1408" i="2"/>
  <c r="O1408" i="2"/>
  <c r="P1408" i="2" s="1"/>
  <c r="O1396" i="2"/>
  <c r="P1396" i="2" s="1"/>
  <c r="H1384" i="2"/>
  <c r="O1384" i="2"/>
  <c r="P1384" i="2" s="1"/>
  <c r="H1372" i="2"/>
  <c r="O1372" i="2"/>
  <c r="P1372" i="2" s="1"/>
  <c r="H1360" i="2"/>
  <c r="O1360" i="2"/>
  <c r="P1360" i="2" s="1"/>
  <c r="O1348" i="2"/>
  <c r="P1348" i="2" s="1"/>
  <c r="H1336" i="2"/>
  <c r="O1336" i="2"/>
  <c r="P1336" i="2" s="1"/>
  <c r="H1324" i="2"/>
  <c r="O1324" i="2"/>
  <c r="P1324" i="2" s="1"/>
  <c r="H1312" i="2"/>
  <c r="O1312" i="2"/>
  <c r="P1312" i="2" s="1"/>
  <c r="H1300" i="2"/>
  <c r="O1300" i="2"/>
  <c r="P1300" i="2" s="1"/>
  <c r="H1288" i="2"/>
  <c r="O1288" i="2"/>
  <c r="P1288" i="2" s="1"/>
  <c r="H1276" i="2"/>
  <c r="O1276" i="2"/>
  <c r="P1276" i="2" s="1"/>
  <c r="H1264" i="2"/>
  <c r="O1264" i="2"/>
  <c r="P1264" i="2" s="1"/>
  <c r="H1252" i="2"/>
  <c r="O1252" i="2"/>
  <c r="P1252" i="2" s="1"/>
  <c r="H1240" i="2"/>
  <c r="O1240" i="2"/>
  <c r="P1240" i="2" s="1"/>
  <c r="H1228" i="2"/>
  <c r="O1228" i="2"/>
  <c r="P1228" i="2" s="1"/>
  <c r="H1216" i="2"/>
  <c r="O1216" i="2"/>
  <c r="P1216" i="2" s="1"/>
  <c r="H1204" i="2"/>
  <c r="O1204" i="2"/>
  <c r="P1204" i="2" s="1"/>
  <c r="O1192" i="2"/>
  <c r="P1192" i="2" s="1"/>
  <c r="H1180" i="2"/>
  <c r="O1180" i="2"/>
  <c r="P1180" i="2" s="1"/>
  <c r="H1168" i="2"/>
  <c r="O1168" i="2"/>
  <c r="P1168" i="2" s="1"/>
  <c r="H1156" i="2"/>
  <c r="O1156" i="2"/>
  <c r="P1156" i="2" s="1"/>
  <c r="H1144" i="2"/>
  <c r="O1144" i="2"/>
  <c r="P1144" i="2" s="1"/>
  <c r="H1132" i="2"/>
  <c r="O1132" i="2"/>
  <c r="P1132" i="2" s="1"/>
  <c r="H1120" i="2"/>
  <c r="O1120" i="2"/>
  <c r="P1120" i="2" s="1"/>
  <c r="H1108" i="2"/>
  <c r="O1108" i="2"/>
  <c r="P1108" i="2" s="1"/>
  <c r="H1096" i="2"/>
  <c r="O1096" i="2"/>
  <c r="P1096" i="2" s="1"/>
  <c r="H1084" i="2"/>
  <c r="O1084" i="2"/>
  <c r="P1084" i="2" s="1"/>
  <c r="H1072" i="2"/>
  <c r="O1072" i="2"/>
  <c r="P1072" i="2" s="1"/>
  <c r="H1060" i="2"/>
  <c r="O1060" i="2"/>
  <c r="P1060" i="2" s="1"/>
  <c r="H1048" i="2"/>
  <c r="O1048" i="2"/>
  <c r="P1048" i="2" s="1"/>
  <c r="H1036" i="2"/>
  <c r="O1036" i="2"/>
  <c r="P1036" i="2" s="1"/>
  <c r="H1024" i="2"/>
  <c r="O1024" i="2"/>
  <c r="P1024" i="2" s="1"/>
  <c r="H1012" i="2"/>
  <c r="O1012" i="2"/>
  <c r="P1012" i="2" s="1"/>
  <c r="H1000" i="2"/>
  <c r="O1000" i="2"/>
  <c r="P1000" i="2" s="1"/>
  <c r="H988" i="2"/>
  <c r="O988" i="2"/>
  <c r="P988" i="2" s="1"/>
  <c r="H976" i="2"/>
  <c r="O976" i="2"/>
  <c r="P976" i="2" s="1"/>
  <c r="H952" i="2"/>
  <c r="O952" i="2"/>
  <c r="P952" i="2" s="1"/>
  <c r="H940" i="2"/>
  <c r="O940" i="2"/>
  <c r="P940" i="2" s="1"/>
  <c r="H916" i="2"/>
  <c r="O916" i="2"/>
  <c r="P916" i="2" s="1"/>
  <c r="H904" i="2"/>
  <c r="O904" i="2"/>
  <c r="P904" i="2" s="1"/>
  <c r="H892" i="2"/>
  <c r="O892" i="2"/>
  <c r="P892" i="2" s="1"/>
  <c r="H880" i="2"/>
  <c r="O880" i="2"/>
  <c r="P880" i="2" s="1"/>
  <c r="H868" i="2"/>
  <c r="O868" i="2"/>
  <c r="P868" i="2" s="1"/>
  <c r="H844" i="2"/>
  <c r="O844" i="2"/>
  <c r="P844" i="2" s="1"/>
  <c r="H808" i="2"/>
  <c r="O808" i="2"/>
  <c r="P808" i="2" s="1"/>
  <c r="H796" i="2"/>
  <c r="O796" i="2"/>
  <c r="P796" i="2" s="1"/>
  <c r="H784" i="2"/>
  <c r="O784" i="2"/>
  <c r="P784" i="2" s="1"/>
  <c r="H772" i="2"/>
  <c r="O772" i="2"/>
  <c r="P772" i="2" s="1"/>
  <c r="H748" i="2"/>
  <c r="O748" i="2"/>
  <c r="P748" i="2" s="1"/>
  <c r="H736" i="2"/>
  <c r="O736" i="2"/>
  <c r="P736" i="2" s="1"/>
  <c r="H724" i="2"/>
  <c r="O724" i="2"/>
  <c r="P724" i="2" s="1"/>
  <c r="H712" i="2"/>
  <c r="O712" i="2"/>
  <c r="P712" i="2" s="1"/>
  <c r="H700" i="2"/>
  <c r="O700" i="2"/>
  <c r="P700" i="2" s="1"/>
  <c r="H676" i="2"/>
  <c r="O676" i="2"/>
  <c r="P676" i="2" s="1"/>
  <c r="H652" i="2"/>
  <c r="O652" i="2"/>
  <c r="P652" i="2" s="1"/>
  <c r="H640" i="2"/>
  <c r="O640" i="2"/>
  <c r="P640" i="2" s="1"/>
  <c r="H628" i="2"/>
  <c r="O628" i="2"/>
  <c r="P628" i="2" s="1"/>
  <c r="H616" i="2"/>
  <c r="O616" i="2"/>
  <c r="P616" i="2" s="1"/>
  <c r="H604" i="2"/>
  <c r="O604" i="2"/>
  <c r="P604" i="2" s="1"/>
  <c r="H592" i="2"/>
  <c r="O592" i="2"/>
  <c r="P592" i="2" s="1"/>
  <c r="H580" i="2"/>
  <c r="O580" i="2"/>
  <c r="P580" i="2" s="1"/>
  <c r="H568" i="2"/>
  <c r="O568" i="2"/>
  <c r="P568" i="2" s="1"/>
  <c r="H532" i="2"/>
  <c r="O532" i="2"/>
  <c r="P532" i="2" s="1"/>
  <c r="H508" i="2"/>
  <c r="O508" i="2"/>
  <c r="P508" i="2" s="1"/>
  <c r="H496" i="2"/>
  <c r="O496" i="2"/>
  <c r="P496" i="2" s="1"/>
  <c r="H472" i="2"/>
  <c r="O472" i="2"/>
  <c r="P472" i="2" s="1"/>
  <c r="H460" i="2"/>
  <c r="O460" i="2"/>
  <c r="P460" i="2" s="1"/>
  <c r="H448" i="2"/>
  <c r="O448" i="2"/>
  <c r="P448" i="2" s="1"/>
  <c r="H436" i="2"/>
  <c r="O436" i="2"/>
  <c r="P436" i="2" s="1"/>
  <c r="H424" i="2"/>
  <c r="O424" i="2"/>
  <c r="P424" i="2" s="1"/>
  <c r="H400" i="2"/>
  <c r="O400" i="2"/>
  <c r="P400" i="2" s="1"/>
  <c r="H376" i="2"/>
  <c r="O376" i="2"/>
  <c r="P376" i="2" s="1"/>
  <c r="H364" i="2"/>
  <c r="O364" i="2"/>
  <c r="P364" i="2" s="1"/>
  <c r="H352" i="2"/>
  <c r="O352" i="2"/>
  <c r="P352" i="2" s="1"/>
  <c r="H340" i="2"/>
  <c r="O340" i="2"/>
  <c r="P340" i="2" s="1"/>
  <c r="H328" i="2"/>
  <c r="O328" i="2"/>
  <c r="P328" i="2" s="1"/>
  <c r="H316" i="2"/>
  <c r="O316" i="2"/>
  <c r="P316" i="2" s="1"/>
  <c r="H292" i="2"/>
  <c r="O292" i="2"/>
  <c r="P292" i="2" s="1"/>
  <c r="H256" i="2"/>
  <c r="O256" i="2"/>
  <c r="P256" i="2" s="1"/>
  <c r="H220" i="2"/>
  <c r="O220" i="2"/>
  <c r="P220" i="2" s="1"/>
  <c r="H196" i="2"/>
  <c r="O196" i="2"/>
  <c r="P196" i="2" s="1"/>
  <c r="H184" i="2"/>
  <c r="O184" i="2"/>
  <c r="P184" i="2" s="1"/>
  <c r="H172" i="2"/>
  <c r="O172" i="2"/>
  <c r="P172" i="2" s="1"/>
  <c r="H160" i="2"/>
  <c r="O160" i="2"/>
  <c r="P160" i="2" s="1"/>
  <c r="H148" i="2"/>
  <c r="O148" i="2"/>
  <c r="P148" i="2" s="1"/>
  <c r="H124" i="2"/>
  <c r="O124" i="2"/>
  <c r="P124" i="2" s="1"/>
  <c r="H100" i="2"/>
  <c r="O100" i="2"/>
  <c r="P100" i="2" s="1"/>
  <c r="H88" i="2"/>
  <c r="O88" i="2"/>
  <c r="P88" i="2" s="1"/>
  <c r="H76" i="2"/>
  <c r="O76" i="2"/>
  <c r="P76" i="2" s="1"/>
  <c r="H64" i="2"/>
  <c r="O64" i="2"/>
  <c r="P64" i="2" s="1"/>
  <c r="H52" i="2"/>
  <c r="O52" i="2"/>
  <c r="P52" i="2" s="1"/>
  <c r="H40" i="2"/>
  <c r="O40" i="2"/>
  <c r="P40" i="2" s="1"/>
  <c r="H16" i="2"/>
  <c r="O16" i="2"/>
  <c r="P16" i="2" s="1"/>
  <c r="H4" i="2"/>
  <c r="O4" i="2"/>
  <c r="P4" i="2" s="1"/>
  <c r="H2152" i="2"/>
  <c r="O2452" i="2"/>
  <c r="P2452" i="2" s="1"/>
  <c r="O2342" i="2"/>
  <c r="P2342" i="2" s="1"/>
  <c r="O2318" i="2"/>
  <c r="P2318" i="2" s="1"/>
  <c r="O2284" i="2"/>
  <c r="P2284" i="2" s="1"/>
  <c r="O2260" i="2"/>
  <c r="P2260" i="2" s="1"/>
  <c r="O2162" i="2"/>
  <c r="P2162" i="2" s="1"/>
  <c r="O1994" i="2"/>
  <c r="P1994" i="2" s="1"/>
  <c r="O964" i="2"/>
  <c r="P964" i="2" s="1"/>
  <c r="O692" i="2"/>
  <c r="P692" i="2" s="1"/>
  <c r="O596" i="2"/>
  <c r="P596" i="2" s="1"/>
  <c r="O548" i="2"/>
  <c r="P548" i="2" s="1"/>
  <c r="O388" i="2"/>
  <c r="P388" i="2" s="1"/>
  <c r="O280" i="2"/>
  <c r="P280" i="2" s="1"/>
  <c r="O136" i="2"/>
  <c r="P136" i="2" s="1"/>
  <c r="O2498" i="2"/>
  <c r="P2498" i="2" s="1"/>
  <c r="O1226" i="2"/>
  <c r="P1226" i="2" s="1"/>
  <c r="O1178" i="2"/>
  <c r="P1178" i="2" s="1"/>
  <c r="O1004" i="2"/>
  <c r="P1004" i="2" s="1"/>
  <c r="O856" i="2"/>
  <c r="P856" i="2" s="1"/>
  <c r="O440" i="2"/>
  <c r="P440" i="2" s="1"/>
  <c r="O232" i="2"/>
  <c r="P232" i="2" s="1"/>
  <c r="H2474" i="2"/>
  <c r="O2474" i="2"/>
  <c r="P2474" i="2" s="1"/>
  <c r="H2462" i="2"/>
  <c r="O2462" i="2"/>
  <c r="P2462" i="2" s="1"/>
  <c r="H2450" i="2"/>
  <c r="O2450" i="2"/>
  <c r="P2450" i="2" s="1"/>
  <c r="H2426" i="2"/>
  <c r="O2426" i="2"/>
  <c r="P2426" i="2" s="1"/>
  <c r="H2402" i="2"/>
  <c r="O2402" i="2"/>
  <c r="P2402" i="2" s="1"/>
  <c r="H2378" i="2"/>
  <c r="O2378" i="2"/>
  <c r="P2378" i="2" s="1"/>
  <c r="H2366" i="2"/>
  <c r="O2366" i="2"/>
  <c r="P2366" i="2" s="1"/>
  <c r="H2330" i="2"/>
  <c r="O2330" i="2"/>
  <c r="P2330" i="2" s="1"/>
  <c r="H2306" i="2"/>
  <c r="O2306" i="2"/>
  <c r="P2306" i="2" s="1"/>
  <c r="H2294" i="2"/>
  <c r="O2294" i="2"/>
  <c r="P2294" i="2" s="1"/>
  <c r="H2270" i="2"/>
  <c r="O2270" i="2"/>
  <c r="P2270" i="2" s="1"/>
  <c r="H2258" i="2"/>
  <c r="O2258" i="2"/>
  <c r="P2258" i="2" s="1"/>
  <c r="H2234" i="2"/>
  <c r="O2234" i="2"/>
  <c r="P2234" i="2" s="1"/>
  <c r="H2198" i="2"/>
  <c r="O2198" i="2"/>
  <c r="P2198" i="2" s="1"/>
  <c r="H2186" i="2"/>
  <c r="O2186" i="2"/>
  <c r="P2186" i="2" s="1"/>
  <c r="H2174" i="2"/>
  <c r="O2174" i="2"/>
  <c r="P2174" i="2" s="1"/>
  <c r="H2150" i="2"/>
  <c r="O2150" i="2"/>
  <c r="P2150" i="2" s="1"/>
  <c r="H2102" i="2"/>
  <c r="O2102" i="2"/>
  <c r="P2102" i="2" s="1"/>
  <c r="H2078" i="2"/>
  <c r="O2078" i="2"/>
  <c r="P2078" i="2" s="1"/>
  <c r="H2066" i="2"/>
  <c r="O2066" i="2"/>
  <c r="P2066" i="2" s="1"/>
  <c r="H2054" i="2"/>
  <c r="O2054" i="2"/>
  <c r="P2054" i="2" s="1"/>
  <c r="H2042" i="2"/>
  <c r="O2042" i="2"/>
  <c r="P2042" i="2" s="1"/>
  <c r="H2030" i="2"/>
  <c r="O2030" i="2"/>
  <c r="P2030" i="2" s="1"/>
  <c r="H2006" i="2"/>
  <c r="O2006" i="2"/>
  <c r="P2006" i="2" s="1"/>
  <c r="H1982" i="2"/>
  <c r="O1982" i="2"/>
  <c r="P1982" i="2" s="1"/>
  <c r="H1958" i="2"/>
  <c r="O1958" i="2"/>
  <c r="P1958" i="2" s="1"/>
  <c r="H1946" i="2"/>
  <c r="O1946" i="2"/>
  <c r="P1946" i="2" s="1"/>
  <c r="H1922" i="2"/>
  <c r="O1922" i="2"/>
  <c r="P1922" i="2" s="1"/>
  <c r="H1910" i="2"/>
  <c r="O1910" i="2"/>
  <c r="P1910" i="2" s="1"/>
  <c r="H1886" i="2"/>
  <c r="O1886" i="2"/>
  <c r="P1886" i="2" s="1"/>
  <c r="H1874" i="2"/>
  <c r="O1874" i="2"/>
  <c r="P1874" i="2" s="1"/>
  <c r="H1826" i="2"/>
  <c r="O1826" i="2"/>
  <c r="P1826" i="2" s="1"/>
  <c r="H1814" i="2"/>
  <c r="O1814" i="2"/>
  <c r="P1814" i="2" s="1"/>
  <c r="H1802" i="2"/>
  <c r="O1802" i="2"/>
  <c r="P1802" i="2" s="1"/>
  <c r="H1790" i="2"/>
  <c r="O1790" i="2"/>
  <c r="P1790" i="2" s="1"/>
  <c r="H1778" i="2"/>
  <c r="O1778" i="2"/>
  <c r="P1778" i="2" s="1"/>
  <c r="H1766" i="2"/>
  <c r="O1766" i="2"/>
  <c r="P1766" i="2" s="1"/>
  <c r="H1754" i="2"/>
  <c r="O1754" i="2"/>
  <c r="P1754" i="2" s="1"/>
  <c r="H1742" i="2"/>
  <c r="O1742" i="2"/>
  <c r="P1742" i="2" s="1"/>
  <c r="H1730" i="2"/>
  <c r="O1730" i="2"/>
  <c r="P1730" i="2" s="1"/>
  <c r="H1706" i="2"/>
  <c r="O1706" i="2"/>
  <c r="P1706" i="2" s="1"/>
  <c r="H1670" i="2"/>
  <c r="O1670" i="2"/>
  <c r="P1670" i="2" s="1"/>
  <c r="H1646" i="2"/>
  <c r="O1646" i="2"/>
  <c r="P1646" i="2" s="1"/>
  <c r="H1634" i="2"/>
  <c r="O1634" i="2"/>
  <c r="P1634" i="2" s="1"/>
  <c r="H1622" i="2"/>
  <c r="O1622" i="2"/>
  <c r="P1622" i="2" s="1"/>
  <c r="H1610" i="2"/>
  <c r="O1610" i="2"/>
  <c r="P1610" i="2" s="1"/>
  <c r="H1598" i="2"/>
  <c r="O1598" i="2"/>
  <c r="P1598" i="2" s="1"/>
  <c r="H1574" i="2"/>
  <c r="O1574" i="2"/>
  <c r="P1574" i="2" s="1"/>
  <c r="H1550" i="2"/>
  <c r="O1550" i="2"/>
  <c r="P1550" i="2" s="1"/>
  <c r="H1526" i="2"/>
  <c r="O1526" i="2"/>
  <c r="P1526" i="2" s="1"/>
  <c r="H1514" i="2"/>
  <c r="O1514" i="2"/>
  <c r="P1514" i="2" s="1"/>
  <c r="H1490" i="2"/>
  <c r="O1490" i="2"/>
  <c r="P1490" i="2" s="1"/>
  <c r="H1478" i="2"/>
  <c r="O1478" i="2"/>
  <c r="P1478" i="2" s="1"/>
  <c r="H1466" i="2"/>
  <c r="O1466" i="2"/>
  <c r="P1466" i="2" s="1"/>
  <c r="H1454" i="2"/>
  <c r="O1454" i="2"/>
  <c r="P1454" i="2" s="1"/>
  <c r="H1442" i="2"/>
  <c r="O1442" i="2"/>
  <c r="P1442" i="2" s="1"/>
  <c r="H1418" i="2"/>
  <c r="O1418" i="2"/>
  <c r="P1418" i="2" s="1"/>
  <c r="H1394" i="2"/>
  <c r="O1394" i="2"/>
  <c r="P1394" i="2" s="1"/>
  <c r="H1382" i="2"/>
  <c r="O1382" i="2"/>
  <c r="P1382" i="2" s="1"/>
  <c r="H1358" i="2"/>
  <c r="O1358" i="2"/>
  <c r="P1358" i="2" s="1"/>
  <c r="H1346" i="2"/>
  <c r="O1346" i="2"/>
  <c r="P1346" i="2" s="1"/>
  <c r="H1334" i="2"/>
  <c r="O1334" i="2"/>
  <c r="P1334" i="2" s="1"/>
  <c r="H1310" i="2"/>
  <c r="O1310" i="2"/>
  <c r="P1310" i="2" s="1"/>
  <c r="H1274" i="2"/>
  <c r="O1274" i="2"/>
  <c r="P1274" i="2" s="1"/>
  <c r="H1250" i="2"/>
  <c r="O1250" i="2"/>
  <c r="P1250" i="2" s="1"/>
  <c r="H1238" i="2"/>
  <c r="O1238" i="2"/>
  <c r="P1238" i="2" s="1"/>
  <c r="H1214" i="2"/>
  <c r="O1214" i="2"/>
  <c r="P1214" i="2" s="1"/>
  <c r="H1190" i="2"/>
  <c r="O1190" i="2"/>
  <c r="P1190" i="2" s="1"/>
  <c r="H1166" i="2"/>
  <c r="O1166" i="2"/>
  <c r="P1166" i="2" s="1"/>
  <c r="H1154" i="2"/>
  <c r="O1154" i="2"/>
  <c r="P1154" i="2" s="1"/>
  <c r="H1142" i="2"/>
  <c r="O1142" i="2"/>
  <c r="P1142" i="2" s="1"/>
  <c r="H1130" i="2"/>
  <c r="O1130" i="2"/>
  <c r="P1130" i="2" s="1"/>
  <c r="H1118" i="2"/>
  <c r="O1118" i="2"/>
  <c r="P1118" i="2" s="1"/>
  <c r="H1106" i="2"/>
  <c r="O1106" i="2"/>
  <c r="P1106" i="2" s="1"/>
  <c r="H1094" i="2"/>
  <c r="O1094" i="2"/>
  <c r="P1094" i="2" s="1"/>
  <c r="H1070" i="2"/>
  <c r="O1070" i="2"/>
  <c r="P1070" i="2" s="1"/>
  <c r="H1058" i="2"/>
  <c r="O1058" i="2"/>
  <c r="P1058" i="2" s="1"/>
  <c r="H1046" i="2"/>
  <c r="O1046" i="2"/>
  <c r="P1046" i="2" s="1"/>
  <c r="H1022" i="2"/>
  <c r="O1022" i="2"/>
  <c r="P1022" i="2" s="1"/>
  <c r="H1010" i="2"/>
  <c r="O1010" i="2"/>
  <c r="P1010" i="2" s="1"/>
  <c r="H998" i="2"/>
  <c r="O998" i="2"/>
  <c r="P998" i="2" s="1"/>
  <c r="H986" i="2"/>
  <c r="O986" i="2"/>
  <c r="P986" i="2" s="1"/>
  <c r="H974" i="2"/>
  <c r="O974" i="2"/>
  <c r="P974" i="2" s="1"/>
  <c r="H962" i="2"/>
  <c r="O962" i="2"/>
  <c r="P962" i="2" s="1"/>
  <c r="H950" i="2"/>
  <c r="O950" i="2"/>
  <c r="P950" i="2" s="1"/>
  <c r="O938" i="2"/>
  <c r="P938" i="2" s="1"/>
  <c r="H926" i="2"/>
  <c r="O926" i="2"/>
  <c r="P926" i="2" s="1"/>
  <c r="H914" i="2"/>
  <c r="O914" i="2"/>
  <c r="P914" i="2" s="1"/>
  <c r="H902" i="2"/>
  <c r="O902" i="2"/>
  <c r="P902" i="2" s="1"/>
  <c r="H890" i="2"/>
  <c r="O890" i="2"/>
  <c r="P890" i="2" s="1"/>
  <c r="H878" i="2"/>
  <c r="O878" i="2"/>
  <c r="P878" i="2" s="1"/>
  <c r="H866" i="2"/>
  <c r="O866" i="2"/>
  <c r="P866" i="2" s="1"/>
  <c r="H854" i="2"/>
  <c r="O854" i="2"/>
  <c r="P854" i="2" s="1"/>
  <c r="H842" i="2"/>
  <c r="O842" i="2"/>
  <c r="P842" i="2" s="1"/>
  <c r="H830" i="2"/>
  <c r="O830" i="2"/>
  <c r="P830" i="2" s="1"/>
  <c r="O818" i="2"/>
  <c r="P818" i="2" s="1"/>
  <c r="H806" i="2"/>
  <c r="O806" i="2"/>
  <c r="P806" i="2" s="1"/>
  <c r="H794" i="2"/>
  <c r="O794" i="2"/>
  <c r="P794" i="2" s="1"/>
  <c r="H782" i="2"/>
  <c r="O782" i="2"/>
  <c r="P782" i="2" s="1"/>
  <c r="H770" i="2"/>
  <c r="O770" i="2"/>
  <c r="P770" i="2" s="1"/>
  <c r="H758" i="2"/>
  <c r="O758" i="2"/>
  <c r="P758" i="2" s="1"/>
  <c r="H746" i="2"/>
  <c r="O746" i="2"/>
  <c r="P746" i="2" s="1"/>
  <c r="H734" i="2"/>
  <c r="O734" i="2"/>
  <c r="P734" i="2" s="1"/>
  <c r="H722" i="2"/>
  <c r="O722" i="2"/>
  <c r="P722" i="2" s="1"/>
  <c r="H710" i="2"/>
  <c r="O710" i="2"/>
  <c r="P710" i="2" s="1"/>
  <c r="H698" i="2"/>
  <c r="O698" i="2"/>
  <c r="P698" i="2" s="1"/>
  <c r="O686" i="2"/>
  <c r="P686" i="2" s="1"/>
  <c r="H674" i="2"/>
  <c r="O674" i="2"/>
  <c r="P674" i="2" s="1"/>
  <c r="H662" i="2"/>
  <c r="O662" i="2"/>
  <c r="P662" i="2" s="1"/>
  <c r="H650" i="2"/>
  <c r="O650" i="2"/>
  <c r="P650" i="2" s="1"/>
  <c r="H638" i="2"/>
  <c r="O638" i="2"/>
  <c r="P638" i="2" s="1"/>
  <c r="H626" i="2"/>
  <c r="O626" i="2"/>
  <c r="P626" i="2" s="1"/>
  <c r="H614" i="2"/>
  <c r="O614" i="2"/>
  <c r="P614" i="2" s="1"/>
  <c r="H602" i="2"/>
  <c r="O602" i="2"/>
  <c r="P602" i="2" s="1"/>
  <c r="H590" i="2"/>
  <c r="O590" i="2"/>
  <c r="P590" i="2" s="1"/>
  <c r="H578" i="2"/>
  <c r="O578" i="2"/>
  <c r="P578" i="2" s="1"/>
  <c r="H566" i="2"/>
  <c r="O566" i="2"/>
  <c r="P566" i="2" s="1"/>
  <c r="O554" i="2"/>
  <c r="P554" i="2" s="1"/>
  <c r="H542" i="2"/>
  <c r="O542" i="2"/>
  <c r="P542" i="2" s="1"/>
  <c r="H530" i="2"/>
  <c r="O530" i="2"/>
  <c r="P530" i="2" s="1"/>
  <c r="H518" i="2"/>
  <c r="O518" i="2"/>
  <c r="P518" i="2" s="1"/>
  <c r="H506" i="2"/>
  <c r="O506" i="2"/>
  <c r="P506" i="2" s="1"/>
  <c r="H494" i="2"/>
  <c r="O494" i="2"/>
  <c r="P494" i="2" s="1"/>
  <c r="H482" i="2"/>
  <c r="O482" i="2"/>
  <c r="P482" i="2" s="1"/>
  <c r="H470" i="2"/>
  <c r="O470" i="2"/>
  <c r="P470" i="2" s="1"/>
  <c r="H458" i="2"/>
  <c r="O458" i="2"/>
  <c r="P458" i="2" s="1"/>
  <c r="H446" i="2"/>
  <c r="O446" i="2"/>
  <c r="P446" i="2" s="1"/>
  <c r="H434" i="2"/>
  <c r="O434" i="2"/>
  <c r="P434" i="2" s="1"/>
  <c r="H422" i="2"/>
  <c r="O422" i="2"/>
  <c r="P422" i="2" s="1"/>
  <c r="H410" i="2"/>
  <c r="O410" i="2"/>
  <c r="P410" i="2" s="1"/>
  <c r="H398" i="2"/>
  <c r="O398" i="2"/>
  <c r="P398" i="2" s="1"/>
  <c r="H386" i="2"/>
  <c r="O386" i="2"/>
  <c r="P386" i="2" s="1"/>
  <c r="H374" i="2"/>
  <c r="O374" i="2"/>
  <c r="P374" i="2" s="1"/>
  <c r="H362" i="2"/>
  <c r="O362" i="2"/>
  <c r="P362" i="2" s="1"/>
  <c r="H350" i="2"/>
  <c r="O350" i="2"/>
  <c r="P350" i="2" s="1"/>
  <c r="H338" i="2"/>
  <c r="O338" i="2"/>
  <c r="P338" i="2" s="1"/>
  <c r="H326" i="2"/>
  <c r="O326" i="2"/>
  <c r="P326" i="2" s="1"/>
  <c r="H314" i="2"/>
  <c r="O314" i="2"/>
  <c r="P314" i="2" s="1"/>
  <c r="H302" i="2"/>
  <c r="O302" i="2"/>
  <c r="P302" i="2" s="1"/>
  <c r="H290" i="2"/>
  <c r="O290" i="2"/>
  <c r="P290" i="2" s="1"/>
  <c r="H278" i="2"/>
  <c r="O278" i="2"/>
  <c r="P278" i="2" s="1"/>
  <c r="H266" i="2"/>
  <c r="O266" i="2"/>
  <c r="P266" i="2" s="1"/>
  <c r="O254" i="2"/>
  <c r="P254" i="2" s="1"/>
  <c r="H242" i="2"/>
  <c r="O242" i="2"/>
  <c r="P242" i="2" s="1"/>
  <c r="O230" i="2"/>
  <c r="P230" i="2" s="1"/>
  <c r="H218" i="2"/>
  <c r="O218" i="2"/>
  <c r="P218" i="2" s="1"/>
  <c r="H206" i="2"/>
  <c r="O206" i="2"/>
  <c r="P206" i="2" s="1"/>
  <c r="H194" i="2"/>
  <c r="O194" i="2"/>
  <c r="P194" i="2" s="1"/>
  <c r="H182" i="2"/>
  <c r="O182" i="2"/>
  <c r="P182" i="2" s="1"/>
  <c r="H170" i="2"/>
  <c r="O170" i="2"/>
  <c r="P170" i="2" s="1"/>
  <c r="H158" i="2"/>
  <c r="O158" i="2"/>
  <c r="P158" i="2" s="1"/>
  <c r="H146" i="2"/>
  <c r="O146" i="2"/>
  <c r="P146" i="2" s="1"/>
  <c r="H134" i="2"/>
  <c r="O134" i="2"/>
  <c r="P134" i="2" s="1"/>
  <c r="H122" i="2"/>
  <c r="O122" i="2"/>
  <c r="P122" i="2" s="1"/>
  <c r="H110" i="2"/>
  <c r="O110" i="2"/>
  <c r="P110" i="2" s="1"/>
  <c r="H98" i="2"/>
  <c r="O98" i="2"/>
  <c r="P98" i="2" s="1"/>
  <c r="H86" i="2"/>
  <c r="O86" i="2"/>
  <c r="P86" i="2" s="1"/>
  <c r="H74" i="2"/>
  <c r="O74" i="2"/>
  <c r="P74" i="2" s="1"/>
  <c r="H62" i="2"/>
  <c r="O62" i="2"/>
  <c r="P62" i="2" s="1"/>
  <c r="H50" i="2"/>
  <c r="O50" i="2"/>
  <c r="P50" i="2" s="1"/>
  <c r="H38" i="2"/>
  <c r="O38" i="2"/>
  <c r="P38" i="2" s="1"/>
  <c r="H26" i="2"/>
  <c r="O26" i="2"/>
  <c r="P26" i="2" s="1"/>
  <c r="H14" i="2"/>
  <c r="O14" i="2"/>
  <c r="P14" i="2" s="1"/>
  <c r="H938" i="2"/>
  <c r="H254" i="2"/>
  <c r="O2282" i="2"/>
  <c r="P2282" i="2" s="1"/>
  <c r="O2126" i="2"/>
  <c r="P2126" i="2" s="1"/>
  <c r="O2090" i="2"/>
  <c r="P2090" i="2" s="1"/>
  <c r="O1850" i="2"/>
  <c r="P1850" i="2" s="1"/>
  <c r="O1262" i="2"/>
  <c r="P1262" i="2" s="1"/>
  <c r="O544" i="2"/>
  <c r="P544" i="2" s="1"/>
  <c r="O484" i="2"/>
  <c r="P484" i="2" s="1"/>
  <c r="O128" i="2"/>
  <c r="P128" i="2" s="1"/>
  <c r="O68" i="2"/>
  <c r="P6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<sst xmlns="http://schemas.openxmlformats.org/spreadsheetml/2006/main" count="38400" uniqueCount="2519">
  <si>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</si>
  <si>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</si>
  <si>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</si>
  <si>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</si>
  <si>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</si>
  <si>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</si>
  <si>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</si>
  <si>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</si>
  <si>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</si>
  <si>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</si>
  <si>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</si>
  <si>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</si>
  <si>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</si>
  <si>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</si>
  <si>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</si>
  <si>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</si>
  <si>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</si>
  <si>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</si>
  <si>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</si>
  <si>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</si>
  <si>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</si>
  <si>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</si>
  <si>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</si>
  <si>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</si>
  <si>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</si>
  <si>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</si>
  <si>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</si>
  <si>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</si>
  <si>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</si>
  <si>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</si>
  <si>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</si>
  <si>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</si>
  <si>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</si>
  <si>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</si>
  <si>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</si>
  <si>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</si>
  <si>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</si>
  <si>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</si>
  <si>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</si>
  <si>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</si>
  <si>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</si>
  <si>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</si>
  <si>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</si>
  <si>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</si>
  <si>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</si>
  <si>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</si>
  <si>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</si>
  <si>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</si>
  <si>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</si>
  <si>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</si>
  <si>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</si>
  <si>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</si>
  <si>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</si>
  <si>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</si>
  <si>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</si>
  <si>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</si>
  <si>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</si>
  <si>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</si>
  <si>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</si>
  <si>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</si>
  <si>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</si>
  <si>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</si>
  <si>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</si>
  <si>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</si>
  <si>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</si>
  <si>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</si>
  <si>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</si>
  <si>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</si>
  <si>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</si>
  <si>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</si>
  <si>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</si>
  <si>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</si>
  <si>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</si>
  <si>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</si>
  <si>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</si>
  <si>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</si>
  <si>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</si>
  <si>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</si>
  <si>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</si>
  <si>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</si>
  <si>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</si>
  <si>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</si>
  <si>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</si>
  <si>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</si>
  <si>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</si>
  <si>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</si>
  <si>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</si>
  <si>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</si>
  <si>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</si>
  <si>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</si>
  <si>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</si>
  <si>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</si>
  <si>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</si>
  <si>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</si>
  <si>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</si>
  <si>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</si>
  <si>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</si>
  <si>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</si>
  <si>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</si>
  <si>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</si>
  <si>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</si>
  <si>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</si>
  <si>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</si>
  <si>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</si>
  <si>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</si>
  <si>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</si>
  <si>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</si>
  <si>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</si>
  <si>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</si>
  <si>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</si>
  <si>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</si>
  <si>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</si>
  <si>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</si>
  <si>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</si>
  <si>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</si>
  <si>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</si>
  <si>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</si>
  <si>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</si>
  <si>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</si>
  <si>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</si>
  <si>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</si>
  <si>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</si>
  <si>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</si>
  <si>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</si>
  <si>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</si>
  <si>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</si>
  <si>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</si>
  <si>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</si>
  <si>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</si>
  <si>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</si>
  <si>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</si>
  <si>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</si>
  <si>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</si>
  <si>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</si>
  <si>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</si>
  <si>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</si>
  <si>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</si>
  <si>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</si>
  <si>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</si>
  <si>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</si>
  <si>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</si>
  <si>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</si>
  <si>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</si>
  <si>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</si>
  <si>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</si>
  <si>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</si>
  <si>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</si>
  <si>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</si>
  <si>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</si>
  <si>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</si>
  <si>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</si>
  <si>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</si>
  <si>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</si>
  <si>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</si>
  <si>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</si>
  <si>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</si>
  <si>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</si>
  <si>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</si>
  <si>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</si>
  <si>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</si>
  <si>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</si>
  <si>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</si>
  <si>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</si>
  <si>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</si>
  <si>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</si>
  <si>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</si>
  <si>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</si>
  <si>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</si>
  <si>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</si>
  <si>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</si>
  <si>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</si>
  <si>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</si>
  <si>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</si>
  <si>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</si>
  <si>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</si>
  <si>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</si>
  <si>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</si>
  <si>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</si>
  <si>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</si>
  <si>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</si>
  <si>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</si>
  <si>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</si>
  <si>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</si>
  <si>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</si>
  <si>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</si>
  <si>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</si>
  <si>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</si>
  <si>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</si>
  <si>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</si>
  <si>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</si>
  <si>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</si>
  <si>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</si>
  <si>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</si>
  <si>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</si>
  <si>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</si>
  <si>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</si>
  <si>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</si>
  <si>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</si>
  <si>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</si>
  <si>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</si>
  <si>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</si>
  <si>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</si>
  <si>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</si>
  <si>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</si>
  <si>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</si>
  <si>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</si>
  <si>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</si>
  <si>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</si>
  <si>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</si>
  <si>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</si>
  <si>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</si>
  <si>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</si>
  <si>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</si>
  <si>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</si>
  <si>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</si>
  <si>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</si>
  <si>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</si>
  <si>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</si>
  <si>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</si>
  <si>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</si>
  <si>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</si>
  <si>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</si>
  <si>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</si>
  <si>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</si>
  <si>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</si>
  <si>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</si>
  <si>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</si>
  <si>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</si>
  <si>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</si>
  <si>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</si>
  <si>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</si>
  <si>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</si>
  <si>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</si>
  <si>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</si>
  <si>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</si>
  <si>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</si>
  <si>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</si>
  <si>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</si>
  <si>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</si>
  <si>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</si>
  <si>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</si>
  <si>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</si>
  <si>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</si>
  <si>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</si>
  <si>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</si>
  <si>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</si>
  <si>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</si>
  <si>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</si>
  <si>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</si>
  <si>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</si>
  <si>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</si>
  <si>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</si>
  <si>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</si>
  <si>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</si>
  <si>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</si>
  <si>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</si>
  <si>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</si>
  <si>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</si>
  <si>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</si>
  <si>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</si>
  <si>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</si>
  <si>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</si>
  <si>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</si>
  <si>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</si>
  <si>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</si>
  <si>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</si>
  <si>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</si>
  <si>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</si>
  <si>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</si>
  <si>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</si>
  <si>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</si>
  <si>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</si>
  <si>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</si>
  <si>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</si>
  <si>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</si>
  <si>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</si>
  <si>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</si>
  <si>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</si>
  <si>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</si>
  <si>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</si>
  <si>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</si>
  <si>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</si>
  <si>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</si>
  <si>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</si>
  <si>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</si>
  <si>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</si>
  <si>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</si>
  <si>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</si>
  <si>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</si>
  <si>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</si>
  <si>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</si>
  <si>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</si>
  <si>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</si>
  <si>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</si>
  <si>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</si>
  <si>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</si>
  <si>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</si>
  <si>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</si>
  <si>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</si>
  <si>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</si>
  <si>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</si>
  <si>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</si>
  <si>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</si>
  <si>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</si>
  <si>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</si>
  <si>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</si>
  <si>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</si>
  <si>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</si>
  <si>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</si>
  <si>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</si>
  <si>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</si>
  <si>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</si>
  <si>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</si>
  <si>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</si>
  <si>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</si>
  <si>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</si>
  <si>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</si>
  <si>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</si>
  <si>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</si>
  <si>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</si>
  <si>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</si>
  <si>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</si>
  <si>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</si>
  <si>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</si>
  <si>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</si>
  <si>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</si>
  <si>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</si>
  <si>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</si>
  <si>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</si>
  <si>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</si>
  <si>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</si>
  <si>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</si>
  <si>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</si>
  <si>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</si>
  <si>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</si>
  <si>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</si>
  <si>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</si>
  <si>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</si>
  <si>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</si>
  <si>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</si>
  <si>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</si>
  <si>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</si>
  <si>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</si>
  <si>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</si>
  <si>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</si>
  <si>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</si>
  <si>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</si>
  <si>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</si>
  <si>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</si>
  <si>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</si>
  <si>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</si>
  <si>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</si>
  <si>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</si>
  <si>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</si>
  <si>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</si>
  <si>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</si>
  <si>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</si>
  <si>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</si>
  <si>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</si>
  <si>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</si>
  <si>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</si>
  <si>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</si>
  <si>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</si>
  <si>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</si>
  <si>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</si>
  <si>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</si>
  <si>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</si>
  <si>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</si>
  <si>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</si>
  <si>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</si>
  <si>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</si>
  <si>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</si>
  <si>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</si>
  <si>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</si>
  <si>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</si>
  <si>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</si>
  <si>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</si>
  <si>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</si>
  <si>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</si>
  <si>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</si>
  <si>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</si>
  <si>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</si>
  <si>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</si>
  <si>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</si>
  <si>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</si>
  <si>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</si>
  <si>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</si>
  <si>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</si>
  <si>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</si>
  <si>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</si>
  <si>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</si>
  <si>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</si>
  <si>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</si>
  <si>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</si>
  <si>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</si>
  <si>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</si>
  <si>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</si>
  <si>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</si>
  <si>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</si>
  <si>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</si>
  <si>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</si>
  <si>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</si>
  <si>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</si>
  <si>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</si>
  <si>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</si>
  <si>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</si>
  <si>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</si>
  <si>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</si>
  <si>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</si>
  <si>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</si>
  <si>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</si>
  <si>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</si>
  <si>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</si>
  <si>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</si>
  <si>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</si>
  <si>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</si>
  <si>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</si>
  <si>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</si>
  <si>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</si>
  <si>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</si>
  <si>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</si>
  <si>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</si>
  <si>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</si>
  <si>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</si>
  <si>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</si>
  <si>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</si>
  <si>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</si>
  <si>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</si>
  <si>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</si>
  <si>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</si>
  <si>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</si>
  <si>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</si>
  <si>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</si>
  <si>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</si>
  <si>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</si>
  <si>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</si>
  <si>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</si>
  <si>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</si>
  <si>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</si>
  <si>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</si>
  <si>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</si>
  <si>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</si>
  <si>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</si>
  <si>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</si>
  <si>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</si>
  <si>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</si>
  <si>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</si>
  <si>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</si>
  <si>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</si>
  <si>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</si>
  <si>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</si>
  <si>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</si>
  <si>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</si>
  <si>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</si>
  <si>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</si>
  <si>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</si>
  <si>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</si>
  <si>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</si>
  <si>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</si>
  <si>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</si>
  <si>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</si>
  <si>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</si>
  <si>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</si>
  <si>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</si>
  <si>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</si>
  <si>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</si>
  <si>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</si>
  <si>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</si>
  <si>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</si>
  <si>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</si>
  <si>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</si>
  <si>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</si>
  <si>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</si>
  <si>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</si>
  <si>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</si>
  <si>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</si>
  <si>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</si>
  <si>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</si>
  <si>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</si>
  <si>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</si>
  <si>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</si>
  <si>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</si>
  <si>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</si>
  <si>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</si>
  <si>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</si>
  <si>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</si>
  <si>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</si>
  <si>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</si>
  <si>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</si>
  <si>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</si>
  <si>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</si>
  <si>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</si>
  <si>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</si>
  <si>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</si>
  <si>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</si>
  <si>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</si>
  <si>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</si>
  <si>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</si>
  <si>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</si>
  <si>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</si>
  <si>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</si>
  <si>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</si>
  <si>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</si>
  <si>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</si>
  <si>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</si>
  <si>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</si>
  <si>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</si>
  <si>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</si>
  <si>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</si>
  <si>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</si>
  <si>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</si>
  <si>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</si>
  <si>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</si>
  <si>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</si>
  <si>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</si>
  <si>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</si>
  <si>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</si>
  <si>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</si>
  <si>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</si>
  <si>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</si>
  <si>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</si>
  <si>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</si>
  <si>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</si>
  <si>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</si>
  <si>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</si>
  <si>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</si>
  <si>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</si>
  <si>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</si>
  <si>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</si>
  <si>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</si>
  <si>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</si>
  <si>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</si>
  <si>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</si>
  <si>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</si>
  <si>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</si>
  <si>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</si>
  <si>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</si>
  <si>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</si>
  <si>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</si>
  <si>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</si>
  <si>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</si>
  <si>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</si>
  <si>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</si>
  <si>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</si>
  <si>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</si>
  <si>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</si>
  <si>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</si>
  <si>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</si>
  <si>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</si>
  <si>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</si>
  <si>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</si>
  <si>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</si>
  <si>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</si>
  <si>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</si>
  <si>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</si>
  <si>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</si>
  <si>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</si>
  <si>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</si>
  <si>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</si>
  <si>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</si>
  <si>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</si>
  <si>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</si>
  <si>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</si>
  <si>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</si>
  <si>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</si>
  <si>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</si>
  <si>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</si>
  <si>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</si>
  <si>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</si>
  <si>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</si>
  <si>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</si>
  <si>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</si>
  <si>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</si>
  <si>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</si>
  <si>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</si>
  <si>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</si>
  <si>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</si>
  <si>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</si>
  <si>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</si>
  <si>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</si>
  <si>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</si>
  <si>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</si>
  <si>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</si>
  <si>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</si>
  <si>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</si>
  <si>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</si>
  <si>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</si>
  <si>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</si>
  <si>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</si>
  <si>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</si>
  <si>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</si>
  <si>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</si>
  <si>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</si>
  <si>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</si>
  <si>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</si>
  <si>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</si>
  <si>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</si>
  <si>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</si>
  <si>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</si>
  <si>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</si>
  <si>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</si>
  <si>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</si>
  <si>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</si>
  <si>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</si>
  <si>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</si>
  <si>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</si>
  <si>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</si>
  <si>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</si>
  <si>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</si>
  <si>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</si>
  <si>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</si>
  <si>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</si>
  <si>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</si>
  <si>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</si>
  <si>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</si>
  <si>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</si>
  <si>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</si>
  <si>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</si>
  <si>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</si>
  <si>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</si>
  <si>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</si>
  <si>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</si>
  <si>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</si>
  <si>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</si>
  <si>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</si>
  <si>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</si>
  <si>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</si>
  <si>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</si>
  <si>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</si>
  <si>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</si>
  <si>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</si>
  <si>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</si>
  <si>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</si>
  <si>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</si>
  <si>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</si>
  <si>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</si>
  <si>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</si>
  <si>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</si>
  <si>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</si>
  <si>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</si>
  <si>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</si>
  <si>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</si>
  <si>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</si>
  <si>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</si>
  <si>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</si>
  <si>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</si>
  <si>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</si>
  <si>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</si>
  <si>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</si>
  <si>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</si>
  <si>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</si>
  <si>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</si>
  <si>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</si>
  <si>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</si>
  <si>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</si>
  <si>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</si>
  <si>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</si>
  <si>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</si>
  <si>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</si>
  <si>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</si>
  <si>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</si>
  <si>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</si>
  <si>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</si>
  <si>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</si>
  <si>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</si>
  <si>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</si>
  <si>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</si>
  <si>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</si>
  <si>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</si>
  <si>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</si>
  <si>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</si>
  <si>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</si>
  <si>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</si>
  <si>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</si>
  <si>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</si>
  <si>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</si>
  <si>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</si>
  <si>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</si>
  <si>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</si>
  <si>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</si>
  <si>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</si>
  <si>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</si>
  <si>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</si>
  <si>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</si>
  <si>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</si>
  <si>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</si>
  <si>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</si>
  <si>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</si>
  <si>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</si>
  <si>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</si>
  <si>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</si>
  <si>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</si>
  <si>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</si>
  <si>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</si>
  <si>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</si>
  <si>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</si>
  <si>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</si>
  <si>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</si>
  <si>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</si>
  <si>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</si>
  <si>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</si>
  <si>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</si>
  <si>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</si>
  <si>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</si>
  <si>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</si>
  <si>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</si>
  <si>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</si>
  <si>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</si>
  <si>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</si>
  <si>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</si>
  <si>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</si>
  <si>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</si>
  <si>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</si>
  <si>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</si>
  <si>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</si>
  <si>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</si>
  <si>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</si>
  <si>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</si>
  <si>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</si>
  <si>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</si>
  <si>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</si>
  <si>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</si>
  <si>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</si>
  <si>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</si>
  <si>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</si>
  <si>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</si>
  <si>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</si>
  <si>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</si>
  <si>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</si>
  <si>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</si>
  <si>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</si>
  <si>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</si>
  <si>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</si>
  <si>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</si>
  <si>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</si>
  <si>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</si>
  <si>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</si>
  <si>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</si>
  <si>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</si>
  <si>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</si>
  <si>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</si>
  <si>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</si>
  <si>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</si>
  <si>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</si>
  <si>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</si>
  <si>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</si>
  <si>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</si>
  <si>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</si>
  <si>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</si>
  <si>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</si>
  <si>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</si>
  <si>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</si>
  <si>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</si>
  <si>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</si>
  <si>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</si>
  <si>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</si>
  <si>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</si>
  <si>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</si>
  <si>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</si>
  <si>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</si>
  <si>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</si>
  <si>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</si>
  <si>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</si>
  <si>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</si>
  <si>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</si>
  <si>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</si>
  <si>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</si>
  <si>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</si>
  <si>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</si>
  <si>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</si>
  <si>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</si>
  <si>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</si>
  <si>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</si>
  <si>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</si>
  <si>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</si>
  <si>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</si>
  <si>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</si>
  <si>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</si>
  <si>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</si>
  <si>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</si>
  <si>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</si>
  <si>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</si>
  <si>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</si>
  <si>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</si>
  <si>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</si>
  <si>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</si>
  <si>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</si>
  <si>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</si>
  <si>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</si>
  <si>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</si>
  <si>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</si>
  <si>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</si>
  <si>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</si>
  <si>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</si>
  <si>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</si>
  <si>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</si>
  <si>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</si>
  <si>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</si>
  <si>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</si>
  <si>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</si>
  <si>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</si>
  <si>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</si>
  <si>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</si>
  <si>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</si>
  <si>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</si>
  <si>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</si>
  <si>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</si>
  <si>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</si>
  <si>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</si>
  <si>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</si>
  <si>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</si>
  <si>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</si>
  <si>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</si>
  <si>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</si>
  <si>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</si>
  <si>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</si>
  <si>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</si>
  <si>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</si>
  <si>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</si>
  <si>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</si>
  <si>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</si>
  <si>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</si>
  <si>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</si>
  <si>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</si>
  <si>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</si>
  <si>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</si>
  <si>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</si>
  <si>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</si>
  <si>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</si>
  <si>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</si>
  <si>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</si>
  <si>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</si>
  <si>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</si>
  <si>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</si>
  <si>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</si>
  <si>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</si>
  <si>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</si>
  <si>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</si>
  <si>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</si>
  <si>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</si>
  <si>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</si>
  <si>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</si>
  <si>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</si>
  <si>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</si>
  <si>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</si>
  <si>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</si>
  <si>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</si>
  <si>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</si>
  <si>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</si>
  <si>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</si>
  <si>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</si>
  <si>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</si>
  <si>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</si>
  <si>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</si>
  <si>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</si>
  <si>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</si>
  <si>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</si>
  <si>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</si>
  <si>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</si>
  <si>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</si>
  <si>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</si>
  <si>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</si>
  <si>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</si>
  <si>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</si>
  <si>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</si>
  <si>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</si>
  <si>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</si>
  <si>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</si>
  <si>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</si>
  <si>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</si>
  <si>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</si>
  <si>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</si>
  <si>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</si>
  <si>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</si>
  <si>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</si>
  <si>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</si>
  <si>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</si>
  <si>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</si>
  <si>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</si>
  <si>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</si>
  <si>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</si>
  <si>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</si>
  <si>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</si>
  <si>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</si>
  <si>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</si>
  <si>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</si>
  <si>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</si>
  <si>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</si>
  <si>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</si>
  <si>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</si>
  <si>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</si>
  <si>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</si>
  <si>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</si>
  <si>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</si>
  <si>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</si>
  <si>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</si>
  <si>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</si>
  <si>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</si>
  <si>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</si>
  <si>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</si>
  <si>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</si>
  <si>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</si>
  <si>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</si>
  <si>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</si>
  <si>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</si>
  <si>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</si>
  <si>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</si>
  <si>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</si>
  <si>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</si>
  <si>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</si>
  <si>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</si>
  <si>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</si>
  <si>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</si>
  <si>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</si>
  <si>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</si>
  <si>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</si>
  <si>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</si>
  <si>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</si>
  <si>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</si>
  <si>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</si>
  <si>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</si>
  <si>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</si>
  <si>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</si>
  <si>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</si>
  <si>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</si>
  <si>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</si>
  <si>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</si>
  <si>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</si>
  <si>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</si>
  <si>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</si>
  <si>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</si>
  <si>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</si>
  <si>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</si>
  <si>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</si>
  <si>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</si>
  <si>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</si>
  <si>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</si>
  <si>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</si>
  <si>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</si>
  <si>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</si>
  <si>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</si>
  <si>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</si>
  <si>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</si>
  <si>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</si>
  <si>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</si>
  <si>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</si>
  <si>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</si>
  <si>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</si>
  <si>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</si>
  <si>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</si>
  <si>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</si>
  <si>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</si>
  <si>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</si>
  <si>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</si>
  <si>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</si>
  <si>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</si>
  <si>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</si>
  <si>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</si>
  <si>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</si>
  <si>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</si>
  <si>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</si>
  <si>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</si>
  <si>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</si>
  <si>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</si>
  <si>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</si>
  <si>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</si>
  <si>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</si>
  <si>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</si>
  <si>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</si>
  <si>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</si>
  <si>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</si>
  <si>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</si>
  <si>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</si>
  <si>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</si>
  <si>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</si>
  <si>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</si>
  <si>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</si>
  <si>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</si>
  <si>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</si>
  <si>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</si>
  <si>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</si>
  <si>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</si>
  <si>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</si>
  <si>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</si>
  <si>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</si>
  <si>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</si>
  <si>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</si>
  <si>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</si>
  <si>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</si>
  <si>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</si>
  <si>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</si>
  <si>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</si>
  <si>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</si>
  <si>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</si>
  <si>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</si>
  <si>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</si>
  <si>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</si>
  <si>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</si>
  <si>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</si>
  <si>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</si>
  <si>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</si>
  <si>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</si>
  <si>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</si>
  <si>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</si>
  <si>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</si>
  <si>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</si>
  <si>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</si>
  <si>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</si>
  <si>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</si>
  <si>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</si>
  <si>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</si>
  <si>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</si>
  <si>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</si>
  <si>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</si>
  <si>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</si>
  <si>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</si>
  <si>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</si>
  <si>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</si>
  <si>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</si>
  <si>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</si>
  <si>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</si>
  <si>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</si>
  <si>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</si>
  <si>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</si>
  <si>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</si>
  <si>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</si>
  <si>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</si>
  <si>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</si>
  <si>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</si>
  <si>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</si>
  <si>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</si>
  <si>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</si>
  <si>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</si>
  <si>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</si>
  <si>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</si>
  <si>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</si>
  <si>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</si>
  <si>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</si>
  <si>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</si>
  <si>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</si>
  <si>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</si>
  <si>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</si>
  <si>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</si>
  <si>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</si>
  <si>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</si>
  <si>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</si>
  <si>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</si>
  <si>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</si>
  <si>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</si>
  <si>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</si>
  <si>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</si>
  <si>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</si>
  <si>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</si>
  <si>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</si>
  <si>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</si>
  <si>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</si>
  <si>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</si>
  <si>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</si>
  <si>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</si>
  <si>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</si>
  <si>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</si>
  <si>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</si>
  <si>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</si>
  <si>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</si>
  <si>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</si>
  <si>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</si>
  <si>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</si>
  <si>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</si>
  <si>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</si>
  <si>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</si>
  <si>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</si>
  <si>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</si>
  <si>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</si>
  <si>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</si>
  <si>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</si>
  <si>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</si>
  <si>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</si>
  <si>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</si>
  <si>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</si>
  <si>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</si>
  <si>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</si>
  <si>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</si>
  <si>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</si>
  <si>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</si>
  <si>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</si>
  <si>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</si>
  <si>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</si>
  <si>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</si>
  <si>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</si>
  <si>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</si>
  <si>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</si>
  <si>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</si>
  <si>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</si>
  <si>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</si>
  <si>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</si>
  <si>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</si>
  <si>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</si>
  <si>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</si>
  <si>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</si>
  <si>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</si>
  <si>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</si>
  <si>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</si>
  <si>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</si>
  <si>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</si>
  <si>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</si>
  <si>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</si>
  <si>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</si>
  <si>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</si>
  <si>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</si>
  <si>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</si>
  <si>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</si>
  <si>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</si>
  <si>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</si>
  <si>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</si>
  <si>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</si>
  <si>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</si>
  <si>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</si>
  <si>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</si>
  <si>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</si>
  <si>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</si>
  <si>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</si>
  <si>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</si>
  <si>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</si>
  <si>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</si>
  <si>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</si>
  <si>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</si>
  <si>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</si>
  <si>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</si>
  <si>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</si>
  <si>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</si>
  <si>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</si>
  <si>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</si>
  <si>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</si>
  <si>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</si>
  <si>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</si>
  <si>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</si>
  <si>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</si>
  <si>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</si>
  <si>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</si>
  <si>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</si>
  <si>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</si>
  <si>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</si>
  <si>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</si>
  <si>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</si>
  <si>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</si>
  <si>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</si>
  <si>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</si>
  <si>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</si>
  <si>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</si>
  <si>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</si>
  <si>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</si>
  <si>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</si>
  <si>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</si>
  <si>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</si>
  <si>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</si>
  <si>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</si>
  <si>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</si>
  <si>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</si>
  <si>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</si>
  <si>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</si>
  <si>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</si>
  <si>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</si>
  <si>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</si>
  <si>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</si>
  <si>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</si>
  <si>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</si>
  <si>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</si>
  <si>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</si>
  <si>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</si>
  <si>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</si>
  <si>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</si>
  <si>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</si>
  <si>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</si>
  <si>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</si>
  <si>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</si>
  <si>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</si>
  <si>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</si>
  <si>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</si>
  <si>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</si>
  <si>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</si>
  <si>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</si>
  <si>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</si>
  <si>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</si>
  <si>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</si>
  <si>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</si>
  <si>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</si>
  <si>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</si>
  <si>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</si>
  <si>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</si>
  <si>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</si>
  <si>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</si>
  <si>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</si>
  <si>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</si>
  <si>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</si>
  <si>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</si>
  <si>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</si>
  <si>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</si>
  <si>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</si>
  <si>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</si>
  <si>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</si>
  <si>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</si>
  <si>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</si>
  <si>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</si>
  <si>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</si>
  <si>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</si>
  <si>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</si>
  <si>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</si>
  <si>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</si>
  <si>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</si>
  <si>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</si>
  <si>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</si>
  <si>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</si>
  <si>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</si>
  <si>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</si>
  <si>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</si>
  <si>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</si>
  <si>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</si>
  <si>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</si>
  <si>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</si>
  <si>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</si>
  <si>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</si>
  <si>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</si>
  <si>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</si>
  <si>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</si>
  <si>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</si>
  <si>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</si>
  <si>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</si>
  <si>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</si>
  <si>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</si>
  <si>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</si>
  <si>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</si>
  <si>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</si>
  <si>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</si>
  <si>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</si>
  <si>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</si>
  <si>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</si>
  <si>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</si>
  <si>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</si>
  <si>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</si>
  <si>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</si>
  <si>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</si>
  <si>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</si>
  <si>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</si>
  <si>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</si>
  <si>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</si>
  <si>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</si>
  <si>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</si>
  <si>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</si>
  <si>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</si>
  <si>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</si>
  <si>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</si>
  <si>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</si>
  <si>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</si>
  <si>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</si>
  <si>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</si>
  <si>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</si>
  <si>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</si>
  <si>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</si>
  <si>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</si>
  <si>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</si>
  <si>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</si>
  <si>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</si>
  <si>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</si>
  <si>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</si>
  <si>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</si>
  <si>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</si>
  <si>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</si>
  <si>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</si>
  <si>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</si>
  <si>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</si>
  <si>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</si>
  <si>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</si>
  <si>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</si>
  <si>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</si>
  <si>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</si>
  <si>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</si>
  <si>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</si>
  <si>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</si>
  <si>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</si>
  <si>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</si>
  <si>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</si>
  <si>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</si>
  <si>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</si>
  <si>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</si>
  <si>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</si>
  <si>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</si>
  <si>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</si>
  <si>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</si>
  <si>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</si>
  <si>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</si>
  <si>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</si>
  <si>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</si>
  <si>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</si>
  <si>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</si>
  <si>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</si>
  <si>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</si>
  <si>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</si>
  <si>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</si>
  <si>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</si>
  <si>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</si>
  <si>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</si>
  <si>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</si>
  <si>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</si>
  <si>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</si>
  <si>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</si>
  <si>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</si>
  <si>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</si>
  <si>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</si>
  <si>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</si>
  <si>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</si>
  <si>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</si>
  <si>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</si>
  <si>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</si>
  <si>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</si>
  <si>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</si>
  <si>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</si>
  <si>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</si>
  <si>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</si>
  <si>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</si>
  <si>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</si>
  <si>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</si>
  <si>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</si>
  <si>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</si>
  <si>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</si>
  <si>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</si>
  <si>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</si>
  <si>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</si>
  <si>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</si>
  <si>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</si>
  <si>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</si>
  <si>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</si>
  <si>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</si>
  <si>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</si>
  <si>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</si>
  <si>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</si>
  <si>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</si>
  <si>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</si>
  <si>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</si>
  <si>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</si>
  <si>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</si>
  <si>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</si>
  <si>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</si>
  <si>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</si>
  <si>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</si>
  <si>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</si>
  <si>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</si>
  <si>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</si>
  <si>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</si>
  <si>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</si>
  <si>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</si>
  <si>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</si>
  <si>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</si>
  <si>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</si>
  <si>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</si>
  <si>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</si>
  <si>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</si>
  <si>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</si>
  <si>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</si>
  <si>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</si>
  <si>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</si>
  <si>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</si>
  <si>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</si>
  <si>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</si>
  <si>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</si>
  <si>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</si>
  <si>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</si>
  <si>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</si>
  <si>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</si>
  <si>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</si>
  <si>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</si>
  <si>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</si>
  <si>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</si>
  <si>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</si>
  <si>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</si>
  <si>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</si>
  <si>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</si>
  <si>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</si>
  <si>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</si>
  <si>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</si>
  <si>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</si>
  <si>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</si>
  <si>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</si>
  <si>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</si>
  <si>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</si>
  <si>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</si>
  <si>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</si>
  <si>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</si>
  <si>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</si>
  <si>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</si>
  <si>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</si>
  <si>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</si>
  <si>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</si>
  <si>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</si>
  <si>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</si>
  <si>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</si>
  <si>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</si>
  <si>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</si>
  <si>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</si>
  <si>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</si>
  <si>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</si>
  <si>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</si>
  <si>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</si>
  <si>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</si>
  <si>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</si>
  <si>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</si>
  <si>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</si>
  <si>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</si>
  <si>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</si>
  <si>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</si>
  <si>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</si>
  <si>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</si>
  <si>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</si>
  <si>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</si>
  <si>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</si>
  <si>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</si>
  <si>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</si>
  <si>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</si>
  <si>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</si>
  <si>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</si>
  <si>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</si>
  <si>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</si>
  <si>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</si>
  <si>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</si>
  <si>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</si>
  <si>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</si>
  <si>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</si>
  <si>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</si>
  <si>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</si>
  <si>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</si>
  <si>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</si>
  <si>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</si>
  <si>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</si>
  <si>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</si>
  <si>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</si>
  <si>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</si>
  <si>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</si>
  <si>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</si>
  <si>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</si>
  <si>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</si>
  <si>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</si>
  <si>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</si>
  <si>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</si>
  <si>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</si>
  <si>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</si>
  <si>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</si>
  <si>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</si>
  <si>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</si>
  <si>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</si>
  <si>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</si>
  <si>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</si>
  <si>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</si>
  <si>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</si>
  <si>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</si>
  <si>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</si>
  <si>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</si>
  <si>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</si>
  <si>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</si>
  <si>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</si>
  <si>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</si>
  <si>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</si>
  <si>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</si>
  <si>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</si>
  <si>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</si>
  <si>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</si>
  <si>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</si>
  <si>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</si>
  <si>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</si>
  <si>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</si>
  <si>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</si>
  <si>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</si>
  <si>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</si>
  <si>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</si>
  <si>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</si>
  <si>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</si>
  <si>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</si>
  <si>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</si>
  <si>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</si>
  <si>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</si>
  <si>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</si>
  <si>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</si>
  <si>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</si>
  <si>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</si>
  <si>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</si>
  <si>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</si>
  <si>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</si>
  <si>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</si>
  <si>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</si>
  <si>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</si>
  <si>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</si>
  <si>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</si>
  <si>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</si>
  <si>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</si>
  <si>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</si>
  <si>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</si>
  <si>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</si>
  <si>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</si>
  <si>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</si>
  <si>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</si>
  <si>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</si>
  <si>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</si>
  <si>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</si>
  <si>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</si>
  <si>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</si>
  <si>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</si>
  <si>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</si>
  <si>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</si>
  <si>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</si>
  <si>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</si>
  <si>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</si>
  <si>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</si>
  <si>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</si>
  <si>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</si>
  <si>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</si>
  <si>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</si>
  <si>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</si>
  <si>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</si>
  <si>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</si>
  <si>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</si>
  <si>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</si>
  <si>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</si>
  <si>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</si>
  <si>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</si>
  <si>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</si>
  <si>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</si>
  <si>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</si>
  <si>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</si>
  <si>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</si>
  <si>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</si>
  <si>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</si>
  <si>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</si>
  <si>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</si>
  <si>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</si>
  <si>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</si>
  <si>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</si>
  <si>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</si>
  <si>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</si>
  <si>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</si>
  <si>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</si>
  <si>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</si>
  <si>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</si>
  <si>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</si>
  <si>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</si>
  <si>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</si>
  <si>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</si>
  <si>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</si>
  <si>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</si>
  <si>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</si>
  <si>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</si>
  <si>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</si>
  <si>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</si>
  <si>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</si>
  <si>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</si>
  <si>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</si>
  <si>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</si>
  <si>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</si>
  <si>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</si>
  <si>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</si>
  <si>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</si>
  <si>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</si>
  <si>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</si>
  <si>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</si>
  <si>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</si>
  <si>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</si>
  <si>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</si>
  <si>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</si>
  <si>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</si>
  <si>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</si>
  <si>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</si>
  <si>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</si>
  <si>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</si>
  <si>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</si>
  <si>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</si>
  <si>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</si>
  <si>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</si>
  <si>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</si>
  <si>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</si>
  <si>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</si>
  <si>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</si>
  <si>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</si>
  <si>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</si>
  <si>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</si>
  <si>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</si>
  <si>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</si>
  <si>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</si>
  <si>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</si>
  <si>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</si>
  <si>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</si>
  <si>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</si>
  <si>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</si>
  <si>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</si>
  <si>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</si>
  <si>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</si>
  <si>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</si>
  <si>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</si>
  <si>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</si>
  <si>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</si>
  <si>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</si>
  <si>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</si>
  <si>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</si>
  <si>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</si>
  <si>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</si>
  <si>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</si>
  <si>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</si>
  <si>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</si>
  <si>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</si>
  <si>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</si>
  <si>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</si>
  <si>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</si>
  <si>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</si>
  <si>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</si>
  <si>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</si>
  <si>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</si>
  <si>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</si>
  <si>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</si>
  <si>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</si>
  <si>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</si>
  <si>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</si>
  <si>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</si>
  <si>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</si>
  <si>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</si>
  <si>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</si>
  <si>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</si>
  <si>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</si>
  <si>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</si>
  <si>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</si>
  <si>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</si>
  <si>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</si>
  <si>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</si>
  <si>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</si>
  <si>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</si>
  <si>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</si>
  <si>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</si>
  <si>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</si>
  <si>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</si>
  <si>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</si>
  <si>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</si>
  <si>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</si>
  <si>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</si>
  <si>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</si>
  <si>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</si>
  <si>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</si>
  <si>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</si>
  <si>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</si>
  <si>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</si>
  <si>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</si>
  <si>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</si>
  <si>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</si>
  <si>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</si>
  <si>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</si>
  <si>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</si>
  <si>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</si>
  <si>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</si>
  <si>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</si>
  <si>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</si>
  <si>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</si>
  <si>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</si>
  <si>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</si>
  <si>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</si>
  <si>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</si>
  <si>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</si>
  <si>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</si>
  <si>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</si>
  <si>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</si>
  <si>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</si>
  <si>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</si>
  <si>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</si>
  <si>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</si>
  <si>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</si>
  <si>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</si>
  <si>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</si>
  <si>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</si>
  <si>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</si>
  <si>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</si>
  <si>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</si>
  <si>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</si>
  <si>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</si>
  <si>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</si>
  <si>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</si>
  <si>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</si>
  <si>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</si>
  <si>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</si>
  <si>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</si>
  <si>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</si>
  <si>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</si>
  <si>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</si>
  <si>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</si>
  <si>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</si>
  <si>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</si>
  <si>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</si>
  <si>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</si>
  <si>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</si>
  <si>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</si>
  <si>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</si>
  <si>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</si>
  <si>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</si>
  <si>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</si>
  <si>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</si>
  <si>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</si>
  <si>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</si>
  <si>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</si>
  <si>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</si>
  <si>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</si>
  <si>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</si>
  <si>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</si>
  <si>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</si>
  <si>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</si>
  <si>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</si>
  <si>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</si>
  <si>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</si>
  <si>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</si>
  <si>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</si>
  <si>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</si>
  <si>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</si>
  <si>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</si>
  <si>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</si>
  <si>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</si>
  <si>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</si>
  <si>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</si>
  <si>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</si>
  <si>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</si>
  <si>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</si>
  <si>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</si>
  <si>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</si>
  <si>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</si>
  <si>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</si>
  <si>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</si>
  <si>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</si>
  <si>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</si>
  <si>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</si>
  <si>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</si>
  <si>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</si>
  <si>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</si>
  <si>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</si>
  <si>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</si>
  <si>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</si>
  <si>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</si>
  <si>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</si>
  <si>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</si>
  <si>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</si>
  <si>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</si>
  <si>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</si>
  <si>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</si>
  <si>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</si>
  <si>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</si>
  <si>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</si>
  <si>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</si>
  <si>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</si>
  <si>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</si>
  <si>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</si>
  <si>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</si>
  <si>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</si>
  <si>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</si>
  <si>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</si>
  <si>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</si>
  <si>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</si>
  <si>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</si>
  <si>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</si>
  <si>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</si>
  <si>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</si>
  <si>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</si>
  <si>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</si>
  <si>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</si>
  <si>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</si>
  <si>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</si>
  <si>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</si>
  <si>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</si>
  <si>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</si>
  <si>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</si>
  <si>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</si>
  <si>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</si>
  <si>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</si>
  <si>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</si>
  <si>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</si>
  <si>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</si>
  <si>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</si>
  <si>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</si>
  <si>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</si>
  <si>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</si>
  <si>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</si>
  <si>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</si>
  <si>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</si>
  <si>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</si>
  <si>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</si>
  <si>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</si>
  <si>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</si>
  <si>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</si>
  <si>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</si>
  <si>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</si>
  <si>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</si>
  <si>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</si>
  <si>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</si>
  <si>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</si>
  <si>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</si>
  <si>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</si>
  <si>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</si>
  <si>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</si>
  <si>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</si>
  <si>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</si>
  <si>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</si>
  <si>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</si>
  <si>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</si>
  <si>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</si>
  <si>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</si>
  <si>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</si>
  <si>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</si>
  <si>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</si>
  <si>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</si>
  <si>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</si>
  <si>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</si>
  <si>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</si>
  <si>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</si>
  <si>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</si>
  <si>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</si>
  <si>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</si>
  <si>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</si>
  <si>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</si>
  <si>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</si>
  <si>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</si>
  <si>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</si>
  <si>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</si>
  <si>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</si>
  <si>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</si>
  <si>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</si>
  <si>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</si>
  <si>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</si>
  <si>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</si>
  <si>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</si>
  <si>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</si>
  <si>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</si>
  <si>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</si>
  <si>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</si>
  <si>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</si>
  <si>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</si>
  <si>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</si>
  <si>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</si>
  <si>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</si>
  <si>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</si>
  <si>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</si>
  <si>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</si>
  <si>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</si>
  <si>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</si>
  <si>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</si>
  <si>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</si>
  <si>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</si>
  <si>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</si>
  <si>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</si>
  <si>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</si>
  <si>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</si>
  <si>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</si>
  <si>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</si>
  <si>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</si>
  <si>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</si>
  <si>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</si>
  <si>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</si>
  <si>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</si>
  <si>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</si>
  <si>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</si>
  <si>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</si>
  <si>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</si>
  <si>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</si>
  <si>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</si>
  <si>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</si>
  <si>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</si>
  <si>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</si>
  <si>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</si>
  <si>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</si>
  <si>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</si>
  <si>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</si>
  <si>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</si>
  <si>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</si>
  <si>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</si>
  <si>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</si>
  <si>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</si>
  <si>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</si>
  <si>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</si>
  <si>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</si>
  <si>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</si>
  <si>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</si>
  <si>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</si>
  <si>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</si>
  <si>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</si>
  <si>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</si>
  <si>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</si>
  <si>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</si>
  <si>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</si>
  <si>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</si>
  <si>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</si>
  <si>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</si>
  <si>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</si>
  <si>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</si>
  <si>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</si>
  <si>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</si>
  <si>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</si>
  <si>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</si>
  <si>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</si>
  <si>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</si>
  <si>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</si>
  <si>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</si>
  <si>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</si>
  <si>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</si>
  <si>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</si>
  <si>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</si>
  <si>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</si>
  <si>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</si>
  <si>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</si>
  <si>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</si>
  <si>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</si>
  <si>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</si>
  <si>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</si>
  <si>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</si>
  <si>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</si>
  <si>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</si>
  <si>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</si>
  <si>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</si>
  <si>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</si>
  <si>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</si>
  <si>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</si>
  <si>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</si>
  <si>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</si>
  <si>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</si>
  <si>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</si>
  <si>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</si>
  <si>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</si>
  <si>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</si>
  <si>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</si>
  <si>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</si>
  <si>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</si>
  <si>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</si>
  <si>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</si>
  <si>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</si>
  <si>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</si>
  <si>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</si>
  <si>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</si>
  <si>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</si>
  <si>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</si>
  <si>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</si>
  <si>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</si>
  <si>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</si>
  <si>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</si>
  <si>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</si>
  <si>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</si>
  <si>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</si>
  <si>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</si>
  <si>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</si>
  <si>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</si>
  <si>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</si>
  <si>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</si>
  <si>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</si>
  <si>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</si>
  <si>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</si>
  <si>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</si>
  <si>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</si>
  <si>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</si>
  <si>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</si>
  <si>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</si>
  <si>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</si>
  <si>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</si>
  <si>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</si>
  <si>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</si>
  <si>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</si>
  <si>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</si>
  <si>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</si>
  <si>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</si>
  <si>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</si>
  <si>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</si>
  <si>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</si>
  <si>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</si>
  <si>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</si>
  <si>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</si>
  <si>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</si>
  <si>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</si>
  <si>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</si>
  <si>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</si>
  <si>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</si>
  <si>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</si>
  <si>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</si>
  <si>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</si>
  <si>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</si>
  <si>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</si>
  <si>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</si>
  <si>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</si>
  <si>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</si>
  <si>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</si>
  <si>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</si>
  <si>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</si>
  <si>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</si>
  <si>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</si>
  <si>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</si>
  <si>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</si>
  <si>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</si>
  <si>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</si>
  <si>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</si>
  <si>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</si>
  <si>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</si>
  <si>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</si>
  <si>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</si>
  <si>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</si>
  <si>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</si>
  <si>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</si>
  <si>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</si>
  <si>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</si>
  <si>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</si>
  <si>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</si>
  <si>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</si>
  <si>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</si>
  <si>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</si>
  <si>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</si>
  <si>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</si>
  <si>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</si>
  <si>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</si>
  <si>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</si>
  <si>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</si>
  <si>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</si>
  <si>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</si>
  <si>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</si>
  <si>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</si>
  <si>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</si>
  <si>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</si>
  <si>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</si>
  <si>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</si>
  <si>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</si>
  <si>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</si>
  <si>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</si>
  <si>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</si>
  <si>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</si>
  <si>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</si>
  <si>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</si>
  <si>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</si>
  <si>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</si>
  <si>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</si>
  <si>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</si>
  <si>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</si>
  <si>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</si>
  <si>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</si>
  <si>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</si>
  <si>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</si>
  <si>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</si>
  <si>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</si>
  <si>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</si>
  <si>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</si>
  <si>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</si>
  <si>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</si>
  <si>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</si>
  <si>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</si>
  <si>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</si>
  <si>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</si>
  <si>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</si>
  <si>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</si>
  <si>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</si>
  <si>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</si>
  <si>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</si>
  <si>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</si>
  <si>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</si>
  <si>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</si>
  <si>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</si>
  <si>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</si>
  <si>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</si>
  <si>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</si>
  <si>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</si>
  <si>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</si>
  <si>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</si>
  <si>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</si>
  <si>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</si>
  <si>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</si>
  <si>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</si>
  <si>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</si>
  <si>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</si>
  <si>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</si>
  <si>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</si>
  <si>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</si>
  <si>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</si>
  <si>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</si>
  <si>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</si>
  <si>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</si>
  <si>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</si>
  <si>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</si>
  <si>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</si>
  <si>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</si>
  <si>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</si>
  <si>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</si>
  <si>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</si>
  <si>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</si>
  <si>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</si>
  <si>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</si>
  <si>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</si>
  <si>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</si>
  <si>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</si>
  <si>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</si>
  <si>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</si>
  <si>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</si>
  <si>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</si>
  <si>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</si>
  <si>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</si>
  <si>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</si>
  <si>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</si>
  <si>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</si>
  <si>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</si>
  <si>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</si>
  <si>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</si>
  <si>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</si>
  <si>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</si>
  <si>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</si>
  <si>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</si>
  <si>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</si>
  <si>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</si>
  <si>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</si>
  <si>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</si>
  <si>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</si>
  <si>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</si>
  <si>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</si>
  <si>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</si>
  <si>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</si>
  <si>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</si>
  <si>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</si>
  <si>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</si>
  <si>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</si>
  <si>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</si>
  <si>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</si>
  <si>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</si>
  <si>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</si>
  <si>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</si>
  <si>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</si>
  <si>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</si>
  <si>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</si>
  <si>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</si>
  <si>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</si>
  <si>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</si>
  <si>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</si>
  <si>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</si>
  <si>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</si>
  <si>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</si>
  <si>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</si>
  <si>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</si>
  <si>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</si>
  <si>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</si>
  <si>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</si>
  <si>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</si>
  <si>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</si>
  <si>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</si>
  <si>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</si>
  <si>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</si>
  <si>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</si>
  <si>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</si>
  <si>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</si>
  <si>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</si>
  <si>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</si>
  <si>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</si>
  <si>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</si>
  <si>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</si>
  <si>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</si>
  <si>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</si>
  <si>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</si>
  <si>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</si>
  <si>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</si>
  <si>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</si>
  <si>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</si>
  <si>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</si>
  <si>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</si>
  <si>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</si>
  <si>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</si>
  <si>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</si>
  <si>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</si>
  <si>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</si>
  <si>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</si>
  <si>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</si>
  <si>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</si>
  <si>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</si>
  <si>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</si>
  <si>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</si>
  <si>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</si>
  <si>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</si>
  <si>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</si>
  <si>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</si>
  <si>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</si>
  <si>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</si>
  <si>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</si>
  <si>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</si>
  <si>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</si>
  <si>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</si>
  <si>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</si>
  <si>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</si>
  <si>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</si>
  <si>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</si>
  <si>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</si>
  <si>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</si>
  <si>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</si>
  <si>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</si>
  <si>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</si>
  <si>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</si>
  <si>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</si>
  <si>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</si>
  <si>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</si>
  <si>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</si>
  <si>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</si>
  <si>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</si>
  <si>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</si>
  <si>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</si>
  <si>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</si>
  <si>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</si>
  <si>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</si>
  <si>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</si>
  <si>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</si>
  <si>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</si>
  <si>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</si>
  <si>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</si>
  <si>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</si>
  <si>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</si>
  <si>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</si>
  <si>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</si>
  <si>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</si>
  <si>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</si>
  <si>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</si>
  <si>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</si>
  <si>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</si>
  <si>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</si>
  <si>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</si>
  <si>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</si>
  <si>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</si>
  <si>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</si>
  <si>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</si>
  <si>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</si>
  <si>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</si>
  <si>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</si>
  <si>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</si>
  <si>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</si>
  <si>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</si>
  <si>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</si>
  <si>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</si>
  <si>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</si>
  <si>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</si>
  <si>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</si>
  <si>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</si>
  <si>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</si>
  <si>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</si>
  <si>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</si>
  <si>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</si>
  <si>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</si>
  <si>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</si>
  <si>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</si>
  <si>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</si>
  <si>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</si>
  <si>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</si>
  <si>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</si>
  <si>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</si>
  <si>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</si>
  <si>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</si>
  <si>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</si>
  <si>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</si>
  <si>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</si>
  <si>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</si>
  <si>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</si>
  <si>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</si>
  <si>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</si>
  <si>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</si>
  <si>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</si>
  <si>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</si>
  <si>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</si>
  <si>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</si>
  <si>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</si>
  <si>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</si>
  <si>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</si>
  <si>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</si>
  <si>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</si>
  <si>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</si>
  <si>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</si>
  <si>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</si>
  <si>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</si>
  <si>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</si>
  <si>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</si>
  <si>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</si>
  <si>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</si>
  <si>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</si>
  <si>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</si>
  <si>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</si>
  <si>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</si>
  <si>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</si>
  <si>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</si>
  <si>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</si>
  <si>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</si>
  <si>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</si>
  <si>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</si>
  <si>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</si>
  <si>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</si>
  <si>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</si>
  <si>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</si>
  <si>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</si>
  <si>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</si>
  <si>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</si>
  <si>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</si>
  <si>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</si>
  <si>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</si>
  <si>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</si>
  <si>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</si>
  <si>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</si>
  <si>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</si>
  <si>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</si>
  <si>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</si>
  <si>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</si>
  <si>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</si>
  <si>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</si>
  <si>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</si>
  <si>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</si>
  <si>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</si>
  <si>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</si>
  <si>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</si>
  <si>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</si>
  <si>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</si>
  <si>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</si>
  <si>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</si>
  <si>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</si>
  <si>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</si>
  <si>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</si>
  <si>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</si>
  <si>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</si>
  <si>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</si>
  <si>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</si>
  <si>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</si>
  <si>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</si>
  <si>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</si>
  <si>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</si>
  <si>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</si>
  <si>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</si>
  <si>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</si>
  <si>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</si>
  <si>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</si>
  <si>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</si>
  <si>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</si>
  <si>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</si>
  <si>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</si>
  <si>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</si>
  <si>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</si>
  <si>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</si>
  <si>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</si>
  <si>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</si>
  <si>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</si>
  <si>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</si>
  <si>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</si>
  <si>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</si>
  <si>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</si>
  <si>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</si>
  <si>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</si>
  <si>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</si>
  <si>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</si>
  <si>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</si>
  <si>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</si>
  <si>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</si>
  <si>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</si>
  <si>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</si>
  <si>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</si>
  <si>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</si>
  <si>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</si>
  <si>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</si>
  <si>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</si>
  <si>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</si>
  <si>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</si>
  <si>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</si>
  <si>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</si>
  <si>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</si>
  <si>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</si>
  <si>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</si>
  <si>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</si>
  <si>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</si>
  <si>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</si>
  <si>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</si>
  <si>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</si>
  <si>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</si>
  <si>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</si>
  <si>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</si>
  <si>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</si>
  <si>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</si>
  <si>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</si>
  <si>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</si>
  <si>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</si>
  <si>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</si>
  <si>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</si>
  <si>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</si>
  <si>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</si>
  <si>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</si>
  <si>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</si>
  <si>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</si>
  <si>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</si>
  <si>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</si>
  <si>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</si>
  <si>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</si>
  <si>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</si>
  <si>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</si>
  <si>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</si>
  <si>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</si>
  <si>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</si>
  <si>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</si>
  <si>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</si>
  <si>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</si>
  <si>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</si>
  <si>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</si>
  <si>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</si>
  <si>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</si>
  <si>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</si>
  <si>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</si>
  <si>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</si>
  <si>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</si>
  <si>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</si>
  <si>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</si>
  <si>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</si>
  <si>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</si>
  <si>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</si>
  <si>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</si>
  <si>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</si>
  <si>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</si>
  <si>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</si>
  <si>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</si>
  <si>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</si>
  <si>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</si>
  <si>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</si>
  <si>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</si>
  <si>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</si>
  <si>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</si>
  <si>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</si>
  <si>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</si>
  <si>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</si>
  <si>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</si>
  <si>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</si>
  <si>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</si>
  <si>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</si>
  <si>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</si>
  <si>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</si>
  <si>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</si>
  <si>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</si>
  <si>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</si>
  <si>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</si>
  <si>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</si>
  <si>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</si>
  <si>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</si>
  <si>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</si>
  <si>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</si>
  <si>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</si>
  <si>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</si>
  <si>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</si>
  <si>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</si>
  <si>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</si>
  <si>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</si>
  <si>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</si>
  <si>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</si>
  <si>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</si>
  <si>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</si>
  <si>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</si>
  <si>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</si>
  <si>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</si>
  <si>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</si>
  <si>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</si>
  <si>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</si>
  <si>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</si>
  <si>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</si>
  <si>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</si>
  <si>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</si>
  <si>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</si>
  <si>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</si>
  <si>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</si>
  <si>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</si>
  <si>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</si>
  <si>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</si>
  <si>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</si>
  <si>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</si>
  <si>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</si>
  <si>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</si>
  <si>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</si>
  <si>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</si>
  <si>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</si>
  <si>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</si>
  <si>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</si>
  <si>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</si>
  <si>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</si>
  <si>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</si>
  <si>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</si>
  <si>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</si>
  <si>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</si>
  <si>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</si>
  <si>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</si>
  <si>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</si>
  <si>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</si>
  <si>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</si>
  <si>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</si>
  <si>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</si>
  <si>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</si>
  <si>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</si>
  <si>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</si>
  <si>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</si>
  <si>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</si>
  <si>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</si>
  <si>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</si>
  <si>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</si>
  <si>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</si>
  <si>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</si>
  <si>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</si>
  <si>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</si>
  <si>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</si>
  <si>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</si>
  <si>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</si>
  <si>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</si>
  <si>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</si>
  <si>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</si>
  <si>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</si>
  <si>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</si>
  <si>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</si>
  <si>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</si>
  <si>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</si>
  <si>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</si>
  <si>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</si>
  <si>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</si>
  <si>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</si>
  <si>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</si>
  <si>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</si>
  <si>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Unit_Price_Cleaned</t>
  </si>
  <si>
    <t>Discount Cleaned</t>
  </si>
  <si>
    <t>Cleaned Date</t>
  </si>
  <si>
    <t>Sales After Discount</t>
  </si>
  <si>
    <t>Profit Status</t>
  </si>
  <si>
    <t>Segment Cleaned</t>
  </si>
  <si>
    <t>Discount %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</si>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</sst>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164" formatCode="&quot;₹&quot;\ #,##0.00"/>
    </dxf>
    <dxf>
      <numFmt numFmtId="19" formatCode="dd/mm/yyyy"/>
    </dxf>
    <dxf>
      <numFmt numFmtId="14" formatCode="0.00%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64" formatCode="&quot;₹&quot;\ #,##0.00"/>
    </dxf>
    <dxf>
      <numFmt numFmtId="14" formatCode="0.00%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DBF2A-0DF3-467B-BFC8-B57236727C4B}" name="Table1" displayName="Table1" ref="A1:L2501" totalsRowShown="0">
  <autoFilter ref="A1:L2501" xr:uid="{658DBF2A-0DF3-467B-BFC8-B57236727C4B}"/>
  <tableColumns count="12">
    <tableColumn id="1" xr3:uid="{77E89D43-B034-42C5-86A1-EA39D1D4785D}" name="Order_ID"/>
    <tableColumn id="2" xr3:uid="{8F8BA1A1-ED45-416B-A459-91C2ED087B05}" name="Customer_Name"/>
    <tableColumn id="3" xr3:uid="{4B05C93F-B5B9-4A89-A343-4478C6A8B108}" name="Product_Category"/>
    <tableColumn id="4" xr3:uid="{C44AF14D-F78F-4E74-A469-9112AD5A2CF3}" name="Product_Name"/>
    <tableColumn id="5" xr3:uid="{AD384D08-4258-43A3-B855-F010807ACC2B}" name="Units_Sold"/>
    <tableColumn id="6" xr3:uid="{56785799-1C90-449C-B32D-46CC214078CB}" name="Unit_Price"/>
    <tableColumn id="7" xr3:uid="{C1B1BB48-1218-43F8-B86B-E211D0043EF0}" name="Discount_%"/>
    <tableColumn id="8" xr3:uid="{371D7E10-B73F-428C-8C85-83BFB2E59331}" name="Sales_Amount"/>
    <tableColumn id="9" xr3:uid="{E4253CEC-71A2-4963-BBF4-ABB7863BE394}" name="Order_Date"/>
    <tableColumn id="10" xr3:uid="{5AF91A9C-B5F4-4685-91D5-6CF4F6A245DF}" name="City"/>
    <tableColumn id="11" xr3:uid="{647CECCF-1277-4674-BBCF-45CFCDB9B842}" name="Segment"/>
    <tableColumn id="12" xr3:uid="{861375A9-03DF-4600-9387-7AE84C83E48D}" name="Profit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0BEB2-96ED-4442-B5D8-3038A3E6C110}" name="Table14" displayName="Table14" ref="A1:M2501" totalsRowShown="0">
  <autoFilter ref="A1:M2501" xr:uid="{FE70BEB2-96ED-4442-B5D8-3038A3E6C110}"/>
  <tableColumns count="13">
    <tableColumn id="1" xr3:uid="{5AB815E9-8B02-437D-8DCF-27D732E225C8}" name="Order_ID"/>
    <tableColumn id="2" xr3:uid="{55F1CD96-3140-4B31-A4FB-B312B6FB8356}" name="Customer_Name"/>
    <tableColumn id="3" xr3:uid="{1366CC11-9A6F-4852-B818-0CDB9F526BE1}" name="Product_Category"/>
    <tableColumn id="4" xr3:uid="{3F40E7DA-CB59-443B-BDF9-C682C8E9271B}" name="Product_Name"/>
    <tableColumn id="5" xr3:uid="{888E8E84-311E-40E1-978A-9FD0AD8C00EA}" name="Units_Sold"/>
    <tableColumn id="6" xr3:uid="{4F3931A9-F9FA-4326-B7BD-89F10C65780E}" name="Unit_Price" dataDxfId="11"/>
    <tableColumn id="7" xr3:uid="{CE87E8E8-36C3-4805-888D-DFD3C79D263D}" name="Discount %" dataDxfId="10"/>
    <tableColumn id="8" xr3:uid="{4A56C67A-20EF-4B0D-B537-ACC5D5F6A547}" name="Sales_Amount" dataDxfId="9"/>
    <tableColumn id="9" xr3:uid="{3041D23E-7F71-4FAD-907F-26B60C17D141}" name="Order_Date" dataDxfId="8"/>
    <tableColumn id="10" xr3:uid="{0201064F-D3CC-40E6-8579-46976306DB12}" name="City"/>
    <tableColumn id="11" xr3:uid="{2080E51B-921A-43FF-AF9F-74D9A4CA4AD5}" name="Segment"/>
    <tableColumn id="12" xr3:uid="{BC35E134-01E9-47D5-BC9D-C777FDB7AD63}" name="Sales After Discount" dataDxfId="7"/>
    <tableColumn id="13" xr3:uid="{7E9779A1-FEEF-45F3-8B39-2EBCEFEBD51D}" name="Profit Status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F9328-DCE2-453D-B179-29EEC426262D}" name="Table13" displayName="Table13" ref="A1:Q2501" totalsRowShown="0">
  <autoFilter ref="A1:Q2501" xr:uid="{887F9328-DCE2-453D-B179-29EEC426262D}"/>
  <tableColumns count="17">
    <tableColumn id="1" xr3:uid="{E60E2EBF-A6A5-4BAF-B4BA-4BBE8D386CC4}" name="Order_ID"/>
    <tableColumn id="2" xr3:uid="{A9B95AF2-6995-495D-AB99-30E819CC34F0}" name="Customer_Name"/>
    <tableColumn id="3" xr3:uid="{1F4A05F6-E57B-436C-8B13-5E88646B98EF}" name="Product_Category"/>
    <tableColumn id="4" xr3:uid="{F6169012-680C-46C4-9AAC-84FBB5A308F4}" name="Product_Name"/>
    <tableColumn id="5" xr3:uid="{680F7BFE-E0BE-4557-B583-E93BFAC10E8A}" name="Units_Sold"/>
    <tableColumn id="6" xr3:uid="{35C667B0-32B7-48B0-BA16-5AA7CAC1B6E9}" name="Unit_Price"/>
    <tableColumn id="7" xr3:uid="{1863CA0C-7053-4F47-9639-B44C5A4CF407}" name="Discount_%"/>
    <tableColumn id="8" xr3:uid="{4EA1CEF3-BE56-435A-BDEE-31871496FCD3}" name="Sales_Amount" dataDxfId="6">
      <calculatedColumnFormula>(L2*E2)</calculatedColumnFormula>
    </tableColumn>
    <tableColumn id="9" xr3:uid="{BBC0F924-5140-43CC-BF43-2454AC30F8C2}" name="Order_Date"/>
    <tableColumn id="10" xr3:uid="{51B8AF57-EECB-44C7-AC05-CC267348B876}" name="City"/>
    <tableColumn id="11" xr3:uid="{C4170E19-D2C6-4C68-82A3-336C55D54D31}" name="Segment"/>
    <tableColumn id="13" xr3:uid="{AB438527-434D-4F4D-B0B5-DDD20096EAE8}" name="Unit_Price_Cleaned" dataDxfId="5">
      <calculatedColumnFormula>IF(F2="",AVERAGEIF($D$2:$D$2501,D2,$F$2:$F$2501),F2)</calculatedColumnFormula>
    </tableColumn>
    <tableColumn id="14" xr3:uid="{0BB1417B-A064-4C43-8B23-B5D4B84ADD57}" name="Discount Cleaned" dataDxfId="4">
      <calculatedColumnFormula>IF(G2="",MEDIAN($G$2,$G$2501),G2)</calculatedColumnFormula>
    </tableColumn>
    <tableColumn id="15" xr3:uid="{CE336BE0-F1A0-4771-AF63-D6F09F1967BF}" name="Cleaned Date" dataDxfId="3">
      <calculatedColumnFormula>IF(I2="",MODE($I$32:$I$2501),I2)</calculatedColumnFormula>
    </tableColumn>
    <tableColumn id="16" xr3:uid="{B52E638B-8BD3-47FE-BB35-12658099BBF2}" name="Sales After Discount" dataDxfId="2">
      <calculatedColumnFormula>(Table13[[#This Row],[Units_Sold]]*Table13[[#This Row],[Unit_Price_Cleaned]]*(1-Table13[[#This Row],[Discount Cleaned]]))</calculatedColumnFormula>
    </tableColumn>
    <tableColumn id="18" xr3:uid="{44D70877-62C1-4A03-8BA0-060B69F0DE40}" name="Profit Status" dataDxfId="1">
      <calculatedColumnFormula>IF(O2&gt;500,"Profit","Loss")</calculatedColumnFormula>
    </tableColumn>
    <tableColumn id="20" xr3:uid="{8E37ACCD-0C86-4F25-AA00-DECF1A0F109B}" name="Segment Cleaned" dataDxfId="0">
      <calculatedColumnFormula array="1">IF(K2="",INDEX($K$2:$K$2501,MATCH(MAX(COUNTIF($K$2:$K$2501,$K$2:$K$2501)),COUNTIF($K$2:$K$2501,$K$2:$K$2501),0)),K2)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608A5F0-64AF-43CB-9EDA-DBDA19BE5EBF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shpA-aKU3Errb_8WDHHG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3B7FCC1-D404-41DD-B868-FC8E8F9D1EDA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e35e3df9-6689-41da-812f-eeb8b02a6562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2DD4D65-C4A2-4328-92C1-C460CE4B3A09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FEA4-B690-4193-AAE1-A8003E5B35D0}">
  <dimension ref="A1:L2501"/>
  <sheetViews>
    <sheetView zoomScaleNormal="100" workbookViewId="0">
      <selection sqref="A1:L2501"/>
    </sheetView>
  </sheetViews>
  <sheetFormatPr defaultRowHeight="14.4" x14ac:dyDescent="0.3"/>
  <cols>
    <col min="1" max="1" width="10.21875" customWidth="1"/>
    <col min="2" max="2" width="22.33203125" bestFit="1" customWidth="1"/>
    <col min="3" max="3" width="17.5546875" customWidth="1"/>
    <col min="4" max="4" width="15.21875" customWidth="1"/>
    <col min="5" max="5" width="11.77734375" customWidth="1"/>
    <col min="6" max="6" width="11.44140625" customWidth="1"/>
    <col min="7" max="7" width="12.5546875" customWidth="1"/>
    <col min="8" max="8" width="14.6640625" customWidth="1"/>
    <col min="9" max="9" width="12.33203125" customWidth="1"/>
    <col min="10" max="10" width="10.6640625" bestFit="1" customWidth="1"/>
    <col min="11" max="11" width="1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F783-761F-49CB-8BC1-92FADB2267C3}">
  <dimension ref="A1:M2501"/>
  <sheetViews>
    <sheetView tabSelected="1" workbookViewId="0">
      <selection activeCell="L10" sqref="L10"/>
    </sheetView>
  </sheetViews>
  <sheetFormatPr defaultRowHeight="14.4" x14ac:dyDescent="0.3"/>
  <cols>
    <col min="2" max="2" width="22.33203125" bestFit="1" customWidth="1"/>
    <col min="3" max="3" width="18" bestFit="1" customWidth="1"/>
    <col min="4" max="4" width="15.6640625" bestFit="1" customWidth="1"/>
    <col min="5" max="5" width="12.109375" bestFit="1" customWidth="1"/>
    <col min="6" max="6" width="12.5546875" bestFit="1" customWidth="1"/>
    <col min="7" max="7" width="12.44140625" bestFit="1" customWidth="1"/>
    <col min="8" max="8" width="15" bestFit="1" customWidth="1"/>
    <col min="9" max="9" width="12.6640625" bestFit="1" customWidth="1"/>
    <col min="10" max="10" width="10.6640625" bestFit="1" customWidth="1"/>
    <col min="11" max="11" width="10.5546875" bestFit="1" customWidth="1"/>
    <col min="12" max="12" width="20" bestFit="1" customWidth="1"/>
    <col min="13" max="13" width="13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2517</v>
      </c>
      <c r="H1" t="s">
        <v>7</v>
      </c>
      <c r="I1" t="s">
        <v>8</v>
      </c>
      <c r="J1" t="s">
        <v>9</v>
      </c>
      <c r="K1" t="s">
        <v>10</v>
      </c>
      <c r="L1" t="s">
        <v>2514</v>
      </c>
      <c r="M1" t="s">
        <v>2515</v>
      </c>
    </row>
    <row r="2" spans="1:13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 s="3">
        <v>842</v>
      </c>
      <c r="G2" s="4">
        <v>0.6</v>
      </c>
      <c r="H2" s="3">
        <v>1684</v>
      </c>
      <c r="I2" s="1">
        <v>45715</v>
      </c>
      <c r="J2" t="s">
        <v>15</v>
      </c>
      <c r="K2" t="s">
        <v>16</v>
      </c>
      <c r="L2" s="3">
        <v>673.6</v>
      </c>
      <c r="M2" t="s">
        <v>11</v>
      </c>
    </row>
    <row r="3" spans="1:13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F3" s="3">
        <v>2381.2677586206896</v>
      </c>
      <c r="G3" s="4">
        <v>0.6</v>
      </c>
      <c r="H3" s="3">
        <v>2381.2677586206896</v>
      </c>
      <c r="I3" s="1">
        <v>45853</v>
      </c>
      <c r="J3" t="s">
        <v>18</v>
      </c>
      <c r="K3" t="s">
        <v>23</v>
      </c>
      <c r="L3" s="3">
        <v>952.50710344827587</v>
      </c>
      <c r="M3" t="s">
        <v>11</v>
      </c>
    </row>
    <row r="4" spans="1:13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 s="3">
        <v>637.82000000000005</v>
      </c>
      <c r="G4" s="4">
        <v>0.6</v>
      </c>
      <c r="H4" s="3">
        <v>637.82000000000005</v>
      </c>
      <c r="I4" s="1">
        <v>45659</v>
      </c>
      <c r="J4" t="s">
        <v>22</v>
      </c>
      <c r="K4" t="s">
        <v>23</v>
      </c>
      <c r="L4" s="3">
        <v>255.12800000000004</v>
      </c>
      <c r="M4" t="s">
        <v>2518</v>
      </c>
    </row>
    <row r="5" spans="1:13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 s="3">
        <v>2962.27</v>
      </c>
      <c r="G5" s="4">
        <v>0.6</v>
      </c>
      <c r="H5" s="3">
        <v>5924.54</v>
      </c>
      <c r="I5" s="1">
        <v>45826</v>
      </c>
      <c r="J5" t="s">
        <v>40</v>
      </c>
      <c r="K5" t="s">
        <v>23</v>
      </c>
      <c r="L5" s="3">
        <v>2369.8160000000003</v>
      </c>
      <c r="M5" t="s">
        <v>11</v>
      </c>
    </row>
    <row r="6" spans="1:13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 s="3">
        <v>2881.07</v>
      </c>
      <c r="G6" s="4">
        <v>0.27</v>
      </c>
      <c r="H6" s="3">
        <v>2881.07</v>
      </c>
      <c r="I6" s="1">
        <v>45782</v>
      </c>
      <c r="J6" t="s">
        <v>56</v>
      </c>
      <c r="K6" t="s">
        <v>23</v>
      </c>
      <c r="L6" s="3">
        <v>2103.1811000000002</v>
      </c>
      <c r="M6" t="s">
        <v>11</v>
      </c>
    </row>
    <row r="7" spans="1:13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F7" s="3">
        <v>2487.039615384615</v>
      </c>
      <c r="G7" s="4">
        <v>0.6</v>
      </c>
      <c r="H7" s="3">
        <v>4974.07923076923</v>
      </c>
      <c r="I7" s="1">
        <v>45265</v>
      </c>
      <c r="J7" t="s">
        <v>22</v>
      </c>
      <c r="K7" t="s">
        <v>23</v>
      </c>
      <c r="L7" s="3">
        <v>1989.631692307692</v>
      </c>
      <c r="M7" t="s">
        <v>11</v>
      </c>
    </row>
    <row r="8" spans="1:13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 s="3">
        <v>2060.85</v>
      </c>
      <c r="G8" s="4">
        <v>0.6</v>
      </c>
      <c r="H8" s="3">
        <v>2060.85</v>
      </c>
      <c r="I8" s="1">
        <v>45384</v>
      </c>
      <c r="J8" t="s">
        <v>18</v>
      </c>
      <c r="K8" t="s">
        <v>23</v>
      </c>
      <c r="L8" s="3">
        <v>824.34</v>
      </c>
      <c r="M8" t="s">
        <v>11</v>
      </c>
    </row>
    <row r="9" spans="1:13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 s="3">
        <v>3669.56</v>
      </c>
      <c r="G9" s="4">
        <v>0.6</v>
      </c>
      <c r="H9" s="3">
        <v>7339.12</v>
      </c>
      <c r="I9" s="1">
        <v>45782</v>
      </c>
      <c r="J9" t="s">
        <v>40</v>
      </c>
      <c r="K9" t="s">
        <v>16</v>
      </c>
      <c r="L9" s="3">
        <v>2935.6480000000001</v>
      </c>
      <c r="M9" t="s">
        <v>11</v>
      </c>
    </row>
    <row r="10" spans="1:13" x14ac:dyDescent="0.3">
      <c r="A10">
        <v>1008</v>
      </c>
      <c r="B10" t="s">
        <v>41</v>
      </c>
      <c r="C10" t="s">
        <v>29</v>
      </c>
      <c r="D10" t="s">
        <v>42</v>
      </c>
      <c r="E10">
        <v>2</v>
      </c>
      <c r="F10" s="3">
        <v>2559.6667307692314</v>
      </c>
      <c r="G10" s="4">
        <v>0.6</v>
      </c>
      <c r="H10" s="3">
        <v>5119.3334615384629</v>
      </c>
      <c r="I10" s="1">
        <v>45782</v>
      </c>
      <c r="J10" t="s">
        <v>18</v>
      </c>
      <c r="K10" t="s">
        <v>16</v>
      </c>
      <c r="L10" s="3">
        <v>2047.7333846153851</v>
      </c>
      <c r="M10" t="s">
        <v>11</v>
      </c>
    </row>
    <row r="11" spans="1:13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F11" s="3">
        <v>2841.7630612244907</v>
      </c>
      <c r="G11" s="4">
        <v>0.6</v>
      </c>
      <c r="H11" s="3">
        <v>14208.815306122453</v>
      </c>
      <c r="I11" s="1">
        <v>45858</v>
      </c>
      <c r="J11" t="s">
        <v>40</v>
      </c>
      <c r="K11" t="s">
        <v>23</v>
      </c>
      <c r="L11" s="3">
        <v>5683.5261224489814</v>
      </c>
      <c r="M11" t="s">
        <v>11</v>
      </c>
    </row>
    <row r="12" spans="1:13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 s="3">
        <v>4007.02</v>
      </c>
      <c r="G12" s="4">
        <v>0.6</v>
      </c>
      <c r="H12" s="3">
        <v>0</v>
      </c>
      <c r="I12" s="1">
        <v>45782</v>
      </c>
      <c r="J12" t="s">
        <v>46</v>
      </c>
      <c r="K12" t="s">
        <v>23</v>
      </c>
      <c r="L12" s="3">
        <v>0</v>
      </c>
      <c r="M12" t="s">
        <v>2518</v>
      </c>
    </row>
    <row r="13" spans="1:13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F13" s="3">
        <v>2617.6390384615388</v>
      </c>
      <c r="G13" s="4">
        <v>0.6</v>
      </c>
      <c r="H13" s="3">
        <v>0</v>
      </c>
      <c r="I13" s="1">
        <v>45804</v>
      </c>
      <c r="J13" t="s">
        <v>15</v>
      </c>
      <c r="K13" t="s">
        <v>16</v>
      </c>
      <c r="L13" s="3">
        <v>0</v>
      </c>
      <c r="M13" t="s">
        <v>2518</v>
      </c>
    </row>
    <row r="14" spans="1:13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F14" s="3">
        <v>2785.0877966101693</v>
      </c>
      <c r="G14" s="4">
        <v>0.21</v>
      </c>
      <c r="H14" s="3">
        <v>11140.351186440677</v>
      </c>
      <c r="I14" s="1">
        <v>45526</v>
      </c>
      <c r="J14" t="s">
        <v>18</v>
      </c>
      <c r="K14" t="s">
        <v>23</v>
      </c>
      <c r="L14" s="3">
        <v>8800.8774372881362</v>
      </c>
      <c r="M14" t="s">
        <v>11</v>
      </c>
    </row>
    <row r="15" spans="1:13" x14ac:dyDescent="0.3">
      <c r="A15">
        <v>1013</v>
      </c>
      <c r="B15" t="s">
        <v>50</v>
      </c>
      <c r="C15" t="s">
        <v>33</v>
      </c>
      <c r="D15" t="s">
        <v>34</v>
      </c>
      <c r="E15">
        <v>2</v>
      </c>
      <c r="F15" s="3">
        <v>2487.039615384615</v>
      </c>
      <c r="G15" s="4">
        <v>0.62</v>
      </c>
      <c r="H15" s="3">
        <v>4974.07923076923</v>
      </c>
      <c r="I15" s="1">
        <v>45782</v>
      </c>
      <c r="J15" t="s">
        <v>46</v>
      </c>
      <c r="K15" t="s">
        <v>16</v>
      </c>
      <c r="L15" s="3">
        <v>1890.1501076923073</v>
      </c>
      <c r="M15" t="s">
        <v>11</v>
      </c>
    </row>
    <row r="16" spans="1:13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F16" s="3">
        <v>2888.8714285714286</v>
      </c>
      <c r="G16" s="4">
        <v>0.6</v>
      </c>
      <c r="H16" s="3">
        <v>11555.485714285714</v>
      </c>
      <c r="I16" s="1">
        <v>45556</v>
      </c>
      <c r="J16" t="s">
        <v>56</v>
      </c>
      <c r="K16" t="s">
        <v>23</v>
      </c>
      <c r="L16" s="3">
        <v>4622.1942857142858</v>
      </c>
      <c r="M16" t="s">
        <v>11</v>
      </c>
    </row>
    <row r="17" spans="1:13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F17" s="3">
        <v>2530.3836538461546</v>
      </c>
      <c r="G17" s="4">
        <v>0.6</v>
      </c>
      <c r="H17" s="3">
        <v>15182.301923076928</v>
      </c>
      <c r="I17" s="1">
        <v>45782</v>
      </c>
      <c r="J17" t="s">
        <v>18</v>
      </c>
      <c r="K17" t="s">
        <v>23</v>
      </c>
      <c r="L17" s="3">
        <v>6072.9207692307718</v>
      </c>
      <c r="M17" t="s">
        <v>11</v>
      </c>
    </row>
    <row r="18" spans="1:13" x14ac:dyDescent="0.3">
      <c r="A18">
        <v>1016</v>
      </c>
      <c r="B18" t="s">
        <v>55</v>
      </c>
      <c r="C18" t="s">
        <v>33</v>
      </c>
      <c r="D18" t="s">
        <v>34</v>
      </c>
      <c r="E18">
        <v>2</v>
      </c>
      <c r="F18" s="3">
        <v>2487.039615384615</v>
      </c>
      <c r="G18" s="4">
        <v>0.6</v>
      </c>
      <c r="H18" s="3">
        <v>4974.07923076923</v>
      </c>
      <c r="I18" s="1">
        <v>45591</v>
      </c>
      <c r="J18" t="s">
        <v>56</v>
      </c>
      <c r="K18" t="s">
        <v>23</v>
      </c>
      <c r="L18" s="3">
        <v>1989.631692307692</v>
      </c>
      <c r="M18" t="s">
        <v>11</v>
      </c>
    </row>
    <row r="19" spans="1:13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 s="3">
        <v>468.53</v>
      </c>
      <c r="G19" s="4">
        <v>0.6</v>
      </c>
      <c r="H19" s="3">
        <v>1405.59</v>
      </c>
      <c r="I19" s="1">
        <v>45782</v>
      </c>
      <c r="J19" t="s">
        <v>22</v>
      </c>
      <c r="K19" t="s">
        <v>23</v>
      </c>
      <c r="L19" s="3">
        <v>562.23599999999999</v>
      </c>
      <c r="M19" t="s">
        <v>11</v>
      </c>
    </row>
    <row r="20" spans="1:13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F20" s="3">
        <v>2804.2651923076919</v>
      </c>
      <c r="G20" s="4">
        <v>0.6</v>
      </c>
      <c r="H20" s="3">
        <v>11217.060769230768</v>
      </c>
      <c r="I20" s="1">
        <v>45395</v>
      </c>
      <c r="J20" t="s">
        <v>40</v>
      </c>
      <c r="K20" t="s">
        <v>16</v>
      </c>
      <c r="L20" s="3">
        <v>4486.8243076923072</v>
      </c>
      <c r="M20" t="s">
        <v>11</v>
      </c>
    </row>
    <row r="21" spans="1:13" x14ac:dyDescent="0.3">
      <c r="A21">
        <v>1019</v>
      </c>
      <c r="B21" t="s">
        <v>60</v>
      </c>
      <c r="C21" t="s">
        <v>38</v>
      </c>
      <c r="D21" t="s">
        <v>39</v>
      </c>
      <c r="E21">
        <v>2</v>
      </c>
      <c r="F21" s="3">
        <v>4064.4</v>
      </c>
      <c r="G21" s="4">
        <v>0.7</v>
      </c>
      <c r="H21" s="3">
        <v>8128.8</v>
      </c>
      <c r="I21" s="1">
        <v>45587</v>
      </c>
      <c r="J21" t="s">
        <v>18</v>
      </c>
      <c r="K21" t="s">
        <v>16</v>
      </c>
      <c r="L21" s="3">
        <v>2438.6400000000003</v>
      </c>
      <c r="M21" t="s">
        <v>11</v>
      </c>
    </row>
    <row r="22" spans="1:13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F22" s="3">
        <v>2882.5046551724135</v>
      </c>
      <c r="G22" s="4">
        <v>0.6</v>
      </c>
      <c r="H22" s="3">
        <v>2882.5046551724135</v>
      </c>
      <c r="I22" s="1">
        <v>45735</v>
      </c>
      <c r="J22" t="s">
        <v>46</v>
      </c>
      <c r="K22" t="s">
        <v>23</v>
      </c>
      <c r="L22" s="3">
        <v>1153.0018620689655</v>
      </c>
      <c r="M22" t="s">
        <v>11</v>
      </c>
    </row>
    <row r="23" spans="1:13" x14ac:dyDescent="0.3">
      <c r="A23">
        <v>1021</v>
      </c>
      <c r="B23" t="s">
        <v>62</v>
      </c>
      <c r="C23" t="s">
        <v>38</v>
      </c>
      <c r="D23" t="s">
        <v>63</v>
      </c>
      <c r="E23">
        <v>2</v>
      </c>
      <c r="F23" s="3">
        <v>2845.2419672131159</v>
      </c>
      <c r="G23" s="4">
        <v>0.6</v>
      </c>
      <c r="H23" s="3">
        <v>5690.4839344262318</v>
      </c>
      <c r="I23" s="1">
        <v>45417</v>
      </c>
      <c r="J23" t="s">
        <v>40</v>
      </c>
      <c r="K23" t="s">
        <v>23</v>
      </c>
      <c r="L23" s="3">
        <v>2276.193573770493</v>
      </c>
      <c r="M23" t="s">
        <v>11</v>
      </c>
    </row>
    <row r="24" spans="1:13" x14ac:dyDescent="0.3">
      <c r="A24">
        <v>1031</v>
      </c>
      <c r="B24" t="s">
        <v>64</v>
      </c>
      <c r="C24" t="s">
        <v>38</v>
      </c>
      <c r="D24" t="s">
        <v>63</v>
      </c>
      <c r="E24">
        <v>2</v>
      </c>
      <c r="F24" s="3">
        <v>1872.05</v>
      </c>
      <c r="G24" s="4">
        <v>0.15</v>
      </c>
      <c r="H24" s="3">
        <v>3744.1</v>
      </c>
      <c r="I24" s="1">
        <v>45804</v>
      </c>
      <c r="J24" t="s">
        <v>46</v>
      </c>
      <c r="K24" t="s">
        <v>16</v>
      </c>
      <c r="L24" s="3">
        <v>3182.4849999999997</v>
      </c>
      <c r="M24" t="s">
        <v>11</v>
      </c>
    </row>
    <row r="25" spans="1:13" x14ac:dyDescent="0.3">
      <c r="A25">
        <v>1023</v>
      </c>
      <c r="B25" t="s">
        <v>65</v>
      </c>
      <c r="C25" t="s">
        <v>25</v>
      </c>
      <c r="D25" t="s">
        <v>66</v>
      </c>
      <c r="E25">
        <v>2</v>
      </c>
      <c r="F25" s="3">
        <v>2572.7764000000006</v>
      </c>
      <c r="G25" s="4">
        <v>0.6</v>
      </c>
      <c r="H25" s="3">
        <v>5145.5528000000013</v>
      </c>
      <c r="I25" s="1">
        <v>45782</v>
      </c>
      <c r="J25" t="s">
        <v>22</v>
      </c>
      <c r="K25" t="s">
        <v>23</v>
      </c>
      <c r="L25" s="3">
        <v>2058.2211200000006</v>
      </c>
      <c r="M25" t="s">
        <v>11</v>
      </c>
    </row>
    <row r="26" spans="1:13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F26" s="3">
        <v>2681.1743636363635</v>
      </c>
      <c r="G26" s="4">
        <v>1.19</v>
      </c>
      <c r="H26" s="3">
        <v>-5362.348727272727</v>
      </c>
      <c r="I26" s="1">
        <v>45707</v>
      </c>
      <c r="J26" t="s">
        <v>15</v>
      </c>
      <c r="K26" t="s">
        <v>23</v>
      </c>
      <c r="L26" s="3">
        <v>1018.8462581818178</v>
      </c>
      <c r="M26" t="s">
        <v>11</v>
      </c>
    </row>
    <row r="27" spans="1:13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 s="3">
        <v>4595.08</v>
      </c>
      <c r="G27" s="4">
        <v>0.6</v>
      </c>
      <c r="H27" s="3">
        <v>18380.32</v>
      </c>
      <c r="I27" s="1">
        <v>45856</v>
      </c>
      <c r="J27" t="s">
        <v>40</v>
      </c>
      <c r="K27" t="s">
        <v>23</v>
      </c>
      <c r="L27" s="3">
        <v>7352.1280000000006</v>
      </c>
      <c r="M27" t="s">
        <v>11</v>
      </c>
    </row>
    <row r="28" spans="1:13" x14ac:dyDescent="0.3">
      <c r="A28">
        <v>1026</v>
      </c>
      <c r="B28" t="s">
        <v>69</v>
      </c>
      <c r="C28" t="s">
        <v>29</v>
      </c>
      <c r="D28" t="s">
        <v>42</v>
      </c>
      <c r="E28">
        <v>2</v>
      </c>
      <c r="F28" s="3">
        <v>2559.6667307692314</v>
      </c>
      <c r="G28" s="4">
        <v>0.6</v>
      </c>
      <c r="H28" s="3">
        <v>5119.3334615384629</v>
      </c>
      <c r="I28" s="1">
        <v>45647</v>
      </c>
      <c r="J28" t="s">
        <v>18</v>
      </c>
      <c r="K28" t="s">
        <v>23</v>
      </c>
      <c r="L28" s="3">
        <v>2047.7333846153851</v>
      </c>
      <c r="M28" t="s">
        <v>11</v>
      </c>
    </row>
    <row r="29" spans="1:13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F29" s="3">
        <v>2617.6390384615388</v>
      </c>
      <c r="G29" s="4">
        <v>0.6</v>
      </c>
      <c r="H29" s="3">
        <v>2617.6390384615388</v>
      </c>
      <c r="I29" s="1">
        <v>45782</v>
      </c>
      <c r="J29" t="s">
        <v>56</v>
      </c>
      <c r="K29" t="s">
        <v>23</v>
      </c>
      <c r="L29" s="3">
        <v>1047.0556153846155</v>
      </c>
      <c r="M29" t="s">
        <v>11</v>
      </c>
    </row>
    <row r="30" spans="1:13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F30" s="3">
        <v>2715.5458490566025</v>
      </c>
      <c r="G30" s="4">
        <v>0.6</v>
      </c>
      <c r="H30" s="3">
        <v>-5431.091698113205</v>
      </c>
      <c r="I30" s="1">
        <v>45782</v>
      </c>
      <c r="J30" t="s">
        <v>56</v>
      </c>
      <c r="K30" t="s">
        <v>23</v>
      </c>
      <c r="L30" s="3">
        <v>-2172.436679245282</v>
      </c>
      <c r="M30" t="s">
        <v>2518</v>
      </c>
    </row>
    <row r="31" spans="1:13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F31" s="3">
        <v>2715.5458490566025</v>
      </c>
      <c r="G31" s="4">
        <v>0.6</v>
      </c>
      <c r="H31" s="3">
        <v>10862.18339622641</v>
      </c>
      <c r="I31" s="1">
        <v>45782</v>
      </c>
      <c r="J31" t="s">
        <v>22</v>
      </c>
      <c r="K31" t="s">
        <v>23</v>
      </c>
      <c r="L31" s="3">
        <v>4344.873358490564</v>
      </c>
      <c r="M31" t="s">
        <v>11</v>
      </c>
    </row>
    <row r="32" spans="1:13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 s="3">
        <v>1069.77</v>
      </c>
      <c r="G32" s="4">
        <v>0.6</v>
      </c>
      <c r="H32" s="3">
        <v>3209.31</v>
      </c>
      <c r="I32" s="1">
        <v>45172</v>
      </c>
      <c r="J32" t="s">
        <v>56</v>
      </c>
      <c r="K32" t="s">
        <v>16</v>
      </c>
      <c r="L32" s="3">
        <v>1283.7240000000002</v>
      </c>
      <c r="M32" t="s">
        <v>11</v>
      </c>
    </row>
    <row r="33" spans="1:13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F33" s="3">
        <v>2845.2419672131159</v>
      </c>
      <c r="G33" s="4">
        <v>0.6</v>
      </c>
      <c r="H33" s="3">
        <v>11380.967868852464</v>
      </c>
      <c r="I33" s="1">
        <v>45688</v>
      </c>
      <c r="J33" t="s">
        <v>40</v>
      </c>
      <c r="K33" t="s">
        <v>23</v>
      </c>
      <c r="L33" s="3">
        <v>4552.387147540986</v>
      </c>
      <c r="M33" t="s">
        <v>11</v>
      </c>
    </row>
    <row r="34" spans="1:13" x14ac:dyDescent="0.3">
      <c r="A34">
        <v>1032</v>
      </c>
      <c r="B34" t="s">
        <v>76</v>
      </c>
      <c r="C34" t="s">
        <v>13</v>
      </c>
      <c r="D34" t="s">
        <v>36</v>
      </c>
      <c r="E34">
        <v>2</v>
      </c>
      <c r="F34" s="3">
        <v>2182.0100000000002</v>
      </c>
      <c r="G34" s="4">
        <v>0.6</v>
      </c>
      <c r="H34" s="3">
        <v>4364.0200000000004</v>
      </c>
      <c r="I34" s="1">
        <v>45682</v>
      </c>
      <c r="J34" t="s">
        <v>15</v>
      </c>
      <c r="K34" t="s">
        <v>23</v>
      </c>
      <c r="L34" s="3">
        <v>1745.6080000000002</v>
      </c>
      <c r="M34" t="s">
        <v>11</v>
      </c>
    </row>
    <row r="35" spans="1:13" x14ac:dyDescent="0.3">
      <c r="A35">
        <v>1033</v>
      </c>
      <c r="B35" t="s">
        <v>77</v>
      </c>
      <c r="C35" t="s">
        <v>13</v>
      </c>
      <c r="D35" t="s">
        <v>49</v>
      </c>
      <c r="E35">
        <v>2</v>
      </c>
      <c r="F35" s="3">
        <v>2785.0877966101693</v>
      </c>
      <c r="G35" s="4">
        <v>0.6</v>
      </c>
      <c r="H35" s="3">
        <v>5570.1755932203387</v>
      </c>
      <c r="I35" s="1">
        <v>45609</v>
      </c>
      <c r="J35" t="s">
        <v>56</v>
      </c>
      <c r="K35" t="s">
        <v>23</v>
      </c>
      <c r="L35" s="3">
        <v>2228.0702372881356</v>
      </c>
      <c r="M35" t="s">
        <v>11</v>
      </c>
    </row>
    <row r="36" spans="1:13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 s="3">
        <v>4449.3599999999997</v>
      </c>
      <c r="G36" s="4">
        <v>0.94</v>
      </c>
      <c r="H36" s="3">
        <v>0</v>
      </c>
      <c r="I36" s="1">
        <v>45851</v>
      </c>
      <c r="J36" t="s">
        <v>15</v>
      </c>
      <c r="K36" t="s">
        <v>23</v>
      </c>
      <c r="L36" s="3">
        <v>0</v>
      </c>
      <c r="M36" t="s">
        <v>2518</v>
      </c>
    </row>
    <row r="37" spans="1:13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F37" s="3">
        <v>2483.5844000000002</v>
      </c>
      <c r="G37" s="4">
        <v>0.94</v>
      </c>
      <c r="H37" s="3">
        <v>-2483.5844000000002</v>
      </c>
      <c r="I37" s="1">
        <v>45782</v>
      </c>
      <c r="J37" t="s">
        <v>18</v>
      </c>
      <c r="K37" t="s">
        <v>16</v>
      </c>
      <c r="L37" s="3">
        <v>-149.01506400000014</v>
      </c>
      <c r="M37" t="s">
        <v>2518</v>
      </c>
    </row>
    <row r="38" spans="1:13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 s="3">
        <v>2721.83</v>
      </c>
      <c r="G38" s="4">
        <v>0.6</v>
      </c>
      <c r="H38" s="3">
        <v>-5443.66</v>
      </c>
      <c r="I38" s="1">
        <v>45388</v>
      </c>
      <c r="J38" t="s">
        <v>18</v>
      </c>
      <c r="K38" t="s">
        <v>23</v>
      </c>
      <c r="L38" s="3">
        <v>-2177.4639999999999</v>
      </c>
      <c r="M38" t="s">
        <v>2518</v>
      </c>
    </row>
    <row r="39" spans="1:13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F39" s="3">
        <v>2559.6667307692314</v>
      </c>
      <c r="G39" s="4">
        <v>1.1000000000000001</v>
      </c>
      <c r="H39" s="3">
        <v>5119.3334615384629</v>
      </c>
      <c r="I39" s="1">
        <v>45782</v>
      </c>
      <c r="J39" t="s">
        <v>18</v>
      </c>
      <c r="K39" t="s">
        <v>23</v>
      </c>
      <c r="L39" s="3">
        <v>-511.93334615384674</v>
      </c>
      <c r="M39" t="s">
        <v>2518</v>
      </c>
    </row>
    <row r="40" spans="1:13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 s="3">
        <v>1692.38</v>
      </c>
      <c r="G40" s="4">
        <v>0.6</v>
      </c>
      <c r="H40" s="3">
        <v>5077.1400000000003</v>
      </c>
      <c r="I40" s="1">
        <v>45311</v>
      </c>
      <c r="J40" t="s">
        <v>40</v>
      </c>
      <c r="K40" t="s">
        <v>16</v>
      </c>
      <c r="L40" s="3">
        <v>2030.8560000000002</v>
      </c>
      <c r="M40" t="s">
        <v>11</v>
      </c>
    </row>
    <row r="41" spans="1:13" x14ac:dyDescent="0.3">
      <c r="A41">
        <v>1039</v>
      </c>
      <c r="B41" t="s">
        <v>85</v>
      </c>
      <c r="C41" t="s">
        <v>25</v>
      </c>
      <c r="D41" t="s">
        <v>86</v>
      </c>
      <c r="E41">
        <v>2</v>
      </c>
      <c r="F41" s="3">
        <v>1372.16</v>
      </c>
      <c r="G41" s="4">
        <v>0.56000000000000005</v>
      </c>
      <c r="H41" s="3">
        <v>2744.32</v>
      </c>
      <c r="I41" s="1">
        <v>45797</v>
      </c>
      <c r="J41" t="s">
        <v>56</v>
      </c>
      <c r="K41" t="s">
        <v>16</v>
      </c>
      <c r="L41" s="3">
        <v>1207.5008</v>
      </c>
      <c r="M41" t="s">
        <v>11</v>
      </c>
    </row>
    <row r="42" spans="1:13" x14ac:dyDescent="0.3">
      <c r="A42">
        <v>1040</v>
      </c>
      <c r="B42" t="s">
        <v>87</v>
      </c>
      <c r="C42" t="s">
        <v>20</v>
      </c>
      <c r="D42" t="s">
        <v>88</v>
      </c>
      <c r="E42">
        <v>2</v>
      </c>
      <c r="F42" s="3">
        <v>2725.8557142857148</v>
      </c>
      <c r="G42" s="4">
        <v>0.6</v>
      </c>
      <c r="H42" s="3">
        <v>5451.7114285714297</v>
      </c>
      <c r="I42" s="1">
        <v>45611</v>
      </c>
      <c r="J42" t="s">
        <v>18</v>
      </c>
      <c r="K42" t="s">
        <v>16</v>
      </c>
      <c r="L42" s="3">
        <v>2180.6845714285719</v>
      </c>
      <c r="M42" t="s">
        <v>11</v>
      </c>
    </row>
    <row r="43" spans="1:13" x14ac:dyDescent="0.3">
      <c r="A43">
        <v>1041</v>
      </c>
      <c r="B43" t="s">
        <v>89</v>
      </c>
      <c r="C43" t="s">
        <v>20</v>
      </c>
      <c r="D43" t="s">
        <v>21</v>
      </c>
      <c r="E43">
        <v>2</v>
      </c>
      <c r="F43" s="3">
        <v>2681.1743636363635</v>
      </c>
      <c r="G43" s="4">
        <v>0.6</v>
      </c>
      <c r="H43" s="3">
        <v>5362.348727272727</v>
      </c>
      <c r="I43" s="1">
        <v>45723</v>
      </c>
      <c r="J43" t="s">
        <v>18</v>
      </c>
      <c r="K43" t="s">
        <v>16</v>
      </c>
      <c r="L43" s="3">
        <v>2144.9394909090911</v>
      </c>
      <c r="M43" t="s">
        <v>11</v>
      </c>
    </row>
    <row r="44" spans="1:13" x14ac:dyDescent="0.3">
      <c r="A44">
        <v>1042</v>
      </c>
      <c r="B44" t="s">
        <v>90</v>
      </c>
      <c r="C44" t="s">
        <v>38</v>
      </c>
      <c r="D44" t="s">
        <v>91</v>
      </c>
      <c r="E44">
        <v>2</v>
      </c>
      <c r="F44" s="3">
        <v>2868.7768181818178</v>
      </c>
      <c r="G44" s="4">
        <v>0.6</v>
      </c>
      <c r="H44" s="3">
        <v>5737.5536363636356</v>
      </c>
      <c r="I44" s="1">
        <v>45759</v>
      </c>
      <c r="J44" t="s">
        <v>46</v>
      </c>
      <c r="K44" t="s">
        <v>23</v>
      </c>
      <c r="L44" s="3">
        <v>2295.0214545454542</v>
      </c>
      <c r="M44" t="s">
        <v>11</v>
      </c>
    </row>
    <row r="45" spans="1:13" x14ac:dyDescent="0.3">
      <c r="A45">
        <v>1043</v>
      </c>
      <c r="B45" t="s">
        <v>92</v>
      </c>
      <c r="C45" t="s">
        <v>33</v>
      </c>
      <c r="D45" t="s">
        <v>82</v>
      </c>
      <c r="E45">
        <v>2</v>
      </c>
      <c r="F45" s="3">
        <v>4575.93</v>
      </c>
      <c r="G45" s="4">
        <v>0.56000000000000005</v>
      </c>
      <c r="H45" s="3">
        <v>9151.86</v>
      </c>
      <c r="I45" s="1">
        <v>45752</v>
      </c>
      <c r="J45" t="s">
        <v>18</v>
      </c>
      <c r="K45" t="s">
        <v>23</v>
      </c>
      <c r="L45" s="3">
        <v>4026.8183999999997</v>
      </c>
      <c r="M45" t="s">
        <v>11</v>
      </c>
    </row>
    <row r="46" spans="1:13" x14ac:dyDescent="0.3">
      <c r="A46">
        <v>1044</v>
      </c>
      <c r="B46" t="s">
        <v>93</v>
      </c>
      <c r="C46" t="s">
        <v>33</v>
      </c>
      <c r="D46" t="s">
        <v>72</v>
      </c>
      <c r="E46">
        <v>2</v>
      </c>
      <c r="F46" s="3">
        <v>2715.5458490566025</v>
      </c>
      <c r="G46" s="4">
        <v>0.6</v>
      </c>
      <c r="H46" s="3">
        <v>5431.091698113205</v>
      </c>
      <c r="I46" s="1">
        <v>45547</v>
      </c>
      <c r="J46" t="s">
        <v>40</v>
      </c>
      <c r="K46" t="s">
        <v>23</v>
      </c>
      <c r="L46" s="3">
        <v>2172.436679245282</v>
      </c>
      <c r="M46" t="s">
        <v>11</v>
      </c>
    </row>
    <row r="47" spans="1:13" x14ac:dyDescent="0.3">
      <c r="A47">
        <v>1045</v>
      </c>
      <c r="B47" t="s">
        <v>94</v>
      </c>
      <c r="C47" t="s">
        <v>29</v>
      </c>
      <c r="D47" t="s">
        <v>42</v>
      </c>
      <c r="E47">
        <v>2</v>
      </c>
      <c r="F47" s="3">
        <v>3477.16</v>
      </c>
      <c r="G47" s="4">
        <v>0.6</v>
      </c>
      <c r="H47" s="3">
        <v>6954.32</v>
      </c>
      <c r="I47" s="1">
        <v>45698</v>
      </c>
      <c r="J47" t="s">
        <v>56</v>
      </c>
      <c r="K47" t="s">
        <v>23</v>
      </c>
      <c r="L47" s="3">
        <v>2781.7280000000001</v>
      </c>
      <c r="M47" t="s">
        <v>11</v>
      </c>
    </row>
    <row r="48" spans="1:13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 s="3">
        <v>2441.92</v>
      </c>
      <c r="G48" s="4">
        <v>0.92</v>
      </c>
      <c r="H48" s="3">
        <v>-2441.92</v>
      </c>
      <c r="I48" s="1">
        <v>45782</v>
      </c>
      <c r="J48" t="s">
        <v>15</v>
      </c>
      <c r="K48" t="s">
        <v>23</v>
      </c>
      <c r="L48" s="3">
        <v>-195.35359999999991</v>
      </c>
      <c r="M48" t="s">
        <v>2518</v>
      </c>
    </row>
    <row r="49" spans="1:13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F49" s="3">
        <v>2785.0877966101693</v>
      </c>
      <c r="G49" s="4">
        <v>0.6</v>
      </c>
      <c r="H49" s="3">
        <v>8355.2633898305085</v>
      </c>
      <c r="I49" s="1">
        <v>45820</v>
      </c>
      <c r="J49" t="s">
        <v>56</v>
      </c>
      <c r="K49" t="s">
        <v>16</v>
      </c>
      <c r="L49" s="3">
        <v>3342.1053559322036</v>
      </c>
      <c r="M49" t="s">
        <v>11</v>
      </c>
    </row>
    <row r="50" spans="1:13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F50" s="3">
        <v>2785.0877966101693</v>
      </c>
      <c r="G50" s="4">
        <v>0.41</v>
      </c>
      <c r="H50" s="3">
        <v>13925.438983050846</v>
      </c>
      <c r="I50" s="1">
        <v>45581</v>
      </c>
      <c r="J50" t="s">
        <v>15</v>
      </c>
      <c r="K50" t="s">
        <v>23</v>
      </c>
      <c r="L50" s="3">
        <v>8216.009</v>
      </c>
      <c r="M50" t="s">
        <v>11</v>
      </c>
    </row>
    <row r="51" spans="1:13" x14ac:dyDescent="0.3">
      <c r="A51">
        <v>1049</v>
      </c>
      <c r="B51" t="s">
        <v>98</v>
      </c>
      <c r="C51" t="s">
        <v>33</v>
      </c>
      <c r="D51" t="s">
        <v>82</v>
      </c>
      <c r="E51">
        <v>2</v>
      </c>
      <c r="F51" s="3">
        <v>2776.2202000000002</v>
      </c>
      <c r="G51" s="4">
        <v>0.6</v>
      </c>
      <c r="H51" s="3">
        <v>5552.4404000000004</v>
      </c>
      <c r="I51" s="1">
        <v>45782</v>
      </c>
      <c r="J51" t="s">
        <v>22</v>
      </c>
      <c r="K51" t="s">
        <v>16</v>
      </c>
      <c r="L51" s="3">
        <v>2220.9761600000002</v>
      </c>
      <c r="M51" t="s">
        <v>11</v>
      </c>
    </row>
    <row r="52" spans="1:13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 s="3">
        <v>1083.1600000000001</v>
      </c>
      <c r="G52" s="4">
        <v>0.6</v>
      </c>
      <c r="H52" s="3">
        <v>-1083.1600000000001</v>
      </c>
      <c r="I52" s="1">
        <v>45846</v>
      </c>
      <c r="J52" t="s">
        <v>46</v>
      </c>
      <c r="K52" t="s">
        <v>16</v>
      </c>
      <c r="L52" s="3">
        <v>-433.26400000000007</v>
      </c>
      <c r="M52" t="s">
        <v>2518</v>
      </c>
    </row>
    <row r="53" spans="1:13" x14ac:dyDescent="0.3">
      <c r="A53">
        <v>1051</v>
      </c>
      <c r="B53" t="s">
        <v>100</v>
      </c>
      <c r="C53" t="s">
        <v>13</v>
      </c>
      <c r="D53" t="s">
        <v>36</v>
      </c>
      <c r="E53">
        <v>2</v>
      </c>
      <c r="F53" s="3">
        <v>2882.5046551724135</v>
      </c>
      <c r="G53" s="4">
        <v>0.56999999999999995</v>
      </c>
      <c r="H53" s="3">
        <v>5765.0093103448271</v>
      </c>
      <c r="I53" s="1">
        <v>45773</v>
      </c>
      <c r="J53" t="s">
        <v>15</v>
      </c>
      <c r="K53" t="s">
        <v>16</v>
      </c>
      <c r="L53" s="3">
        <v>2478.9540034482761</v>
      </c>
      <c r="M53" t="s">
        <v>11</v>
      </c>
    </row>
    <row r="54" spans="1:13" x14ac:dyDescent="0.3">
      <c r="A54">
        <v>1052</v>
      </c>
      <c r="B54" t="s">
        <v>101</v>
      </c>
      <c r="C54" t="s">
        <v>13</v>
      </c>
      <c r="D54" t="s">
        <v>102</v>
      </c>
      <c r="E54">
        <v>2</v>
      </c>
      <c r="F54" s="3">
        <v>3252.49</v>
      </c>
      <c r="G54" s="4">
        <v>0.56000000000000005</v>
      </c>
      <c r="H54" s="3">
        <v>6504.98</v>
      </c>
      <c r="I54" s="1">
        <v>45268</v>
      </c>
      <c r="J54" t="s">
        <v>40</v>
      </c>
      <c r="K54" t="s">
        <v>23</v>
      </c>
      <c r="L54" s="3">
        <v>2862.1911999999993</v>
      </c>
      <c r="M54" t="s">
        <v>11</v>
      </c>
    </row>
    <row r="55" spans="1:13" x14ac:dyDescent="0.3">
      <c r="A55">
        <v>1053</v>
      </c>
      <c r="B55" t="s">
        <v>103</v>
      </c>
      <c r="C55" t="s">
        <v>38</v>
      </c>
      <c r="D55" t="s">
        <v>59</v>
      </c>
      <c r="E55">
        <v>2</v>
      </c>
      <c r="F55" s="3">
        <v>714.23</v>
      </c>
      <c r="G55" s="4">
        <v>1.29</v>
      </c>
      <c r="H55" s="3">
        <v>1428.46</v>
      </c>
      <c r="I55" s="1">
        <v>45859</v>
      </c>
      <c r="J55" t="s">
        <v>15</v>
      </c>
      <c r="K55" t="s">
        <v>23</v>
      </c>
      <c r="L55" s="3">
        <v>-414.25340000000006</v>
      </c>
      <c r="M55" t="s">
        <v>2518</v>
      </c>
    </row>
    <row r="56" spans="1:13" x14ac:dyDescent="0.3">
      <c r="A56">
        <v>1054</v>
      </c>
      <c r="B56" t="s">
        <v>104</v>
      </c>
      <c r="C56" t="s">
        <v>33</v>
      </c>
      <c r="D56" t="s">
        <v>72</v>
      </c>
      <c r="E56">
        <v>2</v>
      </c>
      <c r="F56" s="3">
        <v>2715.5458490566025</v>
      </c>
      <c r="G56" s="4">
        <v>0.6</v>
      </c>
      <c r="H56" s="3">
        <v>5431.091698113205</v>
      </c>
      <c r="I56" s="1">
        <v>45700</v>
      </c>
      <c r="J56" t="s">
        <v>46</v>
      </c>
      <c r="K56" t="s">
        <v>23</v>
      </c>
      <c r="L56" s="3">
        <v>2172.436679245282</v>
      </c>
      <c r="M56" t="s">
        <v>11</v>
      </c>
    </row>
    <row r="57" spans="1:13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F57" s="3">
        <v>2882.5046551724135</v>
      </c>
      <c r="G57" s="4">
        <v>0.6</v>
      </c>
      <c r="H57" s="3">
        <v>0</v>
      </c>
      <c r="I57" s="1">
        <v>45353</v>
      </c>
      <c r="J57" t="s">
        <v>46</v>
      </c>
      <c r="K57" t="s">
        <v>23</v>
      </c>
      <c r="L57" s="3">
        <v>0</v>
      </c>
      <c r="M57" t="s">
        <v>2518</v>
      </c>
    </row>
    <row r="58" spans="1:13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F58" s="3">
        <v>2559.6667307692314</v>
      </c>
      <c r="G58" s="4">
        <v>0.6</v>
      </c>
      <c r="H58" s="3">
        <v>15358.000384615389</v>
      </c>
      <c r="I58" s="1">
        <v>45849</v>
      </c>
      <c r="J58" t="s">
        <v>22</v>
      </c>
      <c r="K58" t="s">
        <v>16</v>
      </c>
      <c r="L58" s="3">
        <v>6143.2001538461554</v>
      </c>
      <c r="M58" t="s">
        <v>11</v>
      </c>
    </row>
    <row r="59" spans="1:13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F59" s="3">
        <v>2681.1743636363635</v>
      </c>
      <c r="G59" s="4">
        <v>0.04</v>
      </c>
      <c r="H59" s="3">
        <v>10724.697454545454</v>
      </c>
      <c r="I59" s="1">
        <v>45649</v>
      </c>
      <c r="J59" t="s">
        <v>46</v>
      </c>
      <c r="K59" t="s">
        <v>23</v>
      </c>
      <c r="L59" s="3">
        <v>10295.709556363636</v>
      </c>
      <c r="M59" t="s">
        <v>11</v>
      </c>
    </row>
    <row r="60" spans="1:13" x14ac:dyDescent="0.3">
      <c r="A60">
        <v>1058</v>
      </c>
      <c r="B60" t="s">
        <v>108</v>
      </c>
      <c r="C60" t="s">
        <v>33</v>
      </c>
      <c r="D60" t="s">
        <v>44</v>
      </c>
      <c r="E60">
        <v>2</v>
      </c>
      <c r="F60" s="3">
        <v>3982.53</v>
      </c>
      <c r="G60" s="4">
        <v>1.08</v>
      </c>
      <c r="H60" s="3">
        <v>7965.06</v>
      </c>
      <c r="I60" s="1">
        <v>45518</v>
      </c>
      <c r="J60" t="s">
        <v>46</v>
      </c>
      <c r="K60" t="s">
        <v>16</v>
      </c>
      <c r="L60" s="3">
        <v>-637.20480000000055</v>
      </c>
      <c r="M60" t="s">
        <v>2518</v>
      </c>
    </row>
    <row r="61" spans="1:13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 s="3">
        <v>2927.57</v>
      </c>
      <c r="G61" s="4">
        <v>0.19</v>
      </c>
      <c r="H61" s="3">
        <v>0</v>
      </c>
      <c r="I61" s="1">
        <v>45782</v>
      </c>
      <c r="J61" t="s">
        <v>15</v>
      </c>
      <c r="K61" t="s">
        <v>23</v>
      </c>
      <c r="L61" s="3">
        <v>0</v>
      </c>
      <c r="M61" t="s">
        <v>2518</v>
      </c>
    </row>
    <row r="62" spans="1:13" x14ac:dyDescent="0.3">
      <c r="A62">
        <v>1060</v>
      </c>
      <c r="B62" t="s">
        <v>110</v>
      </c>
      <c r="C62" t="s">
        <v>13</v>
      </c>
      <c r="D62" t="s">
        <v>102</v>
      </c>
      <c r="E62">
        <v>2</v>
      </c>
      <c r="F62" s="3">
        <v>2813.51</v>
      </c>
      <c r="G62" s="4">
        <v>0.6</v>
      </c>
      <c r="H62" s="3">
        <v>5627.02</v>
      </c>
      <c r="I62" s="1">
        <v>45852</v>
      </c>
      <c r="J62" t="s">
        <v>46</v>
      </c>
      <c r="K62" t="s">
        <v>23</v>
      </c>
      <c r="L62" s="3">
        <v>2250.8080000000004</v>
      </c>
      <c r="M62" t="s">
        <v>11</v>
      </c>
    </row>
    <row r="63" spans="1:13" x14ac:dyDescent="0.3">
      <c r="A63">
        <v>1061</v>
      </c>
      <c r="B63" t="s">
        <v>111</v>
      </c>
      <c r="C63" t="s">
        <v>29</v>
      </c>
      <c r="D63" t="s">
        <v>30</v>
      </c>
      <c r="E63">
        <v>2</v>
      </c>
      <c r="F63" s="3">
        <v>2291.15</v>
      </c>
      <c r="G63" s="4">
        <v>0.33</v>
      </c>
      <c r="H63" s="3">
        <v>4582.3</v>
      </c>
      <c r="I63" s="1">
        <v>45601</v>
      </c>
      <c r="J63" t="s">
        <v>22</v>
      </c>
      <c r="K63" t="s">
        <v>23</v>
      </c>
      <c r="L63" s="3">
        <v>3070.1409999999996</v>
      </c>
      <c r="M63" t="s">
        <v>11</v>
      </c>
    </row>
    <row r="64" spans="1:13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F64" s="3">
        <v>2576.3056896551716</v>
      </c>
      <c r="G64" s="4">
        <v>0.6</v>
      </c>
      <c r="H64" s="3">
        <v>-2576.3056896551716</v>
      </c>
      <c r="I64" s="1">
        <v>45782</v>
      </c>
      <c r="J64" t="s">
        <v>46</v>
      </c>
      <c r="K64" t="s">
        <v>16</v>
      </c>
      <c r="L64" s="3">
        <v>-1030.5222758620687</v>
      </c>
      <c r="M64" t="s">
        <v>2518</v>
      </c>
    </row>
    <row r="65" spans="1:13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F65" s="3">
        <v>2776.2202000000002</v>
      </c>
      <c r="G65" s="4">
        <v>0.6</v>
      </c>
      <c r="H65" s="3">
        <v>2776.2202000000002</v>
      </c>
      <c r="I65" s="1">
        <v>45836</v>
      </c>
      <c r="J65" t="s">
        <v>40</v>
      </c>
      <c r="K65" t="s">
        <v>16</v>
      </c>
      <c r="L65" s="3">
        <v>1110.4880800000001</v>
      </c>
      <c r="M65" t="s">
        <v>11</v>
      </c>
    </row>
    <row r="66" spans="1:13" x14ac:dyDescent="0.3">
      <c r="A66">
        <v>1064</v>
      </c>
      <c r="B66" t="s">
        <v>114</v>
      </c>
      <c r="C66" t="s">
        <v>20</v>
      </c>
      <c r="D66" t="s">
        <v>88</v>
      </c>
      <c r="E66">
        <v>2</v>
      </c>
      <c r="F66" s="3">
        <v>2725.8557142857148</v>
      </c>
      <c r="G66" s="4">
        <v>1.3</v>
      </c>
      <c r="H66" s="3">
        <v>5451.7114285714297</v>
      </c>
      <c r="I66" s="1">
        <v>45782</v>
      </c>
      <c r="J66" t="s">
        <v>40</v>
      </c>
      <c r="K66" t="s">
        <v>23</v>
      </c>
      <c r="L66" s="3">
        <v>-1635.5134285714291</v>
      </c>
      <c r="M66" t="s">
        <v>2518</v>
      </c>
    </row>
    <row r="67" spans="1:13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F67" s="3">
        <v>2882.5046551724135</v>
      </c>
      <c r="G67" s="4">
        <v>0.6</v>
      </c>
      <c r="H67" s="3">
        <v>14412.523275862068</v>
      </c>
      <c r="I67" s="1">
        <v>45440</v>
      </c>
      <c r="J67" t="s">
        <v>40</v>
      </c>
      <c r="K67" t="s">
        <v>23</v>
      </c>
      <c r="L67" s="3">
        <v>5765.0093103448271</v>
      </c>
      <c r="M67" t="s">
        <v>11</v>
      </c>
    </row>
    <row r="68" spans="1:13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 s="3">
        <v>3479.44</v>
      </c>
      <c r="G68" s="4">
        <v>0.6</v>
      </c>
      <c r="H68" s="3">
        <v>-6958.88</v>
      </c>
      <c r="I68" s="1">
        <v>45672</v>
      </c>
      <c r="J68" t="s">
        <v>15</v>
      </c>
      <c r="K68" t="s">
        <v>23</v>
      </c>
      <c r="L68" s="3">
        <v>-2783.5520000000001</v>
      </c>
      <c r="M68" t="s">
        <v>2518</v>
      </c>
    </row>
    <row r="69" spans="1:13" x14ac:dyDescent="0.3">
      <c r="A69">
        <v>1067</v>
      </c>
      <c r="B69" t="s">
        <v>117</v>
      </c>
      <c r="C69" t="s">
        <v>38</v>
      </c>
      <c r="D69" t="s">
        <v>39</v>
      </c>
      <c r="E69">
        <v>2</v>
      </c>
      <c r="F69" s="3">
        <v>3945.25</v>
      </c>
      <c r="G69" s="4">
        <v>0.6</v>
      </c>
      <c r="H69" s="3">
        <v>7890.5</v>
      </c>
      <c r="I69" s="1">
        <v>45838</v>
      </c>
      <c r="J69" t="s">
        <v>40</v>
      </c>
      <c r="K69" t="s">
        <v>23</v>
      </c>
      <c r="L69" s="3">
        <v>3156.2000000000003</v>
      </c>
      <c r="M69" t="s">
        <v>11</v>
      </c>
    </row>
    <row r="70" spans="1:13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 s="3">
        <v>2765.26</v>
      </c>
      <c r="G70" s="4">
        <v>0.6</v>
      </c>
      <c r="H70" s="3">
        <v>11061.04</v>
      </c>
      <c r="I70" s="1">
        <v>45782</v>
      </c>
      <c r="J70" t="s">
        <v>18</v>
      </c>
      <c r="K70" t="s">
        <v>16</v>
      </c>
      <c r="L70" s="3">
        <v>4424.4160000000002</v>
      </c>
      <c r="M70" t="s">
        <v>11</v>
      </c>
    </row>
    <row r="71" spans="1:13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 s="3">
        <v>2102.02</v>
      </c>
      <c r="G71" s="4">
        <v>1.1299999999999999</v>
      </c>
      <c r="H71" s="3">
        <v>4204.04</v>
      </c>
      <c r="I71" s="1">
        <v>45362</v>
      </c>
      <c r="J71" t="s">
        <v>15</v>
      </c>
      <c r="K71" t="s">
        <v>23</v>
      </c>
      <c r="L71" s="3">
        <v>-546.52519999999959</v>
      </c>
      <c r="M71" t="s">
        <v>2518</v>
      </c>
    </row>
    <row r="72" spans="1:13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F72" s="3">
        <v>2700.1263043478252</v>
      </c>
      <c r="G72" s="4">
        <v>0.6</v>
      </c>
      <c r="H72" s="3">
        <v>13500.631521739126</v>
      </c>
      <c r="I72" s="1">
        <v>45753</v>
      </c>
      <c r="J72" t="s">
        <v>56</v>
      </c>
      <c r="K72" t="s">
        <v>23</v>
      </c>
      <c r="L72" s="3">
        <v>5400.2526086956505</v>
      </c>
      <c r="M72" t="s">
        <v>11</v>
      </c>
    </row>
    <row r="73" spans="1:13" x14ac:dyDescent="0.3">
      <c r="A73">
        <v>1071</v>
      </c>
      <c r="B73" t="s">
        <v>123</v>
      </c>
      <c r="C73" t="s">
        <v>29</v>
      </c>
      <c r="D73" t="s">
        <v>42</v>
      </c>
      <c r="E73">
        <v>2</v>
      </c>
      <c r="F73" s="3">
        <v>1000.76</v>
      </c>
      <c r="G73" s="4">
        <v>0.6</v>
      </c>
      <c r="H73" s="3">
        <v>2001.52</v>
      </c>
      <c r="I73" s="1">
        <v>45782</v>
      </c>
      <c r="J73" t="s">
        <v>15</v>
      </c>
      <c r="K73" t="s">
        <v>23</v>
      </c>
      <c r="L73" s="3">
        <v>800.60800000000006</v>
      </c>
      <c r="M73" t="s">
        <v>11</v>
      </c>
    </row>
    <row r="74" spans="1:13" x14ac:dyDescent="0.3">
      <c r="A74">
        <v>1072</v>
      </c>
      <c r="B74" t="s">
        <v>124</v>
      </c>
      <c r="C74" t="s">
        <v>38</v>
      </c>
      <c r="D74" t="s">
        <v>59</v>
      </c>
      <c r="E74">
        <v>2</v>
      </c>
      <c r="F74" s="3">
        <v>2804.2651923076919</v>
      </c>
      <c r="G74" s="4">
        <v>0.6</v>
      </c>
      <c r="H74" s="3">
        <v>5608.5303846153838</v>
      </c>
      <c r="I74" s="1">
        <v>45782</v>
      </c>
      <c r="J74" t="s">
        <v>40</v>
      </c>
      <c r="K74" t="s">
        <v>16</v>
      </c>
      <c r="L74" s="3">
        <v>2243.4121538461536</v>
      </c>
      <c r="M74" t="s">
        <v>11</v>
      </c>
    </row>
    <row r="75" spans="1:13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F75" s="3">
        <v>2785.0877966101693</v>
      </c>
      <c r="G75" s="4">
        <v>0.18</v>
      </c>
      <c r="H75" s="3">
        <v>-5570.1755932203387</v>
      </c>
      <c r="I75" s="1">
        <v>45782</v>
      </c>
      <c r="J75" t="s">
        <v>46</v>
      </c>
      <c r="K75" t="s">
        <v>23</v>
      </c>
      <c r="L75" s="3">
        <v>-4567.5439864406781</v>
      </c>
      <c r="M75" t="s">
        <v>2518</v>
      </c>
    </row>
    <row r="76" spans="1:13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F76" s="3">
        <v>3008.3844444444444</v>
      </c>
      <c r="G76" s="4">
        <v>1.06</v>
      </c>
      <c r="H76" s="3">
        <v>-6016.7688888888888</v>
      </c>
      <c r="I76" s="1">
        <v>45682</v>
      </c>
      <c r="J76" t="s">
        <v>56</v>
      </c>
      <c r="K76" t="s">
        <v>23</v>
      </c>
      <c r="L76" s="3">
        <v>361.00613333333365</v>
      </c>
      <c r="M76" t="s">
        <v>2518</v>
      </c>
    </row>
    <row r="77" spans="1:13" x14ac:dyDescent="0.3">
      <c r="A77">
        <v>1075</v>
      </c>
      <c r="B77" t="s">
        <v>127</v>
      </c>
      <c r="C77" t="s">
        <v>33</v>
      </c>
      <c r="D77" t="s">
        <v>34</v>
      </c>
      <c r="E77">
        <v>2</v>
      </c>
      <c r="F77" s="3">
        <v>795.85</v>
      </c>
      <c r="G77" s="4">
        <v>0.6</v>
      </c>
      <c r="H77" s="3">
        <v>1591.7</v>
      </c>
      <c r="I77" s="1">
        <v>45782</v>
      </c>
      <c r="J77" t="s">
        <v>46</v>
      </c>
      <c r="K77" t="s">
        <v>23</v>
      </c>
      <c r="L77" s="3">
        <v>636.68000000000006</v>
      </c>
      <c r="M77" t="s">
        <v>11</v>
      </c>
    </row>
    <row r="78" spans="1:13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F78" s="3">
        <v>2841.7630612244907</v>
      </c>
      <c r="G78" s="4">
        <v>0.6</v>
      </c>
      <c r="H78" s="3">
        <v>5683.5261224489814</v>
      </c>
      <c r="I78" s="1">
        <v>45664</v>
      </c>
      <c r="J78" t="s">
        <v>40</v>
      </c>
      <c r="K78" t="s">
        <v>23</v>
      </c>
      <c r="L78" s="3">
        <v>2273.4104489795927</v>
      </c>
      <c r="M78" t="s">
        <v>11</v>
      </c>
    </row>
    <row r="79" spans="1:13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F79" s="3">
        <v>2841.7630612244907</v>
      </c>
      <c r="G79" s="4">
        <v>0.6</v>
      </c>
      <c r="H79" s="3">
        <v>5683.5261224489814</v>
      </c>
      <c r="I79" s="1">
        <v>45555</v>
      </c>
      <c r="J79" t="s">
        <v>56</v>
      </c>
      <c r="K79" t="s">
        <v>23</v>
      </c>
      <c r="L79" s="3">
        <v>2273.4104489795927</v>
      </c>
      <c r="M79" t="s">
        <v>11</v>
      </c>
    </row>
    <row r="80" spans="1:13" x14ac:dyDescent="0.3">
      <c r="A80">
        <v>1078</v>
      </c>
      <c r="B80" t="s">
        <v>130</v>
      </c>
      <c r="C80" t="s">
        <v>20</v>
      </c>
      <c r="D80" t="s">
        <v>122</v>
      </c>
      <c r="E80">
        <v>2</v>
      </c>
      <c r="F80" s="3">
        <v>4059.56</v>
      </c>
      <c r="G80" s="4">
        <v>0.6</v>
      </c>
      <c r="H80" s="3">
        <v>8119.12</v>
      </c>
      <c r="I80" s="1">
        <v>45701</v>
      </c>
      <c r="J80" t="s">
        <v>46</v>
      </c>
      <c r="K80" t="s">
        <v>16</v>
      </c>
      <c r="L80" s="3">
        <v>3247.6480000000001</v>
      </c>
      <c r="M80" t="s">
        <v>11</v>
      </c>
    </row>
    <row r="81" spans="1:13" x14ac:dyDescent="0.3">
      <c r="A81">
        <v>1079</v>
      </c>
      <c r="B81" t="s">
        <v>131</v>
      </c>
      <c r="C81" t="s">
        <v>33</v>
      </c>
      <c r="D81" t="s">
        <v>72</v>
      </c>
      <c r="E81">
        <v>2</v>
      </c>
      <c r="F81" s="3">
        <v>2715.5458490566025</v>
      </c>
      <c r="G81" s="4">
        <v>0.6</v>
      </c>
      <c r="H81" s="3">
        <v>5431.091698113205</v>
      </c>
      <c r="I81" s="1">
        <v>45782</v>
      </c>
      <c r="J81" t="s">
        <v>56</v>
      </c>
      <c r="K81" t="s">
        <v>23</v>
      </c>
      <c r="L81" s="3">
        <v>2172.436679245282</v>
      </c>
      <c r="M81" t="s">
        <v>11</v>
      </c>
    </row>
    <row r="82" spans="1:13" x14ac:dyDescent="0.3">
      <c r="A82">
        <v>1080</v>
      </c>
      <c r="B82" t="s">
        <v>132</v>
      </c>
      <c r="C82" t="s">
        <v>33</v>
      </c>
      <c r="D82" t="s">
        <v>34</v>
      </c>
      <c r="E82">
        <v>2</v>
      </c>
      <c r="F82" s="3">
        <v>3872.22</v>
      </c>
      <c r="G82" s="4">
        <v>1.1499999999999999</v>
      </c>
      <c r="H82" s="3">
        <v>7744.44</v>
      </c>
      <c r="I82" s="1">
        <v>45782</v>
      </c>
      <c r="J82" t="s">
        <v>22</v>
      </c>
      <c r="K82" t="s">
        <v>16</v>
      </c>
      <c r="L82" s="3">
        <v>-1161.6659999999993</v>
      </c>
      <c r="M82" t="s">
        <v>2518</v>
      </c>
    </row>
    <row r="83" spans="1:13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 s="3">
        <v>4798.0600000000004</v>
      </c>
      <c r="G83" s="4">
        <v>0.81</v>
      </c>
      <c r="H83" s="3">
        <v>28788.36</v>
      </c>
      <c r="I83" s="1">
        <v>45782</v>
      </c>
      <c r="J83" t="s">
        <v>56</v>
      </c>
      <c r="K83" t="s">
        <v>23</v>
      </c>
      <c r="L83" s="3">
        <v>5469.7883999999985</v>
      </c>
      <c r="M83" t="s">
        <v>11</v>
      </c>
    </row>
    <row r="84" spans="1:13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F84" s="3">
        <v>2868.7768181818178</v>
      </c>
      <c r="G84" s="4">
        <v>0.6</v>
      </c>
      <c r="H84" s="3">
        <v>0</v>
      </c>
      <c r="I84" s="1">
        <v>45782</v>
      </c>
      <c r="J84" t="s">
        <v>40</v>
      </c>
      <c r="K84" t="s">
        <v>23</v>
      </c>
      <c r="L84" s="3">
        <v>0</v>
      </c>
      <c r="M84" t="s">
        <v>2518</v>
      </c>
    </row>
    <row r="85" spans="1:13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F85" s="3">
        <v>2483.5844000000002</v>
      </c>
      <c r="G85" s="4">
        <v>1.28</v>
      </c>
      <c r="H85" s="3">
        <v>2483.5844000000002</v>
      </c>
      <c r="I85" s="1">
        <v>45782</v>
      </c>
      <c r="J85" t="s">
        <v>46</v>
      </c>
      <c r="K85" t="s">
        <v>23</v>
      </c>
      <c r="L85" s="3">
        <v>-695.40363200000013</v>
      </c>
      <c r="M85" t="s">
        <v>2518</v>
      </c>
    </row>
    <row r="86" spans="1:13" x14ac:dyDescent="0.3">
      <c r="A86">
        <v>1084</v>
      </c>
      <c r="B86" t="s">
        <v>136</v>
      </c>
      <c r="C86" t="s">
        <v>25</v>
      </c>
      <c r="D86" t="s">
        <v>26</v>
      </c>
      <c r="E86">
        <v>2</v>
      </c>
      <c r="F86" s="3">
        <v>2888.8714285714286</v>
      </c>
      <c r="G86" s="4">
        <v>0.53</v>
      </c>
      <c r="H86" s="3">
        <v>5777.7428571428572</v>
      </c>
      <c r="I86" s="1">
        <v>45650</v>
      </c>
      <c r="J86" t="s">
        <v>46</v>
      </c>
      <c r="K86" t="s">
        <v>23</v>
      </c>
      <c r="L86" s="3">
        <v>2715.5391428571429</v>
      </c>
      <c r="M86" t="s">
        <v>11</v>
      </c>
    </row>
    <row r="87" spans="1:13" x14ac:dyDescent="0.3">
      <c r="A87">
        <v>1085</v>
      </c>
      <c r="B87" t="s">
        <v>137</v>
      </c>
      <c r="C87" t="s">
        <v>25</v>
      </c>
      <c r="D87" t="s">
        <v>66</v>
      </c>
      <c r="E87">
        <v>2</v>
      </c>
      <c r="F87" s="3">
        <v>2572.7764000000006</v>
      </c>
      <c r="G87" s="4">
        <v>0.02</v>
      </c>
      <c r="H87" s="3">
        <v>5145.5528000000013</v>
      </c>
      <c r="I87" s="1">
        <v>45217</v>
      </c>
      <c r="J87" t="s">
        <v>46</v>
      </c>
      <c r="K87" t="s">
        <v>23</v>
      </c>
      <c r="L87" s="3">
        <v>5042.6417440000014</v>
      </c>
      <c r="M87" t="s">
        <v>11</v>
      </c>
    </row>
    <row r="88" spans="1:13" x14ac:dyDescent="0.3">
      <c r="A88">
        <v>1086</v>
      </c>
      <c r="B88" t="s">
        <v>138</v>
      </c>
      <c r="C88" t="s">
        <v>29</v>
      </c>
      <c r="D88" t="s">
        <v>42</v>
      </c>
      <c r="E88">
        <v>2</v>
      </c>
      <c r="F88" s="3">
        <v>948.33</v>
      </c>
      <c r="G88" s="4">
        <v>0.46</v>
      </c>
      <c r="H88" s="3">
        <v>1896.66</v>
      </c>
      <c r="I88" s="1">
        <v>45732</v>
      </c>
      <c r="J88" t="s">
        <v>40</v>
      </c>
      <c r="K88" t="s">
        <v>16</v>
      </c>
      <c r="L88" s="3">
        <v>1024.1964</v>
      </c>
      <c r="M88" t="s">
        <v>11</v>
      </c>
    </row>
    <row r="89" spans="1:13" x14ac:dyDescent="0.3">
      <c r="A89">
        <v>1087</v>
      </c>
      <c r="B89" t="s">
        <v>139</v>
      </c>
      <c r="C89" t="s">
        <v>13</v>
      </c>
      <c r="D89" t="s">
        <v>102</v>
      </c>
      <c r="E89">
        <v>2</v>
      </c>
      <c r="F89" s="3">
        <v>1976.75</v>
      </c>
      <c r="G89" s="4">
        <v>0.81</v>
      </c>
      <c r="H89" s="3">
        <v>3953.5</v>
      </c>
      <c r="I89" s="1">
        <v>45846</v>
      </c>
      <c r="J89" t="s">
        <v>22</v>
      </c>
      <c r="K89" t="s">
        <v>16</v>
      </c>
      <c r="L89" s="3">
        <v>751.16499999999974</v>
      </c>
      <c r="M89" t="s">
        <v>11</v>
      </c>
    </row>
    <row r="90" spans="1:13" x14ac:dyDescent="0.3">
      <c r="A90">
        <v>1088</v>
      </c>
      <c r="B90" t="s">
        <v>140</v>
      </c>
      <c r="C90" t="s">
        <v>29</v>
      </c>
      <c r="D90" t="s">
        <v>141</v>
      </c>
      <c r="E90">
        <v>2</v>
      </c>
      <c r="F90" s="3">
        <v>3891.14</v>
      </c>
      <c r="G90" s="4">
        <v>0.6</v>
      </c>
      <c r="H90" s="3">
        <v>7782.28</v>
      </c>
      <c r="I90" s="1">
        <v>45785</v>
      </c>
      <c r="J90" t="s">
        <v>46</v>
      </c>
      <c r="K90" t="s">
        <v>16</v>
      </c>
      <c r="L90" s="3">
        <v>3112.9120000000003</v>
      </c>
      <c r="M90" t="s">
        <v>11</v>
      </c>
    </row>
    <row r="91" spans="1:13" x14ac:dyDescent="0.3">
      <c r="A91">
        <v>1089</v>
      </c>
      <c r="B91" t="s">
        <v>142</v>
      </c>
      <c r="C91" t="s">
        <v>25</v>
      </c>
      <c r="D91" t="s">
        <v>66</v>
      </c>
      <c r="E91">
        <v>2</v>
      </c>
      <c r="F91" s="3">
        <v>1412.17</v>
      </c>
      <c r="G91" s="4">
        <v>0.88</v>
      </c>
      <c r="H91" s="3">
        <v>2824.34</v>
      </c>
      <c r="I91" s="1">
        <v>45710</v>
      </c>
      <c r="J91" t="s">
        <v>22</v>
      </c>
      <c r="K91" t="s">
        <v>23</v>
      </c>
      <c r="L91" s="3">
        <v>338.92079999999999</v>
      </c>
      <c r="M91" t="s">
        <v>2518</v>
      </c>
    </row>
    <row r="92" spans="1:13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 s="3">
        <v>2477.8200000000002</v>
      </c>
      <c r="G92" s="4">
        <v>0.6</v>
      </c>
      <c r="H92" s="3">
        <v>12389.1</v>
      </c>
      <c r="I92" s="1">
        <v>45605</v>
      </c>
      <c r="J92" t="s">
        <v>18</v>
      </c>
      <c r="K92" t="s">
        <v>16</v>
      </c>
      <c r="L92" s="3">
        <v>4955.6400000000003</v>
      </c>
      <c r="M92" t="s">
        <v>11</v>
      </c>
    </row>
    <row r="93" spans="1:13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F93" s="3">
        <v>2617.6390384615388</v>
      </c>
      <c r="G93" s="4">
        <v>0.6</v>
      </c>
      <c r="H93" s="3">
        <v>2617.6390384615388</v>
      </c>
      <c r="I93" s="1">
        <v>45135</v>
      </c>
      <c r="J93" t="s">
        <v>15</v>
      </c>
      <c r="K93" t="s">
        <v>23</v>
      </c>
      <c r="L93" s="3">
        <v>1047.0556153846155</v>
      </c>
      <c r="M93" t="s">
        <v>11</v>
      </c>
    </row>
    <row r="94" spans="1:13" x14ac:dyDescent="0.3">
      <c r="A94">
        <v>1092</v>
      </c>
      <c r="B94" t="s">
        <v>145</v>
      </c>
      <c r="C94" t="s">
        <v>38</v>
      </c>
      <c r="D94" t="s">
        <v>91</v>
      </c>
      <c r="E94">
        <v>2</v>
      </c>
      <c r="F94" s="3">
        <v>2868.7768181818178</v>
      </c>
      <c r="G94" s="4">
        <v>0.6</v>
      </c>
      <c r="H94" s="3">
        <v>5737.5536363636356</v>
      </c>
      <c r="I94" s="1">
        <v>45782</v>
      </c>
      <c r="J94" t="s">
        <v>46</v>
      </c>
      <c r="K94" t="s">
        <v>23</v>
      </c>
      <c r="L94" s="3">
        <v>2295.0214545454542</v>
      </c>
      <c r="M94" t="s">
        <v>11</v>
      </c>
    </row>
    <row r="95" spans="1:13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F95" s="3">
        <v>2868.7768181818178</v>
      </c>
      <c r="G95" s="4">
        <v>0.6</v>
      </c>
      <c r="H95" s="3">
        <v>-5737.5536363636356</v>
      </c>
      <c r="I95" s="1">
        <v>45629</v>
      </c>
      <c r="J95" t="s">
        <v>40</v>
      </c>
      <c r="K95" t="s">
        <v>23</v>
      </c>
      <c r="L95" s="3">
        <v>-2295.0214545454542</v>
      </c>
      <c r="M95" t="s">
        <v>2518</v>
      </c>
    </row>
    <row r="96" spans="1:13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 s="3">
        <v>4741.41</v>
      </c>
      <c r="G96" s="4">
        <v>0.6</v>
      </c>
      <c r="H96" s="3">
        <v>-4741.41</v>
      </c>
      <c r="I96" s="1">
        <v>45782</v>
      </c>
      <c r="J96" t="s">
        <v>22</v>
      </c>
      <c r="K96" t="s">
        <v>16</v>
      </c>
      <c r="L96" s="3">
        <v>-1896.5640000000001</v>
      </c>
      <c r="M96" t="s">
        <v>2518</v>
      </c>
    </row>
    <row r="97" spans="1:13" x14ac:dyDescent="0.3">
      <c r="A97">
        <v>1035</v>
      </c>
      <c r="B97" t="s">
        <v>148</v>
      </c>
      <c r="C97" t="s">
        <v>29</v>
      </c>
      <c r="D97" t="s">
        <v>30</v>
      </c>
      <c r="E97">
        <v>2</v>
      </c>
      <c r="F97" s="3">
        <v>2617.6390384615388</v>
      </c>
      <c r="G97" s="4">
        <v>0.6</v>
      </c>
      <c r="H97" s="3">
        <v>5235.2780769230776</v>
      </c>
      <c r="I97" s="1">
        <v>45661</v>
      </c>
      <c r="J97" t="s">
        <v>22</v>
      </c>
      <c r="K97" t="s">
        <v>16</v>
      </c>
      <c r="L97" s="3">
        <v>2094.111230769231</v>
      </c>
      <c r="M97" t="s">
        <v>11</v>
      </c>
    </row>
    <row r="98" spans="1:13" x14ac:dyDescent="0.3">
      <c r="A98">
        <v>1033</v>
      </c>
      <c r="B98" t="s">
        <v>149</v>
      </c>
      <c r="C98" t="s">
        <v>29</v>
      </c>
      <c r="D98" t="s">
        <v>30</v>
      </c>
      <c r="E98">
        <v>2</v>
      </c>
      <c r="F98" s="3">
        <v>421.92</v>
      </c>
      <c r="G98" s="4">
        <v>0.6</v>
      </c>
      <c r="H98" s="3">
        <v>843.84</v>
      </c>
      <c r="I98" s="1">
        <v>45782</v>
      </c>
      <c r="J98" t="s">
        <v>56</v>
      </c>
      <c r="K98" t="s">
        <v>23</v>
      </c>
      <c r="L98" s="3">
        <v>337.53600000000006</v>
      </c>
      <c r="M98" t="s">
        <v>2518</v>
      </c>
    </row>
    <row r="99" spans="1:13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F99" s="3">
        <v>2559.6667307692314</v>
      </c>
      <c r="G99" s="4">
        <v>0.6</v>
      </c>
      <c r="H99" s="3">
        <v>0</v>
      </c>
      <c r="I99" s="1">
        <v>45675</v>
      </c>
      <c r="J99" t="s">
        <v>22</v>
      </c>
      <c r="K99" t="s">
        <v>23</v>
      </c>
      <c r="L99" s="3">
        <v>0</v>
      </c>
      <c r="M99" t="s">
        <v>2518</v>
      </c>
    </row>
    <row r="100" spans="1:13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 s="3">
        <v>4752.04</v>
      </c>
      <c r="G100" s="4">
        <v>0.6</v>
      </c>
      <c r="H100" s="3">
        <v>0</v>
      </c>
      <c r="I100" s="1">
        <v>45543</v>
      </c>
      <c r="J100" t="s">
        <v>18</v>
      </c>
      <c r="K100" t="s">
        <v>16</v>
      </c>
      <c r="L100" s="3">
        <v>0</v>
      </c>
      <c r="M100" t="s">
        <v>2518</v>
      </c>
    </row>
    <row r="101" spans="1:13" x14ac:dyDescent="0.3">
      <c r="A101">
        <v>1099</v>
      </c>
      <c r="B101" t="s">
        <v>152</v>
      </c>
      <c r="C101" t="s">
        <v>25</v>
      </c>
      <c r="D101" t="s">
        <v>26</v>
      </c>
      <c r="E101">
        <v>2</v>
      </c>
      <c r="F101" s="3">
        <v>2888.8714285714286</v>
      </c>
      <c r="G101" s="4">
        <v>0.6</v>
      </c>
      <c r="H101" s="3">
        <v>5777.7428571428572</v>
      </c>
      <c r="I101" s="1">
        <v>45344</v>
      </c>
      <c r="J101" t="s">
        <v>46</v>
      </c>
      <c r="K101" t="s">
        <v>23</v>
      </c>
      <c r="L101" s="3">
        <v>2311.0971428571429</v>
      </c>
      <c r="M101" t="s">
        <v>11</v>
      </c>
    </row>
    <row r="102" spans="1:13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 s="3">
        <v>2011.73</v>
      </c>
      <c r="G102" s="4">
        <v>0.6</v>
      </c>
      <c r="H102" s="3">
        <v>4023.46</v>
      </c>
      <c r="I102" s="1">
        <v>45656</v>
      </c>
      <c r="J102" t="s">
        <v>56</v>
      </c>
      <c r="K102" t="s">
        <v>16</v>
      </c>
      <c r="L102" s="3">
        <v>1609.384</v>
      </c>
      <c r="M102" t="s">
        <v>11</v>
      </c>
    </row>
    <row r="103" spans="1:13" x14ac:dyDescent="0.3">
      <c r="A103">
        <v>1101</v>
      </c>
      <c r="B103" t="s">
        <v>154</v>
      </c>
      <c r="C103" t="s">
        <v>13</v>
      </c>
      <c r="D103" t="s">
        <v>36</v>
      </c>
      <c r="E103">
        <v>2</v>
      </c>
      <c r="F103" s="3">
        <v>2882.5046551724135</v>
      </c>
      <c r="G103" s="4">
        <v>0.22</v>
      </c>
      <c r="H103" s="3">
        <v>5765.0093103448271</v>
      </c>
      <c r="I103" s="1">
        <v>45720</v>
      </c>
      <c r="J103" t="s">
        <v>46</v>
      </c>
      <c r="K103" t="s">
        <v>16</v>
      </c>
      <c r="L103" s="3">
        <v>4496.7072620689651</v>
      </c>
      <c r="M103" t="s">
        <v>11</v>
      </c>
    </row>
    <row r="104" spans="1:13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F104" s="3">
        <v>2882.5046551724135</v>
      </c>
      <c r="G104" s="4">
        <v>0.6</v>
      </c>
      <c r="H104" s="3">
        <v>14412.523275862068</v>
      </c>
      <c r="I104" s="1">
        <v>45762</v>
      </c>
      <c r="J104" t="s">
        <v>56</v>
      </c>
      <c r="K104" t="s">
        <v>23</v>
      </c>
      <c r="L104" s="3">
        <v>5765.0093103448271</v>
      </c>
      <c r="M104" t="s">
        <v>11</v>
      </c>
    </row>
    <row r="105" spans="1:13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 s="3">
        <v>1521.46</v>
      </c>
      <c r="G105" s="4">
        <v>0.6</v>
      </c>
      <c r="H105" s="3">
        <v>7607.3</v>
      </c>
      <c r="I105" s="1">
        <v>45819</v>
      </c>
      <c r="J105" t="s">
        <v>40</v>
      </c>
      <c r="K105" t="s">
        <v>23</v>
      </c>
      <c r="L105" s="3">
        <v>3042.92</v>
      </c>
      <c r="M105" t="s">
        <v>11</v>
      </c>
    </row>
    <row r="106" spans="1:13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 s="3">
        <v>2752.71</v>
      </c>
      <c r="G106" s="4">
        <v>0.6</v>
      </c>
      <c r="H106" s="3">
        <v>8258.130000000001</v>
      </c>
      <c r="I106" s="1">
        <v>45454</v>
      </c>
      <c r="J106" t="s">
        <v>18</v>
      </c>
      <c r="K106" t="s">
        <v>23</v>
      </c>
      <c r="L106" s="3">
        <v>3303.2520000000004</v>
      </c>
      <c r="M106" t="s">
        <v>11</v>
      </c>
    </row>
    <row r="107" spans="1:13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F107" s="3">
        <v>2804.2651923076919</v>
      </c>
      <c r="G107" s="4">
        <v>0.6</v>
      </c>
      <c r="H107" s="3">
        <v>-5608.5303846153838</v>
      </c>
      <c r="I107" s="1">
        <v>45782</v>
      </c>
      <c r="J107" t="s">
        <v>18</v>
      </c>
      <c r="K107" t="s">
        <v>23</v>
      </c>
      <c r="L107" s="3">
        <v>-2243.4121538461536</v>
      </c>
      <c r="M107" t="s">
        <v>2518</v>
      </c>
    </row>
    <row r="108" spans="1:13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F108" s="3">
        <v>2882.5046551724135</v>
      </c>
      <c r="G108" s="4">
        <v>0.6</v>
      </c>
      <c r="H108" s="3">
        <v>8647.5139655172406</v>
      </c>
      <c r="I108" s="1">
        <v>45748</v>
      </c>
      <c r="J108" t="s">
        <v>46</v>
      </c>
      <c r="K108" t="s">
        <v>16</v>
      </c>
      <c r="L108" s="3">
        <v>3459.0055862068966</v>
      </c>
      <c r="M108" t="s">
        <v>11</v>
      </c>
    </row>
    <row r="109" spans="1:13" x14ac:dyDescent="0.3">
      <c r="A109">
        <v>1107</v>
      </c>
      <c r="B109" t="s">
        <v>160</v>
      </c>
      <c r="C109" t="s">
        <v>13</v>
      </c>
      <c r="D109" t="s">
        <v>49</v>
      </c>
      <c r="E109">
        <v>2</v>
      </c>
      <c r="F109" s="3">
        <v>4948</v>
      </c>
      <c r="G109" s="4">
        <v>0.6</v>
      </c>
      <c r="H109" s="3">
        <v>9896</v>
      </c>
      <c r="I109" s="1">
        <v>45782</v>
      </c>
      <c r="J109" t="s">
        <v>15</v>
      </c>
      <c r="K109" t="s">
        <v>16</v>
      </c>
      <c r="L109" s="3">
        <v>3958.4</v>
      </c>
      <c r="M109" t="s">
        <v>11</v>
      </c>
    </row>
    <row r="110" spans="1:13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 s="3">
        <v>4601.4399999999996</v>
      </c>
      <c r="G110" s="4">
        <v>0.6</v>
      </c>
      <c r="H110" s="3">
        <v>4601.4399999999996</v>
      </c>
      <c r="I110" s="1">
        <v>45642</v>
      </c>
      <c r="J110" t="s">
        <v>22</v>
      </c>
      <c r="K110" t="s">
        <v>16</v>
      </c>
      <c r="L110" s="3">
        <v>1840.576</v>
      </c>
      <c r="M110" t="s">
        <v>11</v>
      </c>
    </row>
    <row r="111" spans="1:13" x14ac:dyDescent="0.3">
      <c r="A111">
        <v>1109</v>
      </c>
      <c r="B111" t="s">
        <v>162</v>
      </c>
      <c r="C111" t="s">
        <v>13</v>
      </c>
      <c r="D111" t="s">
        <v>102</v>
      </c>
      <c r="E111">
        <v>2</v>
      </c>
      <c r="F111" s="3">
        <v>2576.3056896551716</v>
      </c>
      <c r="G111" s="4">
        <v>0.6</v>
      </c>
      <c r="H111" s="3">
        <v>5152.6113793103432</v>
      </c>
      <c r="I111" s="1">
        <v>45779</v>
      </c>
      <c r="J111" t="s">
        <v>56</v>
      </c>
      <c r="K111" t="s">
        <v>16</v>
      </c>
      <c r="L111" s="3">
        <v>2061.0445517241374</v>
      </c>
      <c r="M111" t="s">
        <v>11</v>
      </c>
    </row>
    <row r="112" spans="1:13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F112" s="3">
        <v>2381.2677586206896</v>
      </c>
      <c r="G112" s="4">
        <v>0.6</v>
      </c>
      <c r="H112" s="3">
        <v>9525.0710344827585</v>
      </c>
      <c r="I112" s="1">
        <v>45834</v>
      </c>
      <c r="J112" t="s">
        <v>22</v>
      </c>
      <c r="K112" t="s">
        <v>16</v>
      </c>
      <c r="L112" s="3">
        <v>3810.0284137931035</v>
      </c>
      <c r="M112" t="s">
        <v>11</v>
      </c>
    </row>
    <row r="113" spans="1:13" x14ac:dyDescent="0.3">
      <c r="A113">
        <v>1111</v>
      </c>
      <c r="B113" t="s">
        <v>164</v>
      </c>
      <c r="C113" t="s">
        <v>33</v>
      </c>
      <c r="D113" t="s">
        <v>72</v>
      </c>
      <c r="E113">
        <v>2</v>
      </c>
      <c r="F113" s="3">
        <v>2715.5458490566025</v>
      </c>
      <c r="G113" s="4">
        <v>0.6</v>
      </c>
      <c r="H113" s="3">
        <v>5431.091698113205</v>
      </c>
      <c r="I113" s="1">
        <v>45782</v>
      </c>
      <c r="J113" t="s">
        <v>18</v>
      </c>
      <c r="K113" t="s">
        <v>16</v>
      </c>
      <c r="L113" s="3">
        <v>2172.436679245282</v>
      </c>
      <c r="M113" t="s">
        <v>11</v>
      </c>
    </row>
    <row r="114" spans="1:13" x14ac:dyDescent="0.3">
      <c r="A114">
        <v>1112</v>
      </c>
      <c r="B114" t="s">
        <v>165</v>
      </c>
      <c r="C114" t="s">
        <v>38</v>
      </c>
      <c r="D114" t="s">
        <v>39</v>
      </c>
      <c r="E114">
        <v>2</v>
      </c>
      <c r="F114" s="3">
        <v>1027.56</v>
      </c>
      <c r="G114" s="4">
        <v>0.6</v>
      </c>
      <c r="H114" s="3">
        <v>2055.12</v>
      </c>
      <c r="I114" s="1">
        <v>45782</v>
      </c>
      <c r="J114" t="s">
        <v>22</v>
      </c>
      <c r="K114" t="s">
        <v>23</v>
      </c>
      <c r="L114" s="3">
        <v>822.048</v>
      </c>
      <c r="M114" t="s">
        <v>11</v>
      </c>
    </row>
    <row r="115" spans="1:13" x14ac:dyDescent="0.3">
      <c r="A115">
        <v>1113</v>
      </c>
      <c r="B115" t="s">
        <v>166</v>
      </c>
      <c r="C115" t="s">
        <v>20</v>
      </c>
      <c r="D115" t="s">
        <v>21</v>
      </c>
      <c r="E115">
        <v>2</v>
      </c>
      <c r="F115" s="3">
        <v>3864.5</v>
      </c>
      <c r="G115" s="4">
        <v>0.6</v>
      </c>
      <c r="H115" s="3">
        <v>7729</v>
      </c>
      <c r="I115" s="1">
        <v>45782</v>
      </c>
      <c r="J115" t="s">
        <v>18</v>
      </c>
      <c r="K115" t="s">
        <v>16</v>
      </c>
      <c r="L115" s="3">
        <v>3091.6000000000004</v>
      </c>
      <c r="M115" t="s">
        <v>11</v>
      </c>
    </row>
    <row r="116" spans="1:13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 s="3">
        <v>568.61</v>
      </c>
      <c r="G116" s="4">
        <v>0.2</v>
      </c>
      <c r="H116" s="3">
        <v>3411.66</v>
      </c>
      <c r="I116" s="1">
        <v>45706</v>
      </c>
      <c r="J116" t="s">
        <v>15</v>
      </c>
      <c r="K116" t="s">
        <v>16</v>
      </c>
      <c r="L116" s="3">
        <v>2729.328</v>
      </c>
      <c r="M116" t="s">
        <v>11</v>
      </c>
    </row>
    <row r="117" spans="1:13" x14ac:dyDescent="0.3">
      <c r="A117">
        <v>1115</v>
      </c>
      <c r="B117" t="s">
        <v>168</v>
      </c>
      <c r="C117" t="s">
        <v>29</v>
      </c>
      <c r="D117" t="s">
        <v>30</v>
      </c>
      <c r="E117">
        <v>2</v>
      </c>
      <c r="F117" s="3">
        <v>2617.6390384615388</v>
      </c>
      <c r="G117" s="4">
        <v>0.6</v>
      </c>
      <c r="H117" s="3">
        <v>5235.2780769230776</v>
      </c>
      <c r="I117" s="1">
        <v>45826</v>
      </c>
      <c r="J117" t="s">
        <v>18</v>
      </c>
      <c r="K117" t="s">
        <v>23</v>
      </c>
      <c r="L117" s="3">
        <v>2094.111230769231</v>
      </c>
      <c r="M117" t="s">
        <v>11</v>
      </c>
    </row>
    <row r="118" spans="1:13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F118" s="3">
        <v>2483.5844000000002</v>
      </c>
      <c r="G118" s="4">
        <v>0.6</v>
      </c>
      <c r="H118" s="3">
        <v>2483.5844000000002</v>
      </c>
      <c r="I118" s="1">
        <v>45718</v>
      </c>
      <c r="J118" t="s">
        <v>15</v>
      </c>
      <c r="K118" t="s">
        <v>16</v>
      </c>
      <c r="L118" s="3">
        <v>993.43376000000012</v>
      </c>
      <c r="M118" t="s">
        <v>11</v>
      </c>
    </row>
    <row r="119" spans="1:13" x14ac:dyDescent="0.3">
      <c r="A119">
        <v>1117</v>
      </c>
      <c r="B119" t="s">
        <v>170</v>
      </c>
      <c r="C119" t="s">
        <v>20</v>
      </c>
      <c r="D119" t="s">
        <v>21</v>
      </c>
      <c r="E119">
        <v>2</v>
      </c>
      <c r="F119" s="3">
        <v>3567.55</v>
      </c>
      <c r="G119" s="4">
        <v>0.6</v>
      </c>
      <c r="H119" s="3">
        <v>7135.1</v>
      </c>
      <c r="I119" s="1">
        <v>45782</v>
      </c>
      <c r="J119" t="s">
        <v>40</v>
      </c>
      <c r="K119" t="s">
        <v>23</v>
      </c>
      <c r="L119" s="3">
        <v>2854.0400000000004</v>
      </c>
      <c r="M119" t="s">
        <v>11</v>
      </c>
    </row>
    <row r="120" spans="1:13" x14ac:dyDescent="0.3">
      <c r="A120">
        <v>1118</v>
      </c>
      <c r="B120" t="s">
        <v>171</v>
      </c>
      <c r="C120" t="s">
        <v>29</v>
      </c>
      <c r="D120" t="s">
        <v>30</v>
      </c>
      <c r="E120">
        <v>2</v>
      </c>
      <c r="F120" s="3">
        <v>2617.6390384615388</v>
      </c>
      <c r="G120" s="4">
        <v>0.6</v>
      </c>
      <c r="H120" s="3">
        <v>5235.2780769230776</v>
      </c>
      <c r="I120" s="1">
        <v>45778</v>
      </c>
      <c r="J120" t="s">
        <v>40</v>
      </c>
      <c r="K120" t="s">
        <v>16</v>
      </c>
      <c r="L120" s="3">
        <v>2094.111230769231</v>
      </c>
      <c r="M120" t="s">
        <v>11</v>
      </c>
    </row>
    <row r="121" spans="1:13" x14ac:dyDescent="0.3">
      <c r="A121">
        <v>1119</v>
      </c>
      <c r="B121" t="s">
        <v>172</v>
      </c>
      <c r="C121" t="s">
        <v>13</v>
      </c>
      <c r="D121" t="s">
        <v>102</v>
      </c>
      <c r="E121">
        <v>2</v>
      </c>
      <c r="F121" s="3">
        <v>2576.3056896551716</v>
      </c>
      <c r="G121" s="4">
        <v>0.6</v>
      </c>
      <c r="H121" s="3">
        <v>5152.6113793103432</v>
      </c>
      <c r="I121" s="1">
        <v>45791</v>
      </c>
      <c r="J121" t="s">
        <v>22</v>
      </c>
      <c r="K121" t="s">
        <v>16</v>
      </c>
      <c r="L121" s="3">
        <v>2061.0445517241374</v>
      </c>
      <c r="M121" t="s">
        <v>11</v>
      </c>
    </row>
    <row r="122" spans="1:13" x14ac:dyDescent="0.3">
      <c r="A122">
        <v>1120</v>
      </c>
      <c r="B122" t="s">
        <v>173</v>
      </c>
      <c r="C122" t="s">
        <v>20</v>
      </c>
      <c r="D122" t="s">
        <v>21</v>
      </c>
      <c r="E122">
        <v>2</v>
      </c>
      <c r="F122" s="3">
        <v>4709</v>
      </c>
      <c r="G122" s="4">
        <v>0.6</v>
      </c>
      <c r="H122" s="3">
        <v>9418</v>
      </c>
      <c r="I122" s="1">
        <v>45782</v>
      </c>
      <c r="J122" t="s">
        <v>18</v>
      </c>
      <c r="K122" t="s">
        <v>23</v>
      </c>
      <c r="L122" s="3">
        <v>3767.2000000000003</v>
      </c>
      <c r="M122" t="s">
        <v>11</v>
      </c>
    </row>
    <row r="123" spans="1:13" x14ac:dyDescent="0.3">
      <c r="A123">
        <v>1121</v>
      </c>
      <c r="B123" t="s">
        <v>174</v>
      </c>
      <c r="C123" t="s">
        <v>25</v>
      </c>
      <c r="D123" t="s">
        <v>86</v>
      </c>
      <c r="E123">
        <v>2</v>
      </c>
      <c r="F123" s="3">
        <v>4109.6000000000004</v>
      </c>
      <c r="G123" s="4">
        <v>0.42</v>
      </c>
      <c r="H123" s="3">
        <v>8219.2000000000007</v>
      </c>
      <c r="I123" s="1">
        <v>45782</v>
      </c>
      <c r="J123" t="s">
        <v>46</v>
      </c>
      <c r="K123" t="s">
        <v>16</v>
      </c>
      <c r="L123" s="3">
        <v>4767.1360000000013</v>
      </c>
      <c r="M123" t="s">
        <v>11</v>
      </c>
    </row>
    <row r="124" spans="1:13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 s="3">
        <v>4745.03</v>
      </c>
      <c r="G124" s="4">
        <v>0.4</v>
      </c>
      <c r="H124" s="3">
        <v>0</v>
      </c>
      <c r="I124" s="1">
        <v>45782</v>
      </c>
      <c r="J124" t="s">
        <v>22</v>
      </c>
      <c r="K124" t="s">
        <v>16</v>
      </c>
      <c r="L124" s="3">
        <v>0</v>
      </c>
      <c r="M124" t="s">
        <v>2518</v>
      </c>
    </row>
    <row r="125" spans="1:13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 s="3">
        <v>3978.76</v>
      </c>
      <c r="G125" s="4">
        <v>0.6</v>
      </c>
      <c r="H125" s="3">
        <v>19893.800000000003</v>
      </c>
      <c r="I125" s="1">
        <v>45393</v>
      </c>
      <c r="J125" t="s">
        <v>18</v>
      </c>
      <c r="K125" t="s">
        <v>23</v>
      </c>
      <c r="L125" s="3">
        <v>7957.5200000000013</v>
      </c>
      <c r="M125" t="s">
        <v>11</v>
      </c>
    </row>
    <row r="126" spans="1:13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F126" s="3">
        <v>2681.1743636363635</v>
      </c>
      <c r="G126" s="4">
        <v>0.6</v>
      </c>
      <c r="H126" s="3">
        <v>2681.1743636363635</v>
      </c>
      <c r="I126" s="1">
        <v>45657</v>
      </c>
      <c r="J126" t="s">
        <v>18</v>
      </c>
      <c r="K126" t="s">
        <v>23</v>
      </c>
      <c r="L126" s="3">
        <v>1072.4697454545455</v>
      </c>
      <c r="M126" t="s">
        <v>11</v>
      </c>
    </row>
    <row r="127" spans="1:13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F127" s="3">
        <v>2501.5309999999999</v>
      </c>
      <c r="G127" s="4">
        <v>0.6</v>
      </c>
      <c r="H127" s="3">
        <v>-5003.0619999999999</v>
      </c>
      <c r="I127" s="1">
        <v>45782</v>
      </c>
      <c r="J127" t="s">
        <v>15</v>
      </c>
      <c r="K127" t="s">
        <v>23</v>
      </c>
      <c r="L127" s="3">
        <v>-2001.2248</v>
      </c>
      <c r="M127" t="s">
        <v>2518</v>
      </c>
    </row>
    <row r="128" spans="1:13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F128" s="3">
        <v>2882.5046551724135</v>
      </c>
      <c r="G128" s="4">
        <v>0.59</v>
      </c>
      <c r="H128" s="3">
        <v>5765.0093103448271</v>
      </c>
      <c r="I128" s="1">
        <v>45782</v>
      </c>
      <c r="J128" t="s">
        <v>46</v>
      </c>
      <c r="K128" t="s">
        <v>16</v>
      </c>
      <c r="L128" s="3">
        <v>2363.6538172413793</v>
      </c>
      <c r="M128" t="s">
        <v>11</v>
      </c>
    </row>
    <row r="129" spans="1:13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 s="3">
        <v>4843.4399999999996</v>
      </c>
      <c r="G129" s="4">
        <v>7.0000000000000007E-2</v>
      </c>
      <c r="H129" s="3">
        <v>14530.32</v>
      </c>
      <c r="I129" s="1">
        <v>45511</v>
      </c>
      <c r="J129" t="s">
        <v>18</v>
      </c>
      <c r="K129" t="s">
        <v>23</v>
      </c>
      <c r="L129" s="3">
        <v>13513.1976</v>
      </c>
      <c r="M129" t="s">
        <v>11</v>
      </c>
    </row>
    <row r="130" spans="1:13" x14ac:dyDescent="0.3">
      <c r="A130">
        <v>1128</v>
      </c>
      <c r="B130" t="s">
        <v>181</v>
      </c>
      <c r="C130" t="s">
        <v>33</v>
      </c>
      <c r="D130" t="s">
        <v>44</v>
      </c>
      <c r="E130">
        <v>2</v>
      </c>
      <c r="F130" s="3">
        <v>2841.7630612244907</v>
      </c>
      <c r="G130" s="4">
        <v>0.43</v>
      </c>
      <c r="H130" s="3">
        <v>5683.5261224489814</v>
      </c>
      <c r="I130" s="1">
        <v>45782</v>
      </c>
      <c r="J130" t="s">
        <v>56</v>
      </c>
      <c r="K130" t="s">
        <v>23</v>
      </c>
      <c r="L130" s="3">
        <v>3239.6098897959196</v>
      </c>
      <c r="M130" t="s">
        <v>11</v>
      </c>
    </row>
    <row r="131" spans="1:13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 s="3">
        <v>2412.36</v>
      </c>
      <c r="G131" s="4">
        <v>0.23</v>
      </c>
      <c r="H131" s="3">
        <v>-4824.72</v>
      </c>
      <c r="I131" s="1">
        <v>45835</v>
      </c>
      <c r="J131" t="s">
        <v>22</v>
      </c>
      <c r="K131" t="s">
        <v>16</v>
      </c>
      <c r="L131" s="3">
        <v>-3715.0344000000005</v>
      </c>
      <c r="M131" t="s">
        <v>2518</v>
      </c>
    </row>
    <row r="132" spans="1:13" x14ac:dyDescent="0.3">
      <c r="A132">
        <v>1130</v>
      </c>
      <c r="B132" t="s">
        <v>32</v>
      </c>
      <c r="C132" t="s">
        <v>29</v>
      </c>
      <c r="D132" t="s">
        <v>42</v>
      </c>
      <c r="E132">
        <v>2</v>
      </c>
      <c r="F132" s="3">
        <v>2559.6667307692314</v>
      </c>
      <c r="G132" s="4">
        <v>0.6</v>
      </c>
      <c r="H132" s="3">
        <v>5119.3334615384629</v>
      </c>
      <c r="I132" s="1">
        <v>45782</v>
      </c>
      <c r="J132" t="s">
        <v>15</v>
      </c>
      <c r="K132" t="s">
        <v>23</v>
      </c>
      <c r="L132" s="3">
        <v>2047.7333846153851</v>
      </c>
      <c r="M132" t="s">
        <v>11</v>
      </c>
    </row>
    <row r="133" spans="1:13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F133" s="3">
        <v>2715.5458490566025</v>
      </c>
      <c r="G133" s="4">
        <v>0.99</v>
      </c>
      <c r="H133" s="3">
        <v>13577.729245283012</v>
      </c>
      <c r="I133" s="1">
        <v>45675</v>
      </c>
      <c r="J133" t="s">
        <v>15</v>
      </c>
      <c r="K133" t="s">
        <v>23</v>
      </c>
      <c r="L133" s="3">
        <v>135.77729245283024</v>
      </c>
      <c r="M133" t="s">
        <v>2518</v>
      </c>
    </row>
    <row r="134" spans="1:13" x14ac:dyDescent="0.3">
      <c r="A134">
        <v>1132</v>
      </c>
      <c r="B134" t="s">
        <v>184</v>
      </c>
      <c r="C134" t="s">
        <v>20</v>
      </c>
      <c r="D134" t="s">
        <v>80</v>
      </c>
      <c r="E134">
        <v>2</v>
      </c>
      <c r="F134" s="3">
        <v>2483.5844000000002</v>
      </c>
      <c r="G134" s="4">
        <v>0.57999999999999996</v>
      </c>
      <c r="H134" s="3">
        <v>4967.1688000000004</v>
      </c>
      <c r="I134" s="1">
        <v>45782</v>
      </c>
      <c r="J134" t="s">
        <v>15</v>
      </c>
      <c r="K134" t="s">
        <v>23</v>
      </c>
      <c r="L134" s="3">
        <v>2086.2108960000005</v>
      </c>
      <c r="M134" t="s">
        <v>11</v>
      </c>
    </row>
    <row r="135" spans="1:13" x14ac:dyDescent="0.3">
      <c r="A135">
        <v>1133</v>
      </c>
      <c r="B135" t="s">
        <v>185</v>
      </c>
      <c r="C135" t="s">
        <v>38</v>
      </c>
      <c r="D135" t="s">
        <v>39</v>
      </c>
      <c r="E135">
        <v>2</v>
      </c>
      <c r="F135" s="3">
        <v>3008.3844444444444</v>
      </c>
      <c r="G135" s="4">
        <v>0.6</v>
      </c>
      <c r="H135" s="3">
        <v>6016.7688888888888</v>
      </c>
      <c r="I135" s="1">
        <v>45782</v>
      </c>
      <c r="J135" t="s">
        <v>18</v>
      </c>
      <c r="K135" t="s">
        <v>23</v>
      </c>
      <c r="L135" s="3">
        <v>2406.7075555555557</v>
      </c>
      <c r="M135" t="s">
        <v>11</v>
      </c>
    </row>
    <row r="136" spans="1:13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F136" s="3">
        <v>2845.2419672131159</v>
      </c>
      <c r="G136" s="4">
        <v>0.6</v>
      </c>
      <c r="H136" s="3">
        <v>8535.7259016393473</v>
      </c>
      <c r="I136" s="1">
        <v>45791</v>
      </c>
      <c r="J136" t="s">
        <v>15</v>
      </c>
      <c r="K136" t="s">
        <v>16</v>
      </c>
      <c r="L136" s="3">
        <v>3414.2903606557393</v>
      </c>
      <c r="M136" t="s">
        <v>11</v>
      </c>
    </row>
    <row r="137" spans="1:13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 s="3">
        <v>1556.96</v>
      </c>
      <c r="G137" s="4">
        <v>0.84</v>
      </c>
      <c r="H137" s="3">
        <v>6227.84</v>
      </c>
      <c r="I137" s="1">
        <v>45588</v>
      </c>
      <c r="J137" t="s">
        <v>22</v>
      </c>
      <c r="K137" t="s">
        <v>23</v>
      </c>
      <c r="L137" s="3">
        <v>996.45440000000019</v>
      </c>
      <c r="M137" t="s">
        <v>11</v>
      </c>
    </row>
    <row r="138" spans="1:13" x14ac:dyDescent="0.3">
      <c r="A138">
        <v>1136</v>
      </c>
      <c r="B138" t="s">
        <v>188</v>
      </c>
      <c r="C138" t="s">
        <v>13</v>
      </c>
      <c r="D138" t="s">
        <v>49</v>
      </c>
      <c r="E138">
        <v>2</v>
      </c>
      <c r="F138" s="3">
        <v>3658.42</v>
      </c>
      <c r="G138" s="4">
        <v>0.47</v>
      </c>
      <c r="H138" s="3">
        <v>7316.84</v>
      </c>
      <c r="I138" s="1">
        <v>45318</v>
      </c>
      <c r="J138" t="s">
        <v>22</v>
      </c>
      <c r="K138" t="s">
        <v>23</v>
      </c>
      <c r="L138" s="3">
        <v>3877.9252000000001</v>
      </c>
      <c r="M138" t="s">
        <v>11</v>
      </c>
    </row>
    <row r="139" spans="1:13" x14ac:dyDescent="0.3">
      <c r="A139">
        <v>1137</v>
      </c>
      <c r="B139" t="s">
        <v>189</v>
      </c>
      <c r="C139" t="s">
        <v>25</v>
      </c>
      <c r="D139" t="s">
        <v>54</v>
      </c>
      <c r="E139">
        <v>2</v>
      </c>
      <c r="F139" s="3">
        <v>4206.0600000000004</v>
      </c>
      <c r="G139" s="4">
        <v>0.6</v>
      </c>
      <c r="H139" s="3">
        <v>8412.1200000000008</v>
      </c>
      <c r="I139" s="1">
        <v>45770</v>
      </c>
      <c r="J139" t="s">
        <v>15</v>
      </c>
      <c r="K139" t="s">
        <v>23</v>
      </c>
      <c r="L139" s="3">
        <v>3364.8480000000004</v>
      </c>
      <c r="M139" t="s">
        <v>11</v>
      </c>
    </row>
    <row r="140" spans="1:13" x14ac:dyDescent="0.3">
      <c r="A140">
        <v>1138</v>
      </c>
      <c r="B140" t="s">
        <v>190</v>
      </c>
      <c r="C140" t="s">
        <v>38</v>
      </c>
      <c r="D140" t="s">
        <v>91</v>
      </c>
      <c r="E140">
        <v>2</v>
      </c>
      <c r="F140" s="3">
        <v>2868.7768181818178</v>
      </c>
      <c r="G140" s="4">
        <v>0.26</v>
      </c>
      <c r="H140" s="3">
        <v>5737.5536363636356</v>
      </c>
      <c r="I140" s="1">
        <v>45782</v>
      </c>
      <c r="J140" t="s">
        <v>56</v>
      </c>
      <c r="K140" t="s">
        <v>16</v>
      </c>
      <c r="L140" s="3">
        <v>4245.7896909090905</v>
      </c>
      <c r="M140" t="s">
        <v>11</v>
      </c>
    </row>
    <row r="141" spans="1:13" x14ac:dyDescent="0.3">
      <c r="A141">
        <v>1139</v>
      </c>
      <c r="B141" t="s">
        <v>191</v>
      </c>
      <c r="C141" t="s">
        <v>33</v>
      </c>
      <c r="D141" t="s">
        <v>82</v>
      </c>
      <c r="E141">
        <v>2</v>
      </c>
      <c r="F141" s="3">
        <v>2776.2202000000002</v>
      </c>
      <c r="G141" s="4">
        <v>0.21</v>
      </c>
      <c r="H141" s="3">
        <v>5552.4404000000004</v>
      </c>
      <c r="I141" s="1">
        <v>45593</v>
      </c>
      <c r="J141" t="s">
        <v>40</v>
      </c>
      <c r="K141" t="s">
        <v>23</v>
      </c>
      <c r="L141" s="3">
        <v>4386.4279160000006</v>
      </c>
      <c r="M141" t="s">
        <v>11</v>
      </c>
    </row>
    <row r="142" spans="1:13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F142" s="3">
        <v>2617.6390384615388</v>
      </c>
      <c r="G142" s="4">
        <v>0.6</v>
      </c>
      <c r="H142" s="3">
        <v>10470.556153846155</v>
      </c>
      <c r="I142" s="1">
        <v>45517</v>
      </c>
      <c r="J142" t="s">
        <v>56</v>
      </c>
      <c r="K142" t="s">
        <v>23</v>
      </c>
      <c r="L142" s="3">
        <v>4188.2224615384621</v>
      </c>
      <c r="M142" t="s">
        <v>11</v>
      </c>
    </row>
    <row r="143" spans="1:13" x14ac:dyDescent="0.3">
      <c r="A143">
        <v>1141</v>
      </c>
      <c r="B143" t="s">
        <v>193</v>
      </c>
      <c r="C143" t="s">
        <v>33</v>
      </c>
      <c r="D143" t="s">
        <v>82</v>
      </c>
      <c r="E143">
        <v>2</v>
      </c>
      <c r="F143" s="3">
        <v>2776.2202000000002</v>
      </c>
      <c r="G143" s="4">
        <v>1.1499999999999999</v>
      </c>
      <c r="H143" s="3">
        <v>5552.4404000000004</v>
      </c>
      <c r="I143" s="1">
        <v>45401</v>
      </c>
      <c r="J143" t="s">
        <v>15</v>
      </c>
      <c r="K143" t="s">
        <v>16</v>
      </c>
      <c r="L143" s="3">
        <v>-832.86605999999961</v>
      </c>
      <c r="M143" t="s">
        <v>2518</v>
      </c>
    </row>
    <row r="144" spans="1:13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 s="3">
        <v>3004.58</v>
      </c>
      <c r="G144" s="4">
        <v>0.6</v>
      </c>
      <c r="H144" s="3">
        <v>18027.48</v>
      </c>
      <c r="I144" s="1">
        <v>45344</v>
      </c>
      <c r="J144" t="s">
        <v>56</v>
      </c>
      <c r="K144" t="s">
        <v>16</v>
      </c>
      <c r="L144" s="3">
        <v>7210.9920000000002</v>
      </c>
      <c r="M144" t="s">
        <v>11</v>
      </c>
    </row>
    <row r="145" spans="1:13" x14ac:dyDescent="0.3">
      <c r="A145">
        <v>1143</v>
      </c>
      <c r="B145" t="s">
        <v>195</v>
      </c>
      <c r="C145" t="s">
        <v>20</v>
      </c>
      <c r="D145" t="s">
        <v>88</v>
      </c>
      <c r="E145">
        <v>2</v>
      </c>
      <c r="F145" s="3">
        <v>2725.8557142857148</v>
      </c>
      <c r="G145" s="4">
        <v>0.6</v>
      </c>
      <c r="H145" s="3">
        <v>5451.7114285714297</v>
      </c>
      <c r="I145" s="1">
        <v>45782</v>
      </c>
      <c r="J145" t="s">
        <v>40</v>
      </c>
      <c r="K145" t="s">
        <v>23</v>
      </c>
      <c r="L145" s="3">
        <v>2180.6845714285719</v>
      </c>
      <c r="M145" t="s">
        <v>11</v>
      </c>
    </row>
    <row r="146" spans="1:13" x14ac:dyDescent="0.3">
      <c r="A146">
        <v>1144</v>
      </c>
      <c r="B146" t="s">
        <v>196</v>
      </c>
      <c r="C146" t="s">
        <v>13</v>
      </c>
      <c r="D146" t="s">
        <v>14</v>
      </c>
      <c r="E146">
        <v>2</v>
      </c>
      <c r="F146" s="3">
        <v>2381.2677586206896</v>
      </c>
      <c r="G146" s="4">
        <v>0.19</v>
      </c>
      <c r="H146" s="3">
        <v>4762.5355172413792</v>
      </c>
      <c r="I146" s="1">
        <v>45782</v>
      </c>
      <c r="J146" t="s">
        <v>22</v>
      </c>
      <c r="K146" t="s">
        <v>16</v>
      </c>
      <c r="L146" s="3">
        <v>3857.6537689655174</v>
      </c>
      <c r="M146" t="s">
        <v>11</v>
      </c>
    </row>
    <row r="147" spans="1:13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 s="3">
        <v>3607.9</v>
      </c>
      <c r="G147" s="4">
        <v>0.94</v>
      </c>
      <c r="H147" s="3">
        <v>-7215.8</v>
      </c>
      <c r="I147" s="1">
        <v>45602</v>
      </c>
      <c r="J147" t="s">
        <v>56</v>
      </c>
      <c r="K147" t="s">
        <v>23</v>
      </c>
      <c r="L147" s="3">
        <v>-432.94800000000038</v>
      </c>
      <c r="M147" t="s">
        <v>2518</v>
      </c>
    </row>
    <row r="148" spans="1:13" x14ac:dyDescent="0.3">
      <c r="A148">
        <v>1146</v>
      </c>
      <c r="B148" t="s">
        <v>198</v>
      </c>
      <c r="C148" t="s">
        <v>29</v>
      </c>
      <c r="D148" t="s">
        <v>30</v>
      </c>
      <c r="E148">
        <v>2</v>
      </c>
      <c r="F148" s="3">
        <v>2617.6390384615388</v>
      </c>
      <c r="G148" s="4">
        <v>1.0900000000000001</v>
      </c>
      <c r="H148" s="3">
        <v>5235.2780769230776</v>
      </c>
      <c r="I148" s="1">
        <v>45719</v>
      </c>
      <c r="J148" t="s">
        <v>46</v>
      </c>
      <c r="K148" t="s">
        <v>16</v>
      </c>
      <c r="L148" s="3">
        <v>-471.17502692307738</v>
      </c>
      <c r="M148" t="s">
        <v>2518</v>
      </c>
    </row>
    <row r="149" spans="1:13" x14ac:dyDescent="0.3">
      <c r="A149">
        <v>1147</v>
      </c>
      <c r="B149" t="s">
        <v>199</v>
      </c>
      <c r="C149" t="s">
        <v>38</v>
      </c>
      <c r="D149" t="s">
        <v>39</v>
      </c>
      <c r="E149">
        <v>2</v>
      </c>
      <c r="F149" s="3">
        <v>2875.46</v>
      </c>
      <c r="G149" s="4">
        <v>0.6</v>
      </c>
      <c r="H149" s="3">
        <v>5750.92</v>
      </c>
      <c r="I149" s="1">
        <v>45632</v>
      </c>
      <c r="J149" t="s">
        <v>15</v>
      </c>
      <c r="K149" t="s">
        <v>23</v>
      </c>
      <c r="L149" s="3">
        <v>2300.3679999999999</v>
      </c>
      <c r="M149" t="s">
        <v>11</v>
      </c>
    </row>
    <row r="150" spans="1:13" x14ac:dyDescent="0.3">
      <c r="A150">
        <v>1148</v>
      </c>
      <c r="B150" t="s">
        <v>200</v>
      </c>
      <c r="C150" t="s">
        <v>29</v>
      </c>
      <c r="D150" t="s">
        <v>30</v>
      </c>
      <c r="E150">
        <v>2</v>
      </c>
      <c r="F150" s="3">
        <v>2471.48</v>
      </c>
      <c r="G150" s="4">
        <v>1.1100000000000001</v>
      </c>
      <c r="H150" s="3">
        <v>4942.96</v>
      </c>
      <c r="I150" s="1">
        <v>45680</v>
      </c>
      <c r="J150" t="s">
        <v>22</v>
      </c>
      <c r="K150" t="s">
        <v>16</v>
      </c>
      <c r="L150" s="3">
        <v>-543.72560000000044</v>
      </c>
      <c r="M150" t="s">
        <v>2518</v>
      </c>
    </row>
    <row r="151" spans="1:13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F151" s="3">
        <v>2868.7768181818178</v>
      </c>
      <c r="G151" s="4">
        <v>0.6</v>
      </c>
      <c r="H151" s="3">
        <v>5737.5536363636356</v>
      </c>
      <c r="I151" s="1">
        <v>45570</v>
      </c>
      <c r="J151" t="s">
        <v>56</v>
      </c>
      <c r="K151" t="s">
        <v>23</v>
      </c>
      <c r="L151" s="3">
        <v>2295.0214545454542</v>
      </c>
      <c r="M151" t="s">
        <v>11</v>
      </c>
    </row>
    <row r="152" spans="1:13" x14ac:dyDescent="0.3">
      <c r="A152">
        <v>1150</v>
      </c>
      <c r="B152" t="s">
        <v>202</v>
      </c>
      <c r="C152" t="s">
        <v>29</v>
      </c>
      <c r="D152" t="s">
        <v>42</v>
      </c>
      <c r="E152">
        <v>2</v>
      </c>
      <c r="F152" s="3">
        <v>1554.9</v>
      </c>
      <c r="G152" s="4">
        <v>0.6</v>
      </c>
      <c r="H152" s="3">
        <v>3109.8</v>
      </c>
      <c r="I152" s="1">
        <v>45582</v>
      </c>
      <c r="J152" t="s">
        <v>18</v>
      </c>
      <c r="K152" t="s">
        <v>16</v>
      </c>
      <c r="L152" s="3">
        <v>1243.92</v>
      </c>
      <c r="M152" t="s">
        <v>11</v>
      </c>
    </row>
    <row r="153" spans="1:13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 s="3">
        <v>2266.44</v>
      </c>
      <c r="G153" s="4">
        <v>0.33</v>
      </c>
      <c r="H153" s="3">
        <v>9065.76</v>
      </c>
      <c r="I153" s="1">
        <v>45855</v>
      </c>
      <c r="J153" t="s">
        <v>46</v>
      </c>
      <c r="K153" t="s">
        <v>16</v>
      </c>
      <c r="L153" s="3">
        <v>6074.0591999999997</v>
      </c>
      <c r="M153" t="s">
        <v>11</v>
      </c>
    </row>
    <row r="154" spans="1:13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F154" s="3">
        <v>2572.7764000000006</v>
      </c>
      <c r="G154" s="4">
        <v>1.26</v>
      </c>
      <c r="H154" s="3">
        <v>2572.7764000000006</v>
      </c>
      <c r="I154" s="1">
        <v>45599</v>
      </c>
      <c r="J154" t="s">
        <v>46</v>
      </c>
      <c r="K154" t="s">
        <v>23</v>
      </c>
      <c r="L154" s="3">
        <v>-668.92186400000014</v>
      </c>
      <c r="M154" t="s">
        <v>2518</v>
      </c>
    </row>
    <row r="155" spans="1:13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 s="3">
        <v>478.59</v>
      </c>
      <c r="G155" s="4">
        <v>0.6</v>
      </c>
      <c r="H155" s="3">
        <v>478.59</v>
      </c>
      <c r="I155" s="1">
        <v>45641</v>
      </c>
      <c r="J155" t="s">
        <v>15</v>
      </c>
      <c r="K155" t="s">
        <v>23</v>
      </c>
      <c r="L155" s="3">
        <v>191.43600000000001</v>
      </c>
      <c r="M155" t="s">
        <v>2518</v>
      </c>
    </row>
    <row r="156" spans="1:13" x14ac:dyDescent="0.3">
      <c r="A156">
        <v>1154</v>
      </c>
      <c r="B156" t="s">
        <v>206</v>
      </c>
      <c r="C156" t="s">
        <v>29</v>
      </c>
      <c r="D156" t="s">
        <v>120</v>
      </c>
      <c r="E156">
        <v>2</v>
      </c>
      <c r="F156" s="3">
        <v>2830.1325714285731</v>
      </c>
      <c r="G156" s="4">
        <v>0.6</v>
      </c>
      <c r="H156" s="3">
        <v>5660.2651428571462</v>
      </c>
      <c r="I156" s="1">
        <v>45575</v>
      </c>
      <c r="J156" t="s">
        <v>40</v>
      </c>
      <c r="K156" t="s">
        <v>16</v>
      </c>
      <c r="L156" s="3">
        <v>2264.1060571428584</v>
      </c>
      <c r="M156" t="s">
        <v>11</v>
      </c>
    </row>
    <row r="157" spans="1:13" x14ac:dyDescent="0.3">
      <c r="A157">
        <v>1155</v>
      </c>
      <c r="B157" t="s">
        <v>207</v>
      </c>
      <c r="C157" t="s">
        <v>25</v>
      </c>
      <c r="D157" t="s">
        <v>66</v>
      </c>
      <c r="E157">
        <v>2</v>
      </c>
      <c r="F157" s="3">
        <v>2572.7764000000006</v>
      </c>
      <c r="G157" s="4">
        <v>0.64</v>
      </c>
      <c r="H157" s="3">
        <v>5145.5528000000013</v>
      </c>
      <c r="I157" s="1">
        <v>45604</v>
      </c>
      <c r="J157" t="s">
        <v>22</v>
      </c>
      <c r="K157" t="s">
        <v>23</v>
      </c>
      <c r="L157" s="3">
        <v>1852.3990080000003</v>
      </c>
      <c r="M157" t="s">
        <v>11</v>
      </c>
    </row>
    <row r="158" spans="1:13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F158" s="3">
        <v>2845.2419672131159</v>
      </c>
      <c r="G158" s="4">
        <v>0.93</v>
      </c>
      <c r="H158" s="3">
        <v>8535.7259016393473</v>
      </c>
      <c r="I158" s="1">
        <v>45782</v>
      </c>
      <c r="J158" t="s">
        <v>15</v>
      </c>
      <c r="K158" t="s">
        <v>23</v>
      </c>
      <c r="L158" s="3">
        <v>597.5008131147539</v>
      </c>
      <c r="M158" t="s">
        <v>11</v>
      </c>
    </row>
    <row r="159" spans="1:13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 s="3">
        <v>645.03</v>
      </c>
      <c r="G159" s="4">
        <v>0.6</v>
      </c>
      <c r="H159" s="3">
        <v>3870.18</v>
      </c>
      <c r="I159" s="1">
        <v>45833</v>
      </c>
      <c r="J159" t="s">
        <v>18</v>
      </c>
      <c r="K159" t="s">
        <v>16</v>
      </c>
      <c r="L159" s="3">
        <v>1548.0720000000001</v>
      </c>
      <c r="M159" t="s">
        <v>11</v>
      </c>
    </row>
    <row r="160" spans="1:13" x14ac:dyDescent="0.3">
      <c r="A160">
        <v>1158</v>
      </c>
      <c r="B160" t="s">
        <v>210</v>
      </c>
      <c r="C160" t="s">
        <v>38</v>
      </c>
      <c r="D160" t="s">
        <v>63</v>
      </c>
      <c r="E160">
        <v>2</v>
      </c>
      <c r="F160" s="3">
        <v>4516.08</v>
      </c>
      <c r="G160" s="4">
        <v>0.6</v>
      </c>
      <c r="H160" s="3">
        <v>9032.16</v>
      </c>
      <c r="I160" s="1">
        <v>45844</v>
      </c>
      <c r="J160" t="s">
        <v>15</v>
      </c>
      <c r="K160" t="s">
        <v>23</v>
      </c>
      <c r="L160" s="3">
        <v>3612.864</v>
      </c>
      <c r="M160" t="s">
        <v>11</v>
      </c>
    </row>
    <row r="161" spans="1:13" x14ac:dyDescent="0.3">
      <c r="A161">
        <v>1159</v>
      </c>
      <c r="B161" t="s">
        <v>211</v>
      </c>
      <c r="C161" t="s">
        <v>25</v>
      </c>
      <c r="D161" t="s">
        <v>54</v>
      </c>
      <c r="E161">
        <v>2</v>
      </c>
      <c r="F161" s="3">
        <v>3335.18</v>
      </c>
      <c r="G161" s="4">
        <v>0.09</v>
      </c>
      <c r="H161" s="3">
        <v>6670.36</v>
      </c>
      <c r="I161" s="1">
        <v>45782</v>
      </c>
      <c r="J161" t="s">
        <v>18</v>
      </c>
      <c r="K161" t="s">
        <v>16</v>
      </c>
      <c r="L161" s="3">
        <v>6070.0276000000003</v>
      </c>
      <c r="M161" t="s">
        <v>11</v>
      </c>
    </row>
    <row r="162" spans="1:13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F162" s="3">
        <v>3008.3844444444444</v>
      </c>
      <c r="G162" s="4">
        <v>0.77</v>
      </c>
      <c r="H162" s="3">
        <v>0</v>
      </c>
      <c r="I162" s="1">
        <v>45607</v>
      </c>
      <c r="J162" t="s">
        <v>56</v>
      </c>
      <c r="K162" t="s">
        <v>23</v>
      </c>
      <c r="L162" s="3">
        <v>0</v>
      </c>
      <c r="M162" t="s">
        <v>2518</v>
      </c>
    </row>
    <row r="163" spans="1:13" x14ac:dyDescent="0.3">
      <c r="A163">
        <v>1161</v>
      </c>
      <c r="B163" t="s">
        <v>213</v>
      </c>
      <c r="C163" t="s">
        <v>33</v>
      </c>
      <c r="D163" t="s">
        <v>72</v>
      </c>
      <c r="E163">
        <v>2</v>
      </c>
      <c r="F163" s="3">
        <v>1801.91</v>
      </c>
      <c r="G163" s="4">
        <v>0.6</v>
      </c>
      <c r="H163" s="3">
        <v>3603.82</v>
      </c>
      <c r="I163" s="1">
        <v>45352</v>
      </c>
      <c r="J163" t="s">
        <v>22</v>
      </c>
      <c r="K163" t="s">
        <v>23</v>
      </c>
      <c r="L163" s="3">
        <v>1441.5280000000002</v>
      </c>
      <c r="M163" t="s">
        <v>11</v>
      </c>
    </row>
    <row r="164" spans="1:13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F164" s="3">
        <v>2501.5309999999999</v>
      </c>
      <c r="G164" s="4">
        <v>0.14000000000000001</v>
      </c>
      <c r="H164" s="3">
        <v>10006.124</v>
      </c>
      <c r="I164" s="1">
        <v>45621</v>
      </c>
      <c r="J164" t="s">
        <v>22</v>
      </c>
      <c r="K164" t="s">
        <v>16</v>
      </c>
      <c r="L164" s="3">
        <v>8605.2666399999998</v>
      </c>
      <c r="M164" t="s">
        <v>11</v>
      </c>
    </row>
    <row r="165" spans="1:13" x14ac:dyDescent="0.3">
      <c r="A165">
        <v>1163</v>
      </c>
      <c r="B165" t="s">
        <v>215</v>
      </c>
      <c r="C165" t="s">
        <v>29</v>
      </c>
      <c r="D165" t="s">
        <v>42</v>
      </c>
      <c r="E165">
        <v>2</v>
      </c>
      <c r="F165" s="3">
        <v>1033.58</v>
      </c>
      <c r="G165" s="4">
        <v>0.68</v>
      </c>
      <c r="H165" s="3">
        <v>2067.16</v>
      </c>
      <c r="I165" s="1">
        <v>45666</v>
      </c>
      <c r="J165" t="s">
        <v>40</v>
      </c>
      <c r="K165" t="s">
        <v>16</v>
      </c>
      <c r="L165" s="3">
        <v>661.49119999999982</v>
      </c>
      <c r="M165" t="s">
        <v>11</v>
      </c>
    </row>
    <row r="166" spans="1:13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F166" s="3">
        <v>2559.6667307692314</v>
      </c>
      <c r="G166" s="4">
        <v>0.6</v>
      </c>
      <c r="H166" s="3">
        <v>12798.333653846157</v>
      </c>
      <c r="I166" s="1">
        <v>45782</v>
      </c>
      <c r="J166" t="s">
        <v>56</v>
      </c>
      <c r="K166" t="s">
        <v>23</v>
      </c>
      <c r="L166" s="3">
        <v>5119.3334615384629</v>
      </c>
      <c r="M166" t="s">
        <v>11</v>
      </c>
    </row>
    <row r="167" spans="1:13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F167" s="3">
        <v>2715.5458490566025</v>
      </c>
      <c r="G167" s="4">
        <v>0.08</v>
      </c>
      <c r="H167" s="3">
        <v>5431.091698113205</v>
      </c>
      <c r="I167" s="1">
        <v>45569</v>
      </c>
      <c r="J167" t="s">
        <v>40</v>
      </c>
      <c r="K167" t="s">
        <v>23</v>
      </c>
      <c r="L167" s="3">
        <v>4996.6043622641491</v>
      </c>
      <c r="M167" t="s">
        <v>11</v>
      </c>
    </row>
    <row r="168" spans="1:13" x14ac:dyDescent="0.3">
      <c r="A168">
        <v>1166</v>
      </c>
      <c r="B168" t="s">
        <v>218</v>
      </c>
      <c r="C168" t="s">
        <v>20</v>
      </c>
      <c r="D168" t="s">
        <v>80</v>
      </c>
      <c r="E168">
        <v>2</v>
      </c>
      <c r="F168" s="3">
        <v>2483.5844000000002</v>
      </c>
      <c r="G168" s="4">
        <v>0.91</v>
      </c>
      <c r="H168" s="3">
        <v>4967.1688000000004</v>
      </c>
      <c r="I168" s="1">
        <v>45165</v>
      </c>
      <c r="J168" t="s">
        <v>18</v>
      </c>
      <c r="K168" t="s">
        <v>23</v>
      </c>
      <c r="L168" s="3">
        <v>447.04519199999987</v>
      </c>
      <c r="M168" t="s">
        <v>2518</v>
      </c>
    </row>
    <row r="169" spans="1:13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 s="3">
        <v>4595.8999999999996</v>
      </c>
      <c r="G169" s="4">
        <v>0.09</v>
      </c>
      <c r="H169" s="3">
        <v>0</v>
      </c>
      <c r="I169" s="1">
        <v>45791</v>
      </c>
      <c r="J169" t="s">
        <v>40</v>
      </c>
      <c r="K169" t="s">
        <v>23</v>
      </c>
      <c r="L169" s="3">
        <v>0</v>
      </c>
      <c r="M169" t="s">
        <v>2518</v>
      </c>
    </row>
    <row r="170" spans="1:13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 s="3">
        <v>3655.71</v>
      </c>
      <c r="G170" s="4">
        <v>0.48</v>
      </c>
      <c r="H170" s="3">
        <v>0</v>
      </c>
      <c r="I170" s="1">
        <v>45609</v>
      </c>
      <c r="J170" t="s">
        <v>56</v>
      </c>
      <c r="K170" t="s">
        <v>23</v>
      </c>
      <c r="L170" s="3">
        <v>0</v>
      </c>
      <c r="M170" t="s">
        <v>2518</v>
      </c>
    </row>
    <row r="171" spans="1:13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 s="3">
        <v>2948.26</v>
      </c>
      <c r="G171" s="4">
        <v>0.9</v>
      </c>
      <c r="H171" s="3">
        <v>-2948.26</v>
      </c>
      <c r="I171" s="1">
        <v>45782</v>
      </c>
      <c r="J171" t="s">
        <v>46</v>
      </c>
      <c r="K171" t="s">
        <v>23</v>
      </c>
      <c r="L171" s="3">
        <v>-294.82599999999996</v>
      </c>
      <c r="M171" t="s">
        <v>2518</v>
      </c>
    </row>
    <row r="172" spans="1:13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F172" s="3">
        <v>2785.0877966101693</v>
      </c>
      <c r="G172" s="4">
        <v>0.76</v>
      </c>
      <c r="H172" s="3">
        <v>0</v>
      </c>
      <c r="I172" s="1">
        <v>45782</v>
      </c>
      <c r="J172" t="s">
        <v>15</v>
      </c>
      <c r="K172" t="s">
        <v>16</v>
      </c>
      <c r="L172" s="3">
        <v>0</v>
      </c>
      <c r="M172" t="s">
        <v>2518</v>
      </c>
    </row>
    <row r="173" spans="1:13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F173" s="3">
        <v>2785.0877966101693</v>
      </c>
      <c r="G173" s="4">
        <v>0.6</v>
      </c>
      <c r="H173" s="3">
        <v>2785.0877966101693</v>
      </c>
      <c r="I173" s="1">
        <v>45824</v>
      </c>
      <c r="J173" t="s">
        <v>46</v>
      </c>
      <c r="K173" t="s">
        <v>23</v>
      </c>
      <c r="L173" s="3">
        <v>1114.0351186440678</v>
      </c>
      <c r="M173" t="s">
        <v>11</v>
      </c>
    </row>
    <row r="174" spans="1:13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 s="3">
        <v>2719.32</v>
      </c>
      <c r="G174" s="4">
        <v>0.6</v>
      </c>
      <c r="H174" s="3">
        <v>-5438.64</v>
      </c>
      <c r="I174" s="1">
        <v>45779</v>
      </c>
      <c r="J174" t="s">
        <v>56</v>
      </c>
      <c r="K174" t="s">
        <v>16</v>
      </c>
      <c r="L174" s="3">
        <v>-2175.4560000000001</v>
      </c>
      <c r="M174" t="s">
        <v>2518</v>
      </c>
    </row>
    <row r="175" spans="1:13" x14ac:dyDescent="0.3">
      <c r="A175">
        <v>1173</v>
      </c>
      <c r="B175" t="s">
        <v>225</v>
      </c>
      <c r="C175" t="s">
        <v>13</v>
      </c>
      <c r="D175" t="s">
        <v>36</v>
      </c>
      <c r="E175">
        <v>2</v>
      </c>
      <c r="F175" s="3">
        <v>4063.39</v>
      </c>
      <c r="G175" s="4">
        <v>0.6</v>
      </c>
      <c r="H175" s="3">
        <v>8126.78</v>
      </c>
      <c r="I175" s="1">
        <v>45782</v>
      </c>
      <c r="J175" t="s">
        <v>40</v>
      </c>
      <c r="K175" t="s">
        <v>23</v>
      </c>
      <c r="L175" s="3">
        <v>3250.712</v>
      </c>
      <c r="M175" t="s">
        <v>11</v>
      </c>
    </row>
    <row r="176" spans="1:13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 s="3">
        <v>4984.6499999999996</v>
      </c>
      <c r="G176" s="4">
        <v>0.42</v>
      </c>
      <c r="H176" s="3">
        <v>29907.899999999998</v>
      </c>
      <c r="I176" s="1">
        <v>45649</v>
      </c>
      <c r="J176" t="s">
        <v>40</v>
      </c>
      <c r="K176" t="s">
        <v>23</v>
      </c>
      <c r="L176" s="3">
        <v>17346.582000000002</v>
      </c>
      <c r="M176" t="s">
        <v>11</v>
      </c>
    </row>
    <row r="177" spans="1:13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F177" s="3">
        <v>3008.3844444444444</v>
      </c>
      <c r="G177" s="4">
        <v>0.6</v>
      </c>
      <c r="H177" s="3">
        <v>9025.1533333333336</v>
      </c>
      <c r="I177" s="1">
        <v>45566</v>
      </c>
      <c r="J177" t="s">
        <v>18</v>
      </c>
      <c r="K177" t="s">
        <v>16</v>
      </c>
      <c r="L177" s="3">
        <v>3610.0613333333336</v>
      </c>
      <c r="M177" t="s">
        <v>11</v>
      </c>
    </row>
    <row r="178" spans="1:13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F178" s="3">
        <v>2882.5046551724135</v>
      </c>
      <c r="G178" s="4">
        <v>0.87</v>
      </c>
      <c r="H178" s="3">
        <v>17295.027931034481</v>
      </c>
      <c r="I178" s="1">
        <v>45782</v>
      </c>
      <c r="J178" t="s">
        <v>22</v>
      </c>
      <c r="K178" t="s">
        <v>23</v>
      </c>
      <c r="L178" s="3">
        <v>2248.3536310344825</v>
      </c>
      <c r="M178" t="s">
        <v>11</v>
      </c>
    </row>
    <row r="179" spans="1:13" x14ac:dyDescent="0.3">
      <c r="A179">
        <v>1177</v>
      </c>
      <c r="B179" t="s">
        <v>229</v>
      </c>
      <c r="C179" t="s">
        <v>13</v>
      </c>
      <c r="D179" t="s">
        <v>49</v>
      </c>
      <c r="E179">
        <v>2</v>
      </c>
      <c r="F179" s="3">
        <v>2426.13</v>
      </c>
      <c r="G179" s="4">
        <v>0.6</v>
      </c>
      <c r="H179" s="3">
        <v>4852.26</v>
      </c>
      <c r="I179" s="1">
        <v>45746</v>
      </c>
      <c r="J179" t="s">
        <v>18</v>
      </c>
      <c r="K179" t="s">
        <v>16</v>
      </c>
      <c r="L179" s="3">
        <v>1940.9040000000002</v>
      </c>
      <c r="M179" t="s">
        <v>11</v>
      </c>
    </row>
    <row r="180" spans="1:13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 s="3">
        <v>1204.5899999999999</v>
      </c>
      <c r="G180" s="4">
        <v>0.6</v>
      </c>
      <c r="H180" s="3">
        <v>4818.3599999999997</v>
      </c>
      <c r="I180" s="1">
        <v>45782</v>
      </c>
      <c r="J180" t="s">
        <v>56</v>
      </c>
      <c r="K180" t="s">
        <v>23</v>
      </c>
      <c r="L180" s="3">
        <v>1927.3440000000001</v>
      </c>
      <c r="M180" t="s">
        <v>11</v>
      </c>
    </row>
    <row r="181" spans="1:13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F181" s="3">
        <v>2483.5844000000002</v>
      </c>
      <c r="G181" s="4">
        <v>0.6</v>
      </c>
      <c r="H181" s="3">
        <v>0</v>
      </c>
      <c r="I181" s="1">
        <v>45751</v>
      </c>
      <c r="J181" t="s">
        <v>22</v>
      </c>
      <c r="K181" t="s">
        <v>16</v>
      </c>
      <c r="L181" s="3">
        <v>0</v>
      </c>
      <c r="M181" t="s">
        <v>2518</v>
      </c>
    </row>
    <row r="182" spans="1:13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 s="3">
        <v>2495.96</v>
      </c>
      <c r="G182" s="4">
        <v>0.6</v>
      </c>
      <c r="H182" s="3">
        <v>14975.76</v>
      </c>
      <c r="I182" s="1">
        <v>45782</v>
      </c>
      <c r="J182" t="s">
        <v>56</v>
      </c>
      <c r="K182" t="s">
        <v>16</v>
      </c>
      <c r="L182" s="3">
        <v>5990.3040000000001</v>
      </c>
      <c r="M182" t="s">
        <v>11</v>
      </c>
    </row>
    <row r="183" spans="1:13" x14ac:dyDescent="0.3">
      <c r="A183">
        <v>1181</v>
      </c>
      <c r="B183" t="s">
        <v>233</v>
      </c>
      <c r="C183" t="s">
        <v>20</v>
      </c>
      <c r="D183" t="s">
        <v>80</v>
      </c>
      <c r="E183">
        <v>2</v>
      </c>
      <c r="F183" s="3">
        <v>2483.5844000000002</v>
      </c>
      <c r="G183" s="4">
        <v>0.6</v>
      </c>
      <c r="H183" s="3">
        <v>4967.1688000000004</v>
      </c>
      <c r="I183" s="1">
        <v>45732</v>
      </c>
      <c r="J183" t="s">
        <v>22</v>
      </c>
      <c r="K183" t="s">
        <v>23</v>
      </c>
      <c r="L183" s="3">
        <v>1986.8675200000002</v>
      </c>
      <c r="M183" t="s">
        <v>11</v>
      </c>
    </row>
    <row r="184" spans="1:13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F184" s="3">
        <v>2381.2677586206896</v>
      </c>
      <c r="G184" s="4">
        <v>0.6</v>
      </c>
      <c r="H184" s="3">
        <v>-2381.2677586206896</v>
      </c>
      <c r="I184" s="1">
        <v>45510</v>
      </c>
      <c r="J184" t="s">
        <v>46</v>
      </c>
      <c r="K184" t="s">
        <v>23</v>
      </c>
      <c r="L184" s="3">
        <v>-952.50710344827587</v>
      </c>
      <c r="M184" t="s">
        <v>2518</v>
      </c>
    </row>
    <row r="185" spans="1:13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 s="3">
        <v>2372.3000000000002</v>
      </c>
      <c r="G185" s="4">
        <v>0.6</v>
      </c>
      <c r="H185" s="3">
        <v>14233.800000000001</v>
      </c>
      <c r="I185" s="1">
        <v>45378</v>
      </c>
      <c r="J185" t="s">
        <v>15</v>
      </c>
      <c r="K185" t="s">
        <v>23</v>
      </c>
      <c r="L185" s="3">
        <v>5693.52</v>
      </c>
      <c r="M185" t="s">
        <v>11</v>
      </c>
    </row>
    <row r="186" spans="1:13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 s="3">
        <v>2697.1</v>
      </c>
      <c r="G186" s="4">
        <v>0.6</v>
      </c>
      <c r="H186" s="3">
        <v>0</v>
      </c>
      <c r="I186" s="1">
        <v>45829</v>
      </c>
      <c r="J186" t="s">
        <v>15</v>
      </c>
      <c r="K186" t="s">
        <v>23</v>
      </c>
      <c r="L186" s="3">
        <v>0</v>
      </c>
      <c r="M186" t="s">
        <v>2518</v>
      </c>
    </row>
    <row r="187" spans="1:13" x14ac:dyDescent="0.3">
      <c r="A187">
        <v>1185</v>
      </c>
      <c r="B187" t="s">
        <v>237</v>
      </c>
      <c r="C187" t="s">
        <v>29</v>
      </c>
      <c r="D187" t="s">
        <v>30</v>
      </c>
      <c r="E187">
        <v>2</v>
      </c>
      <c r="F187" s="3">
        <v>2617.6390384615388</v>
      </c>
      <c r="G187" s="4">
        <v>0.6</v>
      </c>
      <c r="H187" s="3">
        <v>5235.2780769230776</v>
      </c>
      <c r="I187" s="1">
        <v>45791</v>
      </c>
      <c r="J187" t="s">
        <v>15</v>
      </c>
      <c r="K187" t="s">
        <v>16</v>
      </c>
      <c r="L187" s="3">
        <v>2094.111230769231</v>
      </c>
      <c r="M187" t="s">
        <v>11</v>
      </c>
    </row>
    <row r="188" spans="1:13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F188" s="3">
        <v>2882.5046551724135</v>
      </c>
      <c r="G188" s="4">
        <v>0.71</v>
      </c>
      <c r="H188" s="3">
        <v>17295.027931034481</v>
      </c>
      <c r="I188" s="1">
        <v>45820</v>
      </c>
      <c r="J188" t="s">
        <v>40</v>
      </c>
      <c r="K188" t="s">
        <v>23</v>
      </c>
      <c r="L188" s="3">
        <v>5015.5581000000002</v>
      </c>
      <c r="M188" t="s">
        <v>11</v>
      </c>
    </row>
    <row r="189" spans="1:13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 s="3">
        <v>3810.89</v>
      </c>
      <c r="G189" s="4">
        <v>0.6</v>
      </c>
      <c r="H189" s="3">
        <v>11432.67</v>
      </c>
      <c r="I189" s="1">
        <v>45782</v>
      </c>
      <c r="J189" t="s">
        <v>22</v>
      </c>
      <c r="K189" t="s">
        <v>16</v>
      </c>
      <c r="L189" s="3">
        <v>4573.0680000000002</v>
      </c>
      <c r="M189" t="s">
        <v>11</v>
      </c>
    </row>
    <row r="190" spans="1:13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 s="3">
        <v>4910.28</v>
      </c>
      <c r="G190" s="4">
        <v>0.12</v>
      </c>
      <c r="H190" s="3">
        <v>29461.68</v>
      </c>
      <c r="I190" s="1">
        <v>45531</v>
      </c>
      <c r="J190" t="s">
        <v>40</v>
      </c>
      <c r="K190" t="s">
        <v>23</v>
      </c>
      <c r="L190" s="3">
        <v>25926.278399999999</v>
      </c>
      <c r="M190" t="s">
        <v>11</v>
      </c>
    </row>
    <row r="191" spans="1:13" x14ac:dyDescent="0.3">
      <c r="A191">
        <v>1189</v>
      </c>
      <c r="B191" t="s">
        <v>241</v>
      </c>
      <c r="C191" t="s">
        <v>33</v>
      </c>
      <c r="D191" t="s">
        <v>44</v>
      </c>
      <c r="E191">
        <v>2</v>
      </c>
      <c r="F191" s="3">
        <v>4808.1000000000004</v>
      </c>
      <c r="G191" s="4">
        <v>0.6</v>
      </c>
      <c r="H191" s="3">
        <v>9616.2000000000007</v>
      </c>
      <c r="I191" s="1">
        <v>45685</v>
      </c>
      <c r="J191" t="s">
        <v>18</v>
      </c>
      <c r="K191" t="s">
        <v>23</v>
      </c>
      <c r="L191" s="3">
        <v>3846.4800000000005</v>
      </c>
      <c r="M191" t="s">
        <v>11</v>
      </c>
    </row>
    <row r="192" spans="1:13" x14ac:dyDescent="0.3">
      <c r="A192">
        <v>1190</v>
      </c>
      <c r="B192" t="s">
        <v>242</v>
      </c>
      <c r="C192" t="s">
        <v>20</v>
      </c>
      <c r="D192" t="s">
        <v>21</v>
      </c>
      <c r="E192">
        <v>2</v>
      </c>
      <c r="F192" s="3">
        <v>2681.1743636363635</v>
      </c>
      <c r="G192" s="4">
        <v>0.63</v>
      </c>
      <c r="H192" s="3">
        <v>5362.348727272727</v>
      </c>
      <c r="I192" s="1">
        <v>45804</v>
      </c>
      <c r="J192" t="s">
        <v>46</v>
      </c>
      <c r="K192" t="s">
        <v>23</v>
      </c>
      <c r="L192" s="3">
        <v>1984.069029090909</v>
      </c>
      <c r="M192" t="s">
        <v>11</v>
      </c>
    </row>
    <row r="193" spans="1:13" x14ac:dyDescent="0.3">
      <c r="A193">
        <v>1191</v>
      </c>
      <c r="B193" t="s">
        <v>243</v>
      </c>
      <c r="C193" t="s">
        <v>29</v>
      </c>
      <c r="D193" t="s">
        <v>30</v>
      </c>
      <c r="E193">
        <v>2</v>
      </c>
      <c r="F193" s="3">
        <v>2469.87</v>
      </c>
      <c r="G193" s="4">
        <v>0.56000000000000005</v>
      </c>
      <c r="H193" s="3">
        <v>4939.74</v>
      </c>
      <c r="I193" s="1">
        <v>45782</v>
      </c>
      <c r="J193" t="s">
        <v>22</v>
      </c>
      <c r="K193" t="s">
        <v>16</v>
      </c>
      <c r="L193" s="3">
        <v>2173.4855999999995</v>
      </c>
      <c r="M193" t="s">
        <v>11</v>
      </c>
    </row>
    <row r="194" spans="1:13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F194" s="3">
        <v>2487.039615384615</v>
      </c>
      <c r="G194" s="4">
        <v>0.6</v>
      </c>
      <c r="H194" s="3">
        <v>0</v>
      </c>
      <c r="I194" s="1">
        <v>45782</v>
      </c>
      <c r="J194" t="s">
        <v>56</v>
      </c>
      <c r="K194" t="s">
        <v>16</v>
      </c>
      <c r="L194" s="3">
        <v>0</v>
      </c>
      <c r="M194" t="s">
        <v>2518</v>
      </c>
    </row>
    <row r="195" spans="1:13" x14ac:dyDescent="0.3">
      <c r="A195">
        <v>1193</v>
      </c>
      <c r="B195" t="s">
        <v>245</v>
      </c>
      <c r="C195" t="s">
        <v>38</v>
      </c>
      <c r="D195" t="s">
        <v>39</v>
      </c>
      <c r="E195">
        <v>2</v>
      </c>
      <c r="F195" s="3">
        <v>3031.06</v>
      </c>
      <c r="G195" s="4">
        <v>0.6</v>
      </c>
      <c r="H195" s="3">
        <v>6062.12</v>
      </c>
      <c r="I195" s="1">
        <v>45512</v>
      </c>
      <c r="J195" t="s">
        <v>46</v>
      </c>
      <c r="K195" t="s">
        <v>23</v>
      </c>
      <c r="L195" s="3">
        <v>2424.848</v>
      </c>
      <c r="M195" t="s">
        <v>11</v>
      </c>
    </row>
    <row r="196" spans="1:13" x14ac:dyDescent="0.3">
      <c r="A196">
        <v>1032</v>
      </c>
      <c r="B196" t="s">
        <v>246</v>
      </c>
      <c r="C196" t="s">
        <v>29</v>
      </c>
      <c r="D196" t="s">
        <v>42</v>
      </c>
      <c r="E196">
        <v>2</v>
      </c>
      <c r="F196" s="3">
        <v>2559.6667307692314</v>
      </c>
      <c r="G196" s="4">
        <v>0.6</v>
      </c>
      <c r="H196" s="3">
        <v>5119.3334615384629</v>
      </c>
      <c r="I196" s="1">
        <v>45847</v>
      </c>
      <c r="J196" t="s">
        <v>18</v>
      </c>
      <c r="K196" t="s">
        <v>16</v>
      </c>
      <c r="L196" s="3">
        <v>2047.7333846153851</v>
      </c>
      <c r="M196" t="s">
        <v>11</v>
      </c>
    </row>
    <row r="197" spans="1:13" x14ac:dyDescent="0.3">
      <c r="A197">
        <v>1195</v>
      </c>
      <c r="B197" t="s">
        <v>247</v>
      </c>
      <c r="C197" t="s">
        <v>38</v>
      </c>
      <c r="D197" t="s">
        <v>63</v>
      </c>
      <c r="E197">
        <v>2</v>
      </c>
      <c r="F197" s="3">
        <v>2845.2419672131159</v>
      </c>
      <c r="G197" s="4">
        <v>1.2</v>
      </c>
      <c r="H197" s="3">
        <v>5690.4839344262318</v>
      </c>
      <c r="I197" s="1">
        <v>45782</v>
      </c>
      <c r="J197" t="s">
        <v>22</v>
      </c>
      <c r="K197" t="s">
        <v>16</v>
      </c>
      <c r="L197" s="3">
        <v>-1138.096786885246</v>
      </c>
      <c r="M197" t="s">
        <v>2518</v>
      </c>
    </row>
    <row r="198" spans="1:13" x14ac:dyDescent="0.3">
      <c r="A198">
        <v>1196</v>
      </c>
      <c r="B198" t="s">
        <v>248</v>
      </c>
      <c r="C198" t="s">
        <v>13</v>
      </c>
      <c r="D198" t="s">
        <v>14</v>
      </c>
      <c r="E198">
        <v>2</v>
      </c>
      <c r="F198" s="3">
        <v>3959.06</v>
      </c>
      <c r="G198" s="4">
        <v>0.37</v>
      </c>
      <c r="H198" s="3">
        <v>7918.12</v>
      </c>
      <c r="I198" s="1">
        <v>45791</v>
      </c>
      <c r="J198" t="s">
        <v>56</v>
      </c>
      <c r="K198" t="s">
        <v>23</v>
      </c>
      <c r="L198" s="3">
        <v>4988.4156000000003</v>
      </c>
      <c r="M198" t="s">
        <v>11</v>
      </c>
    </row>
    <row r="199" spans="1:13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F199" s="3">
        <v>2725.8557142857148</v>
      </c>
      <c r="G199" s="4">
        <v>0.6</v>
      </c>
      <c r="H199" s="3">
        <v>2725.8557142857148</v>
      </c>
      <c r="I199" s="1">
        <v>45782</v>
      </c>
      <c r="J199" t="s">
        <v>56</v>
      </c>
      <c r="K199" t="s">
        <v>23</v>
      </c>
      <c r="L199" s="3">
        <v>1090.3422857142859</v>
      </c>
      <c r="M199" t="s">
        <v>11</v>
      </c>
    </row>
    <row r="200" spans="1:13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 s="3">
        <v>3594.97</v>
      </c>
      <c r="G200" s="4">
        <v>0.6</v>
      </c>
      <c r="H200" s="3">
        <v>10784.91</v>
      </c>
      <c r="I200" s="1">
        <v>45764</v>
      </c>
      <c r="J200" t="s">
        <v>15</v>
      </c>
      <c r="K200" t="s">
        <v>16</v>
      </c>
      <c r="L200" s="3">
        <v>4313.9639999999999</v>
      </c>
      <c r="M200" t="s">
        <v>11</v>
      </c>
    </row>
    <row r="201" spans="1:13" x14ac:dyDescent="0.3">
      <c r="A201">
        <v>1199</v>
      </c>
      <c r="B201" t="s">
        <v>251</v>
      </c>
      <c r="C201" t="s">
        <v>25</v>
      </c>
      <c r="D201" t="s">
        <v>86</v>
      </c>
      <c r="E201">
        <v>2</v>
      </c>
      <c r="F201" s="3">
        <v>2317.1</v>
      </c>
      <c r="G201" s="4">
        <v>0.6</v>
      </c>
      <c r="H201" s="3">
        <v>4634.2</v>
      </c>
      <c r="I201" s="1">
        <v>45690</v>
      </c>
      <c r="J201" t="s">
        <v>40</v>
      </c>
      <c r="K201" t="s">
        <v>23</v>
      </c>
      <c r="L201" s="3">
        <v>1853.68</v>
      </c>
      <c r="M201" t="s">
        <v>11</v>
      </c>
    </row>
    <row r="202" spans="1:13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F202" s="3">
        <v>2530.3836538461546</v>
      </c>
      <c r="G202" s="4">
        <v>0.6</v>
      </c>
      <c r="H202" s="3">
        <v>10121.534615384619</v>
      </c>
      <c r="I202" s="1">
        <v>45782</v>
      </c>
      <c r="J202" t="s">
        <v>56</v>
      </c>
      <c r="K202" t="s">
        <v>16</v>
      </c>
      <c r="L202" s="3">
        <v>4048.6138461538476</v>
      </c>
      <c r="M202" t="s">
        <v>11</v>
      </c>
    </row>
    <row r="203" spans="1:13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 s="3">
        <v>3507.85</v>
      </c>
      <c r="G203" s="4">
        <v>0.6</v>
      </c>
      <c r="H203" s="3">
        <v>7015.7</v>
      </c>
      <c r="I203" s="1">
        <v>45667</v>
      </c>
      <c r="J203" t="s">
        <v>46</v>
      </c>
      <c r="K203" t="s">
        <v>23</v>
      </c>
      <c r="L203" s="3">
        <v>2806.28</v>
      </c>
      <c r="M203" t="s">
        <v>11</v>
      </c>
    </row>
    <row r="204" spans="1:13" x14ac:dyDescent="0.3">
      <c r="A204">
        <v>1202</v>
      </c>
      <c r="B204" t="s">
        <v>254</v>
      </c>
      <c r="C204" t="s">
        <v>29</v>
      </c>
      <c r="D204" t="s">
        <v>42</v>
      </c>
      <c r="E204">
        <v>2</v>
      </c>
      <c r="F204" s="3">
        <v>2559.6667307692314</v>
      </c>
      <c r="G204" s="4">
        <v>0.6</v>
      </c>
      <c r="H204" s="3">
        <v>5119.3334615384629</v>
      </c>
      <c r="I204" s="1">
        <v>45739</v>
      </c>
      <c r="J204" t="s">
        <v>40</v>
      </c>
      <c r="K204" t="s">
        <v>16</v>
      </c>
      <c r="L204" s="3">
        <v>2047.7333846153851</v>
      </c>
      <c r="M204" t="s">
        <v>11</v>
      </c>
    </row>
    <row r="205" spans="1:13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F205" s="3">
        <v>2487.039615384615</v>
      </c>
      <c r="G205" s="4">
        <v>0.6</v>
      </c>
      <c r="H205" s="3">
        <v>12435.198076923076</v>
      </c>
      <c r="I205" s="1">
        <v>45671</v>
      </c>
      <c r="J205" t="s">
        <v>56</v>
      </c>
      <c r="K205" t="s">
        <v>16</v>
      </c>
      <c r="L205" s="3">
        <v>4974.0792307692309</v>
      </c>
      <c r="M205" t="s">
        <v>11</v>
      </c>
    </row>
    <row r="206" spans="1:13" x14ac:dyDescent="0.3">
      <c r="A206">
        <v>1204</v>
      </c>
      <c r="B206" t="s">
        <v>256</v>
      </c>
      <c r="C206" t="s">
        <v>25</v>
      </c>
      <c r="D206" t="s">
        <v>66</v>
      </c>
      <c r="E206">
        <v>2</v>
      </c>
      <c r="F206" s="3">
        <v>4213.3999999999996</v>
      </c>
      <c r="G206" s="4">
        <v>0.6</v>
      </c>
      <c r="H206" s="3">
        <v>8426.7999999999993</v>
      </c>
      <c r="I206" s="1">
        <v>45608</v>
      </c>
      <c r="J206" t="s">
        <v>46</v>
      </c>
      <c r="K206" t="s">
        <v>23</v>
      </c>
      <c r="L206" s="3">
        <v>3370.72</v>
      </c>
      <c r="M206" t="s">
        <v>11</v>
      </c>
    </row>
    <row r="207" spans="1:13" x14ac:dyDescent="0.3">
      <c r="A207">
        <v>1205</v>
      </c>
      <c r="B207" t="s">
        <v>257</v>
      </c>
      <c r="C207" t="s">
        <v>13</v>
      </c>
      <c r="D207" t="s">
        <v>14</v>
      </c>
      <c r="E207">
        <v>2</v>
      </c>
      <c r="F207" s="3">
        <v>696.49</v>
      </c>
      <c r="G207" s="4">
        <v>0.6</v>
      </c>
      <c r="H207" s="3">
        <v>1392.98</v>
      </c>
      <c r="I207" s="1">
        <v>45819</v>
      </c>
      <c r="J207" t="s">
        <v>15</v>
      </c>
      <c r="K207" t="s">
        <v>16</v>
      </c>
      <c r="L207" s="3">
        <v>557.19200000000001</v>
      </c>
      <c r="M207" t="s">
        <v>11</v>
      </c>
    </row>
    <row r="208" spans="1:13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F208" s="3">
        <v>2715.5458490566025</v>
      </c>
      <c r="G208" s="4">
        <v>0.6</v>
      </c>
      <c r="H208" s="3">
        <v>0</v>
      </c>
      <c r="I208" s="1">
        <v>45747</v>
      </c>
      <c r="J208" t="s">
        <v>56</v>
      </c>
      <c r="K208" t="s">
        <v>23</v>
      </c>
      <c r="L208" s="3">
        <v>0</v>
      </c>
      <c r="M208" t="s">
        <v>2518</v>
      </c>
    </row>
    <row r="209" spans="1:13" x14ac:dyDescent="0.3">
      <c r="A209">
        <v>1207</v>
      </c>
      <c r="B209" t="s">
        <v>259</v>
      </c>
      <c r="C209" t="s">
        <v>13</v>
      </c>
      <c r="D209" t="s">
        <v>49</v>
      </c>
      <c r="E209">
        <v>2</v>
      </c>
      <c r="F209" s="3">
        <v>563.14</v>
      </c>
      <c r="G209" s="4">
        <v>0.33</v>
      </c>
      <c r="H209" s="3">
        <v>1126.28</v>
      </c>
      <c r="I209" s="1">
        <v>45433</v>
      </c>
      <c r="J209" t="s">
        <v>18</v>
      </c>
      <c r="K209" t="s">
        <v>23</v>
      </c>
      <c r="L209" s="3">
        <v>754.60759999999993</v>
      </c>
      <c r="M209" t="s">
        <v>11</v>
      </c>
    </row>
    <row r="210" spans="1:13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F210" s="3">
        <v>2725.8557142857148</v>
      </c>
      <c r="G210" s="4">
        <v>0.6</v>
      </c>
      <c r="H210" s="3">
        <v>2725.8557142857148</v>
      </c>
      <c r="I210" s="1">
        <v>45667</v>
      </c>
      <c r="J210" t="s">
        <v>22</v>
      </c>
      <c r="K210" t="s">
        <v>23</v>
      </c>
      <c r="L210" s="3">
        <v>1090.3422857142859</v>
      </c>
      <c r="M210" t="s">
        <v>11</v>
      </c>
    </row>
    <row r="211" spans="1:13" x14ac:dyDescent="0.3">
      <c r="A211">
        <v>1209</v>
      </c>
      <c r="B211" t="s">
        <v>261</v>
      </c>
      <c r="C211" t="s">
        <v>29</v>
      </c>
      <c r="D211" t="s">
        <v>120</v>
      </c>
      <c r="E211">
        <v>2</v>
      </c>
      <c r="F211" s="3">
        <v>4029.87</v>
      </c>
      <c r="G211" s="4">
        <v>0.6</v>
      </c>
      <c r="H211" s="3">
        <v>8059.74</v>
      </c>
      <c r="I211" s="1">
        <v>45666</v>
      </c>
      <c r="J211" t="s">
        <v>18</v>
      </c>
      <c r="K211" t="s">
        <v>23</v>
      </c>
      <c r="L211" s="3">
        <v>3223.8960000000002</v>
      </c>
      <c r="M211" t="s">
        <v>11</v>
      </c>
    </row>
    <row r="212" spans="1:13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F212" s="3">
        <v>2830.1325714285731</v>
      </c>
      <c r="G212" s="4">
        <v>1.1599999999999999</v>
      </c>
      <c r="H212" s="3">
        <v>11320.530285714292</v>
      </c>
      <c r="I212" s="1">
        <v>45803</v>
      </c>
      <c r="J212" t="s">
        <v>15</v>
      </c>
      <c r="K212" t="s">
        <v>23</v>
      </c>
      <c r="L212" s="3">
        <v>-1811.2848457142859</v>
      </c>
      <c r="M212" t="s">
        <v>2518</v>
      </c>
    </row>
    <row r="213" spans="1:13" x14ac:dyDescent="0.3">
      <c r="A213">
        <v>1211</v>
      </c>
      <c r="B213" t="s">
        <v>263</v>
      </c>
      <c r="C213" t="s">
        <v>13</v>
      </c>
      <c r="D213" t="s">
        <v>102</v>
      </c>
      <c r="E213">
        <v>2</v>
      </c>
      <c r="F213" s="3">
        <v>1560.37</v>
      </c>
      <c r="G213" s="4">
        <v>0.6</v>
      </c>
      <c r="H213" s="3">
        <v>3120.74</v>
      </c>
      <c r="I213" s="1">
        <v>45630</v>
      </c>
      <c r="J213" t="s">
        <v>18</v>
      </c>
      <c r="K213" t="s">
        <v>16</v>
      </c>
      <c r="L213" s="3">
        <v>1248.296</v>
      </c>
      <c r="M213" t="s">
        <v>11</v>
      </c>
    </row>
    <row r="214" spans="1:13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 s="3">
        <v>4098.12</v>
      </c>
      <c r="G214" s="4">
        <v>0.6</v>
      </c>
      <c r="H214" s="3">
        <v>-4098.12</v>
      </c>
      <c r="I214" s="1">
        <v>45582</v>
      </c>
      <c r="J214" t="s">
        <v>56</v>
      </c>
      <c r="K214" t="s">
        <v>23</v>
      </c>
      <c r="L214" s="3">
        <v>-1639.248</v>
      </c>
      <c r="M214" t="s">
        <v>2518</v>
      </c>
    </row>
    <row r="215" spans="1:13" x14ac:dyDescent="0.3">
      <c r="A215">
        <v>1213</v>
      </c>
      <c r="B215" t="s">
        <v>265</v>
      </c>
      <c r="C215" t="s">
        <v>33</v>
      </c>
      <c r="D215" t="s">
        <v>72</v>
      </c>
      <c r="E215">
        <v>2</v>
      </c>
      <c r="F215" s="3">
        <v>2715.5458490566025</v>
      </c>
      <c r="G215" s="4">
        <v>0.6</v>
      </c>
      <c r="H215" s="3">
        <v>5431.091698113205</v>
      </c>
      <c r="I215" s="1">
        <v>45684</v>
      </c>
      <c r="J215" t="s">
        <v>18</v>
      </c>
      <c r="K215" t="s">
        <v>23</v>
      </c>
      <c r="L215" s="3">
        <v>2172.436679245282</v>
      </c>
      <c r="M215" t="s">
        <v>11</v>
      </c>
    </row>
    <row r="216" spans="1:13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 s="3">
        <v>1273.5999999999999</v>
      </c>
      <c r="G216" s="4">
        <v>0.6</v>
      </c>
      <c r="H216" s="3">
        <v>5094.3999999999996</v>
      </c>
      <c r="I216" s="1">
        <v>45826</v>
      </c>
      <c r="J216" t="s">
        <v>56</v>
      </c>
      <c r="K216" t="s">
        <v>16</v>
      </c>
      <c r="L216" s="3">
        <v>2037.76</v>
      </c>
      <c r="M216" t="s">
        <v>11</v>
      </c>
    </row>
    <row r="217" spans="1:13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 s="3">
        <v>3802.27</v>
      </c>
      <c r="G217" s="4">
        <v>0.6</v>
      </c>
      <c r="H217" s="3">
        <v>22813.62</v>
      </c>
      <c r="I217" s="1">
        <v>45782</v>
      </c>
      <c r="J217" t="s">
        <v>18</v>
      </c>
      <c r="K217" t="s">
        <v>16</v>
      </c>
      <c r="L217" s="3">
        <v>9125.4480000000003</v>
      </c>
      <c r="M217" t="s">
        <v>11</v>
      </c>
    </row>
    <row r="218" spans="1:13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F218" s="3">
        <v>2715.5458490566025</v>
      </c>
      <c r="G218" s="4">
        <v>1.17</v>
      </c>
      <c r="H218" s="3">
        <v>16293.275094339615</v>
      </c>
      <c r="I218" s="1">
        <v>45495</v>
      </c>
      <c r="J218" t="s">
        <v>15</v>
      </c>
      <c r="K218" t="s">
        <v>23</v>
      </c>
      <c r="L218" s="3">
        <v>-2769.8567660377335</v>
      </c>
      <c r="M218" t="s">
        <v>2518</v>
      </c>
    </row>
    <row r="219" spans="1:13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 s="3">
        <v>2850.38</v>
      </c>
      <c r="G219" s="4">
        <v>0.6</v>
      </c>
      <c r="H219" s="3">
        <v>8551.14</v>
      </c>
      <c r="I219" s="1">
        <v>45782</v>
      </c>
      <c r="J219" t="s">
        <v>15</v>
      </c>
      <c r="K219" t="s">
        <v>16</v>
      </c>
      <c r="L219" s="3">
        <v>3420.4560000000001</v>
      </c>
      <c r="M219" t="s">
        <v>11</v>
      </c>
    </row>
    <row r="220" spans="1:13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 s="3">
        <v>1544.45</v>
      </c>
      <c r="G220" s="4">
        <v>0.33</v>
      </c>
      <c r="H220" s="3">
        <v>4633.3500000000004</v>
      </c>
      <c r="I220" s="1">
        <v>45747</v>
      </c>
      <c r="J220" t="s">
        <v>56</v>
      </c>
      <c r="K220" t="s">
        <v>23</v>
      </c>
      <c r="L220" s="3">
        <v>3104.3444999999997</v>
      </c>
      <c r="M220" t="s">
        <v>11</v>
      </c>
    </row>
    <row r="221" spans="1:13" x14ac:dyDescent="0.3">
      <c r="A221">
        <v>1219</v>
      </c>
      <c r="B221" t="s">
        <v>271</v>
      </c>
      <c r="C221" t="s">
        <v>13</v>
      </c>
      <c r="D221" t="s">
        <v>49</v>
      </c>
      <c r="E221">
        <v>2</v>
      </c>
      <c r="F221" s="3">
        <v>2785.0877966101693</v>
      </c>
      <c r="G221" s="4">
        <v>0.6</v>
      </c>
      <c r="H221" s="3">
        <v>5570.1755932203387</v>
      </c>
      <c r="I221" s="1">
        <v>45624</v>
      </c>
      <c r="J221" t="s">
        <v>40</v>
      </c>
      <c r="K221" t="s">
        <v>23</v>
      </c>
      <c r="L221" s="3">
        <v>2228.0702372881356</v>
      </c>
      <c r="M221" t="s">
        <v>11</v>
      </c>
    </row>
    <row r="222" spans="1:13" x14ac:dyDescent="0.3">
      <c r="A222">
        <v>1220</v>
      </c>
      <c r="B222" t="s">
        <v>272</v>
      </c>
      <c r="C222" t="s">
        <v>33</v>
      </c>
      <c r="D222" t="s">
        <v>44</v>
      </c>
      <c r="E222">
        <v>2</v>
      </c>
      <c r="F222" s="3">
        <v>2841.7630612244907</v>
      </c>
      <c r="G222" s="4">
        <v>0.6</v>
      </c>
      <c r="H222" s="3">
        <v>5683.5261224489814</v>
      </c>
      <c r="I222" s="1">
        <v>45495</v>
      </c>
      <c r="J222" t="s">
        <v>40</v>
      </c>
      <c r="K222" t="s">
        <v>23</v>
      </c>
      <c r="L222" s="3">
        <v>2273.4104489795927</v>
      </c>
      <c r="M222" t="s">
        <v>11</v>
      </c>
    </row>
    <row r="223" spans="1:13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F223" s="3">
        <v>2617.6390384615388</v>
      </c>
      <c r="G223" s="4">
        <v>0.6</v>
      </c>
      <c r="H223" s="3">
        <v>7852.9171153846164</v>
      </c>
      <c r="I223" s="1">
        <v>45563</v>
      </c>
      <c r="J223" t="s">
        <v>22</v>
      </c>
      <c r="K223" t="s">
        <v>23</v>
      </c>
      <c r="L223" s="3">
        <v>3141.1668461538466</v>
      </c>
      <c r="M223" t="s">
        <v>11</v>
      </c>
    </row>
    <row r="224" spans="1:13" x14ac:dyDescent="0.3">
      <c r="A224">
        <v>1222</v>
      </c>
      <c r="B224" t="s">
        <v>274</v>
      </c>
      <c r="C224" t="s">
        <v>33</v>
      </c>
      <c r="D224" t="s">
        <v>72</v>
      </c>
      <c r="E224">
        <v>2</v>
      </c>
      <c r="F224" s="3">
        <v>683.85</v>
      </c>
      <c r="G224" s="4">
        <v>0.6</v>
      </c>
      <c r="H224" s="3">
        <v>1367.7</v>
      </c>
      <c r="I224" s="1">
        <v>45595</v>
      </c>
      <c r="J224" t="s">
        <v>46</v>
      </c>
      <c r="K224" t="s">
        <v>16</v>
      </c>
      <c r="L224" s="3">
        <v>547.08000000000004</v>
      </c>
      <c r="M224" t="s">
        <v>11</v>
      </c>
    </row>
    <row r="225" spans="1:13" x14ac:dyDescent="0.3">
      <c r="A225">
        <v>1223</v>
      </c>
      <c r="B225" t="s">
        <v>275</v>
      </c>
      <c r="C225" t="s">
        <v>33</v>
      </c>
      <c r="D225" t="s">
        <v>34</v>
      </c>
      <c r="E225">
        <v>2</v>
      </c>
      <c r="F225" s="3">
        <v>2487.039615384615</v>
      </c>
      <c r="G225" s="4">
        <v>0.6</v>
      </c>
      <c r="H225" s="3">
        <v>4974.07923076923</v>
      </c>
      <c r="I225" s="1">
        <v>45782</v>
      </c>
      <c r="J225" t="s">
        <v>56</v>
      </c>
      <c r="K225" t="s">
        <v>23</v>
      </c>
      <c r="L225" s="3">
        <v>1989.631692307692</v>
      </c>
      <c r="M225" t="s">
        <v>11</v>
      </c>
    </row>
    <row r="226" spans="1:13" x14ac:dyDescent="0.3">
      <c r="A226">
        <v>1224</v>
      </c>
      <c r="B226" t="s">
        <v>276</v>
      </c>
      <c r="C226" t="s">
        <v>38</v>
      </c>
      <c r="D226" t="s">
        <v>63</v>
      </c>
      <c r="E226">
        <v>2</v>
      </c>
      <c r="F226" s="3">
        <v>2845.2419672131159</v>
      </c>
      <c r="G226" s="4">
        <v>0.6</v>
      </c>
      <c r="H226" s="3">
        <v>5690.4839344262318</v>
      </c>
      <c r="I226" s="1">
        <v>45737</v>
      </c>
      <c r="J226" t="s">
        <v>18</v>
      </c>
      <c r="K226" t="s">
        <v>16</v>
      </c>
      <c r="L226" s="3">
        <v>2276.193573770493</v>
      </c>
      <c r="M226" t="s">
        <v>11</v>
      </c>
    </row>
    <row r="227" spans="1:13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 s="3">
        <v>1406.32</v>
      </c>
      <c r="G227" s="4">
        <v>1.05</v>
      </c>
      <c r="H227" s="3">
        <v>-1406.32</v>
      </c>
      <c r="I227" s="1">
        <v>45851</v>
      </c>
      <c r="J227" t="s">
        <v>40</v>
      </c>
      <c r="K227" t="s">
        <v>23</v>
      </c>
      <c r="L227" s="3">
        <v>70.316000000000059</v>
      </c>
      <c r="M227" t="s">
        <v>2518</v>
      </c>
    </row>
    <row r="228" spans="1:13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F228" s="3">
        <v>2868.7768181818178</v>
      </c>
      <c r="G228" s="4">
        <v>1.1499999999999999</v>
      </c>
      <c r="H228" s="3">
        <v>2868.7768181818178</v>
      </c>
      <c r="I228" s="1">
        <v>45591</v>
      </c>
      <c r="J228" t="s">
        <v>18</v>
      </c>
      <c r="K228" t="s">
        <v>23</v>
      </c>
      <c r="L228" s="3">
        <v>-430.3165227272724</v>
      </c>
      <c r="M228" t="s">
        <v>2518</v>
      </c>
    </row>
    <row r="229" spans="1:13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F229" s="3">
        <v>2559.6667307692314</v>
      </c>
      <c r="G229" s="4">
        <v>0.25</v>
      </c>
      <c r="H229" s="3">
        <v>5119.3334615384629</v>
      </c>
      <c r="I229" s="1">
        <v>45356</v>
      </c>
      <c r="J229" t="s">
        <v>56</v>
      </c>
      <c r="K229" t="s">
        <v>16</v>
      </c>
      <c r="L229" s="3">
        <v>3839.5000961538472</v>
      </c>
      <c r="M229" t="s">
        <v>11</v>
      </c>
    </row>
    <row r="230" spans="1:13" x14ac:dyDescent="0.3">
      <c r="A230">
        <v>1048</v>
      </c>
      <c r="B230" t="s">
        <v>280</v>
      </c>
      <c r="C230" t="s">
        <v>29</v>
      </c>
      <c r="D230" t="s">
        <v>141</v>
      </c>
      <c r="E230">
        <v>2</v>
      </c>
      <c r="F230" s="3">
        <v>2298.27</v>
      </c>
      <c r="G230" s="4">
        <v>0.59</v>
      </c>
      <c r="H230" s="3">
        <v>4596.54</v>
      </c>
      <c r="I230" s="1">
        <v>45743</v>
      </c>
      <c r="J230" t="s">
        <v>46</v>
      </c>
      <c r="K230" t="s">
        <v>23</v>
      </c>
      <c r="L230" s="3">
        <v>1884.5814</v>
      </c>
      <c r="M230" t="s">
        <v>11</v>
      </c>
    </row>
    <row r="231" spans="1:13" x14ac:dyDescent="0.3">
      <c r="A231">
        <v>1229</v>
      </c>
      <c r="B231" t="s">
        <v>281</v>
      </c>
      <c r="C231" t="s">
        <v>38</v>
      </c>
      <c r="D231" t="s">
        <v>91</v>
      </c>
      <c r="E231">
        <v>2</v>
      </c>
      <c r="F231" s="3">
        <v>2868.7768181818178</v>
      </c>
      <c r="G231" s="4">
        <v>0.6</v>
      </c>
      <c r="H231" s="3">
        <v>5737.5536363636356</v>
      </c>
      <c r="I231" s="1">
        <v>45782</v>
      </c>
      <c r="J231" t="s">
        <v>15</v>
      </c>
      <c r="K231" t="s">
        <v>23</v>
      </c>
      <c r="L231" s="3">
        <v>2295.0214545454542</v>
      </c>
      <c r="M231" t="s">
        <v>11</v>
      </c>
    </row>
    <row r="232" spans="1:13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F232" s="3">
        <v>2830.1325714285731</v>
      </c>
      <c r="G232" s="4">
        <v>1.2</v>
      </c>
      <c r="H232" s="3">
        <v>8490.3977142857184</v>
      </c>
      <c r="I232" s="1">
        <v>45782</v>
      </c>
      <c r="J232" t="s">
        <v>56</v>
      </c>
      <c r="K232" t="s">
        <v>23</v>
      </c>
      <c r="L232" s="3">
        <v>-1698.0795428571432</v>
      </c>
      <c r="M232" t="s">
        <v>2518</v>
      </c>
    </row>
    <row r="233" spans="1:13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 s="3">
        <v>1744.73</v>
      </c>
      <c r="G233" s="4">
        <v>0.6</v>
      </c>
      <c r="H233" s="3">
        <v>1744.73</v>
      </c>
      <c r="I233" s="1">
        <v>45782</v>
      </c>
      <c r="J233" t="s">
        <v>46</v>
      </c>
      <c r="K233" t="s">
        <v>23</v>
      </c>
      <c r="L233" s="3">
        <v>697.89200000000005</v>
      </c>
      <c r="M233" t="s">
        <v>11</v>
      </c>
    </row>
    <row r="234" spans="1:13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 s="3">
        <v>2526.77</v>
      </c>
      <c r="G234" s="4">
        <v>0.6</v>
      </c>
      <c r="H234" s="3">
        <v>5053.54</v>
      </c>
      <c r="I234" s="1">
        <v>45183</v>
      </c>
      <c r="J234" t="s">
        <v>22</v>
      </c>
      <c r="K234" t="s">
        <v>16</v>
      </c>
      <c r="L234" s="3">
        <v>2021.4160000000002</v>
      </c>
      <c r="M234" t="s">
        <v>11</v>
      </c>
    </row>
    <row r="235" spans="1:13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F235" s="3">
        <v>2681.1743636363635</v>
      </c>
      <c r="G235" s="4">
        <v>7.0000000000000007E-2</v>
      </c>
      <c r="H235" s="3">
        <v>-2681.1743636363635</v>
      </c>
      <c r="I235" s="1">
        <v>45772</v>
      </c>
      <c r="J235" t="s">
        <v>40</v>
      </c>
      <c r="K235" t="s">
        <v>23</v>
      </c>
      <c r="L235" s="3">
        <v>-2493.492158181818</v>
      </c>
      <c r="M235" t="s">
        <v>2518</v>
      </c>
    </row>
    <row r="236" spans="1:13" x14ac:dyDescent="0.3">
      <c r="A236">
        <v>1234</v>
      </c>
      <c r="B236" t="s">
        <v>286</v>
      </c>
      <c r="C236" t="s">
        <v>13</v>
      </c>
      <c r="D236" t="s">
        <v>49</v>
      </c>
      <c r="E236">
        <v>2</v>
      </c>
      <c r="F236" s="3">
        <v>1069.8800000000001</v>
      </c>
      <c r="G236" s="4">
        <v>0.05</v>
      </c>
      <c r="H236" s="3">
        <v>2139.7600000000002</v>
      </c>
      <c r="I236" s="1">
        <v>45832</v>
      </c>
      <c r="J236" t="s">
        <v>46</v>
      </c>
      <c r="K236" t="s">
        <v>23</v>
      </c>
      <c r="L236" s="3">
        <v>2032.7720000000002</v>
      </c>
      <c r="M236" t="s">
        <v>11</v>
      </c>
    </row>
    <row r="237" spans="1:13" x14ac:dyDescent="0.3">
      <c r="A237">
        <v>1235</v>
      </c>
      <c r="B237" t="s">
        <v>287</v>
      </c>
      <c r="C237" t="s">
        <v>20</v>
      </c>
      <c r="D237" t="s">
        <v>80</v>
      </c>
      <c r="E237">
        <v>2</v>
      </c>
      <c r="F237" s="3">
        <v>2483.5844000000002</v>
      </c>
      <c r="G237" s="4">
        <v>0.6</v>
      </c>
      <c r="H237" s="3">
        <v>4967.1688000000004</v>
      </c>
      <c r="I237" s="1">
        <v>45782</v>
      </c>
      <c r="J237" t="s">
        <v>56</v>
      </c>
      <c r="K237" t="s">
        <v>23</v>
      </c>
      <c r="L237" s="3">
        <v>1986.8675200000002</v>
      </c>
      <c r="M237" t="s">
        <v>11</v>
      </c>
    </row>
    <row r="238" spans="1:13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 s="3">
        <v>4802.42</v>
      </c>
      <c r="G238" s="4">
        <v>1.18</v>
      </c>
      <c r="H238" s="3">
        <v>9604.84</v>
      </c>
      <c r="I238" s="1">
        <v>45765</v>
      </c>
      <c r="J238" t="s">
        <v>56</v>
      </c>
      <c r="K238" t="s">
        <v>23</v>
      </c>
      <c r="L238" s="3">
        <v>-1728.8711999999994</v>
      </c>
      <c r="M238" t="s">
        <v>2518</v>
      </c>
    </row>
    <row r="239" spans="1:13" x14ac:dyDescent="0.3">
      <c r="A239">
        <v>1237</v>
      </c>
      <c r="B239" t="s">
        <v>289</v>
      </c>
      <c r="C239" t="s">
        <v>33</v>
      </c>
      <c r="D239" t="s">
        <v>72</v>
      </c>
      <c r="E239">
        <v>2</v>
      </c>
      <c r="F239" s="3">
        <v>2715.5458490566025</v>
      </c>
      <c r="G239" s="4">
        <v>0.28999999999999998</v>
      </c>
      <c r="H239" s="3">
        <v>5431.091698113205</v>
      </c>
      <c r="I239" s="1">
        <v>45817</v>
      </c>
      <c r="J239" t="s">
        <v>46</v>
      </c>
      <c r="K239" t="s">
        <v>16</v>
      </c>
      <c r="L239" s="3">
        <v>3856.0751056603754</v>
      </c>
      <c r="M239" t="s">
        <v>11</v>
      </c>
    </row>
    <row r="240" spans="1:13" x14ac:dyDescent="0.3">
      <c r="A240">
        <v>1238</v>
      </c>
      <c r="B240" t="s">
        <v>290</v>
      </c>
      <c r="C240" t="s">
        <v>25</v>
      </c>
      <c r="D240" t="s">
        <v>66</v>
      </c>
      <c r="E240">
        <v>2</v>
      </c>
      <c r="F240" s="3">
        <v>2572.7764000000006</v>
      </c>
      <c r="G240" s="4">
        <v>0.6</v>
      </c>
      <c r="H240" s="3">
        <v>5145.5528000000013</v>
      </c>
      <c r="I240" s="1">
        <v>45782</v>
      </c>
      <c r="J240" t="s">
        <v>46</v>
      </c>
      <c r="K240" t="s">
        <v>23</v>
      </c>
      <c r="L240" s="3">
        <v>2058.2211200000006</v>
      </c>
      <c r="M240" t="s">
        <v>11</v>
      </c>
    </row>
    <row r="241" spans="1:13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 s="3">
        <v>644.58000000000004</v>
      </c>
      <c r="G241" s="4">
        <v>0.6</v>
      </c>
      <c r="H241" s="3">
        <v>2578.3200000000002</v>
      </c>
      <c r="I241" s="1">
        <v>45585</v>
      </c>
      <c r="J241" t="s">
        <v>15</v>
      </c>
      <c r="K241" t="s">
        <v>23</v>
      </c>
      <c r="L241" s="3">
        <v>1031.3280000000002</v>
      </c>
      <c r="M241" t="s">
        <v>11</v>
      </c>
    </row>
    <row r="242" spans="1:13" x14ac:dyDescent="0.3">
      <c r="A242">
        <v>1240</v>
      </c>
      <c r="B242" t="s">
        <v>292</v>
      </c>
      <c r="C242" t="s">
        <v>38</v>
      </c>
      <c r="D242" t="s">
        <v>39</v>
      </c>
      <c r="E242">
        <v>2</v>
      </c>
      <c r="F242" s="3">
        <v>4634.13</v>
      </c>
      <c r="G242" s="4">
        <v>0.6</v>
      </c>
      <c r="H242" s="3">
        <v>9268.26</v>
      </c>
      <c r="I242" s="1">
        <v>45136</v>
      </c>
      <c r="J242" t="s">
        <v>40</v>
      </c>
      <c r="K242" t="s">
        <v>23</v>
      </c>
      <c r="L242" s="3">
        <v>3707.3040000000001</v>
      </c>
      <c r="M242" t="s">
        <v>11</v>
      </c>
    </row>
    <row r="243" spans="1:13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 s="3">
        <v>3111.95</v>
      </c>
      <c r="G243" s="4">
        <v>0.6</v>
      </c>
      <c r="H243" s="3">
        <v>18671.699999999997</v>
      </c>
      <c r="I243" s="1">
        <v>45465</v>
      </c>
      <c r="J243" t="s">
        <v>40</v>
      </c>
      <c r="K243" t="s">
        <v>23</v>
      </c>
      <c r="L243" s="3">
        <v>7468.6799999999994</v>
      </c>
      <c r="M243" t="s">
        <v>11</v>
      </c>
    </row>
    <row r="244" spans="1:13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F244" s="3">
        <v>2576.3056896551716</v>
      </c>
      <c r="G244" s="4">
        <v>0.6</v>
      </c>
      <c r="H244" s="3">
        <v>-2576.3056896551716</v>
      </c>
      <c r="I244" s="1">
        <v>45706</v>
      </c>
      <c r="J244" t="s">
        <v>46</v>
      </c>
      <c r="K244" t="s">
        <v>23</v>
      </c>
      <c r="L244" s="3">
        <v>-1030.5222758620687</v>
      </c>
      <c r="M244" t="s">
        <v>2518</v>
      </c>
    </row>
    <row r="245" spans="1:13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F245" s="3">
        <v>2462.79</v>
      </c>
      <c r="G245" s="4">
        <v>0.69</v>
      </c>
      <c r="H245" s="3">
        <v>7388.37</v>
      </c>
      <c r="I245" s="1">
        <v>45628</v>
      </c>
      <c r="J245" t="s">
        <v>18</v>
      </c>
      <c r="K245" t="s">
        <v>23</v>
      </c>
      <c r="L245" s="3">
        <v>2290.3947000000003</v>
      </c>
      <c r="M245" t="s">
        <v>11</v>
      </c>
    </row>
    <row r="246" spans="1:13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F246" s="3">
        <v>2804.2651923076919</v>
      </c>
      <c r="G246" s="4">
        <v>0.6</v>
      </c>
      <c r="H246" s="3">
        <v>16825.591153846151</v>
      </c>
      <c r="I246" s="1">
        <v>45472</v>
      </c>
      <c r="J246" t="s">
        <v>18</v>
      </c>
      <c r="K246" t="s">
        <v>16</v>
      </c>
      <c r="L246" s="3">
        <v>6730.2364615384613</v>
      </c>
      <c r="M246" t="s">
        <v>11</v>
      </c>
    </row>
    <row r="247" spans="1:13" x14ac:dyDescent="0.3">
      <c r="A247">
        <v>1245</v>
      </c>
      <c r="B247" t="s">
        <v>297</v>
      </c>
      <c r="C247" t="s">
        <v>33</v>
      </c>
      <c r="D247" t="s">
        <v>72</v>
      </c>
      <c r="E247">
        <v>2</v>
      </c>
      <c r="F247" s="3">
        <v>1822.9</v>
      </c>
      <c r="G247" s="4">
        <v>0.6</v>
      </c>
      <c r="H247" s="3">
        <v>3645.8</v>
      </c>
      <c r="I247" s="1">
        <v>45639</v>
      </c>
      <c r="J247" t="s">
        <v>15</v>
      </c>
      <c r="K247" t="s">
        <v>23</v>
      </c>
      <c r="L247" s="3">
        <v>1458.3200000000002</v>
      </c>
      <c r="M247" t="s">
        <v>11</v>
      </c>
    </row>
    <row r="248" spans="1:13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F248" s="3">
        <v>2804.2651923076919</v>
      </c>
      <c r="G248" s="4">
        <v>0.03</v>
      </c>
      <c r="H248" s="3">
        <v>0</v>
      </c>
      <c r="I248" s="1">
        <v>45782</v>
      </c>
      <c r="J248" t="s">
        <v>56</v>
      </c>
      <c r="K248" t="s">
        <v>23</v>
      </c>
      <c r="L248" s="3">
        <v>0</v>
      </c>
      <c r="M248" t="s">
        <v>2518</v>
      </c>
    </row>
    <row r="249" spans="1:13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F249" s="3">
        <v>2487.039615384615</v>
      </c>
      <c r="G249" s="4">
        <v>0.6</v>
      </c>
      <c r="H249" s="3">
        <v>-2487.039615384615</v>
      </c>
      <c r="I249" s="1">
        <v>45782</v>
      </c>
      <c r="J249" t="s">
        <v>56</v>
      </c>
      <c r="K249" t="s">
        <v>23</v>
      </c>
      <c r="L249" s="3">
        <v>-994.815846153846</v>
      </c>
      <c r="M249" t="s">
        <v>2518</v>
      </c>
    </row>
    <row r="250" spans="1:13" x14ac:dyDescent="0.3">
      <c r="A250">
        <v>1248</v>
      </c>
      <c r="B250" t="s">
        <v>300</v>
      </c>
      <c r="C250" t="s">
        <v>29</v>
      </c>
      <c r="D250" t="s">
        <v>120</v>
      </c>
      <c r="E250">
        <v>2</v>
      </c>
      <c r="F250" s="3">
        <v>2830.1325714285731</v>
      </c>
      <c r="G250" s="4">
        <v>1.24</v>
      </c>
      <c r="H250" s="3">
        <v>5660.2651428571462</v>
      </c>
      <c r="I250" s="1">
        <v>45130</v>
      </c>
      <c r="J250" t="s">
        <v>22</v>
      </c>
      <c r="K250" t="s">
        <v>23</v>
      </c>
      <c r="L250" s="3">
        <v>-1358.463634285715</v>
      </c>
      <c r="M250" t="s">
        <v>2518</v>
      </c>
    </row>
    <row r="251" spans="1:13" x14ac:dyDescent="0.3">
      <c r="A251">
        <v>1249</v>
      </c>
      <c r="B251" t="s">
        <v>301</v>
      </c>
      <c r="C251" t="s">
        <v>29</v>
      </c>
      <c r="D251" t="s">
        <v>141</v>
      </c>
      <c r="E251">
        <v>2</v>
      </c>
      <c r="F251" s="3">
        <v>2462.79</v>
      </c>
      <c r="G251" s="4">
        <v>0.23</v>
      </c>
      <c r="H251" s="3">
        <v>4925.58</v>
      </c>
      <c r="I251" s="1">
        <v>45545</v>
      </c>
      <c r="J251" t="s">
        <v>46</v>
      </c>
      <c r="K251" t="s">
        <v>23</v>
      </c>
      <c r="L251" s="3">
        <v>3792.6966000000002</v>
      </c>
      <c r="M251" t="s">
        <v>11</v>
      </c>
    </row>
    <row r="252" spans="1:13" x14ac:dyDescent="0.3">
      <c r="A252">
        <v>1250</v>
      </c>
      <c r="B252" t="s">
        <v>302</v>
      </c>
      <c r="C252" t="s">
        <v>25</v>
      </c>
      <c r="D252" t="s">
        <v>66</v>
      </c>
      <c r="E252">
        <v>2</v>
      </c>
      <c r="F252" s="3">
        <v>2572.7764000000006</v>
      </c>
      <c r="G252" s="4">
        <v>0.6</v>
      </c>
      <c r="H252" s="3">
        <v>5145.5528000000013</v>
      </c>
      <c r="I252" s="1">
        <v>45782</v>
      </c>
      <c r="J252" t="s">
        <v>15</v>
      </c>
      <c r="K252" t="s">
        <v>23</v>
      </c>
      <c r="L252" s="3">
        <v>2058.2211200000006</v>
      </c>
      <c r="M252" t="s">
        <v>11</v>
      </c>
    </row>
    <row r="253" spans="1:13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 s="3">
        <v>4841.3999999999996</v>
      </c>
      <c r="G253" s="4">
        <v>0.6</v>
      </c>
      <c r="H253" s="3">
        <v>9682.7999999999993</v>
      </c>
      <c r="I253" s="1">
        <v>45692</v>
      </c>
      <c r="J253" t="s">
        <v>46</v>
      </c>
      <c r="K253" t="s">
        <v>23</v>
      </c>
      <c r="L253" s="3">
        <v>3873.12</v>
      </c>
      <c r="M253" t="s">
        <v>11</v>
      </c>
    </row>
    <row r="254" spans="1:13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 s="3">
        <v>1638.51</v>
      </c>
      <c r="G254" s="4">
        <v>0.88</v>
      </c>
      <c r="H254" s="3">
        <v>9831.06</v>
      </c>
      <c r="I254" s="1">
        <v>45749</v>
      </c>
      <c r="J254" t="s">
        <v>22</v>
      </c>
      <c r="K254" t="s">
        <v>16</v>
      </c>
      <c r="L254" s="3">
        <v>1179.7271999999998</v>
      </c>
      <c r="M254" t="s">
        <v>11</v>
      </c>
    </row>
    <row r="255" spans="1:13" x14ac:dyDescent="0.3">
      <c r="A255">
        <v>1253</v>
      </c>
      <c r="B255" t="s">
        <v>305</v>
      </c>
      <c r="C255" t="s">
        <v>38</v>
      </c>
      <c r="D255" t="s">
        <v>63</v>
      </c>
      <c r="E255">
        <v>2</v>
      </c>
      <c r="F255" s="3">
        <v>2845.2419672131159</v>
      </c>
      <c r="G255" s="4">
        <v>0.6</v>
      </c>
      <c r="H255" s="3">
        <v>5690.4839344262318</v>
      </c>
      <c r="I255" s="1">
        <v>45692</v>
      </c>
      <c r="J255" t="s">
        <v>40</v>
      </c>
      <c r="K255" t="s">
        <v>23</v>
      </c>
      <c r="L255" s="3">
        <v>2276.193573770493</v>
      </c>
      <c r="M255" t="s">
        <v>11</v>
      </c>
    </row>
    <row r="256" spans="1:13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F256" s="3">
        <v>2572.7764000000006</v>
      </c>
      <c r="G256" s="4">
        <v>0.6</v>
      </c>
      <c r="H256" s="3">
        <v>15436.658400000004</v>
      </c>
      <c r="I256" s="1">
        <v>45702</v>
      </c>
      <c r="J256" t="s">
        <v>22</v>
      </c>
      <c r="K256" t="s">
        <v>23</v>
      </c>
      <c r="L256" s="3">
        <v>6174.6633600000023</v>
      </c>
      <c r="M256" t="s">
        <v>11</v>
      </c>
    </row>
    <row r="257" spans="1:13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 s="3">
        <v>1849.68</v>
      </c>
      <c r="G257" s="4">
        <v>0.6</v>
      </c>
      <c r="H257" s="3">
        <v>7398.72</v>
      </c>
      <c r="I257" s="1">
        <v>45632</v>
      </c>
      <c r="J257" t="s">
        <v>56</v>
      </c>
      <c r="K257" t="s">
        <v>16</v>
      </c>
      <c r="L257" s="3">
        <v>2959.4880000000003</v>
      </c>
      <c r="M257" t="s">
        <v>11</v>
      </c>
    </row>
    <row r="258" spans="1:13" x14ac:dyDescent="0.3">
      <c r="A258">
        <v>1256</v>
      </c>
      <c r="B258" t="s">
        <v>308</v>
      </c>
      <c r="C258" t="s">
        <v>20</v>
      </c>
      <c r="D258" t="s">
        <v>80</v>
      </c>
      <c r="E258">
        <v>2</v>
      </c>
      <c r="F258" s="3">
        <v>1801.38</v>
      </c>
      <c r="G258" s="4">
        <v>0.6</v>
      </c>
      <c r="H258" s="3">
        <v>3602.76</v>
      </c>
      <c r="I258" s="1">
        <v>45614</v>
      </c>
      <c r="J258" t="s">
        <v>40</v>
      </c>
      <c r="K258" t="s">
        <v>16</v>
      </c>
      <c r="L258" s="3">
        <v>1441.1040000000003</v>
      </c>
      <c r="M258" t="s">
        <v>11</v>
      </c>
    </row>
    <row r="259" spans="1:13" x14ac:dyDescent="0.3">
      <c r="A259">
        <v>1257</v>
      </c>
      <c r="B259" t="s">
        <v>309</v>
      </c>
      <c r="C259" t="s">
        <v>13</v>
      </c>
      <c r="D259" t="s">
        <v>49</v>
      </c>
      <c r="E259">
        <v>2</v>
      </c>
      <c r="F259" s="3">
        <v>1228.78</v>
      </c>
      <c r="G259" s="4">
        <v>0.6</v>
      </c>
      <c r="H259" s="3">
        <v>2457.56</v>
      </c>
      <c r="I259" s="1">
        <v>45782</v>
      </c>
      <c r="J259" t="s">
        <v>18</v>
      </c>
      <c r="K259" t="s">
        <v>16</v>
      </c>
      <c r="L259" s="3">
        <v>983.024</v>
      </c>
      <c r="M259" t="s">
        <v>11</v>
      </c>
    </row>
    <row r="260" spans="1:13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 s="3">
        <v>4313.38</v>
      </c>
      <c r="G260" s="4">
        <v>0.6</v>
      </c>
      <c r="H260" s="3">
        <v>-8626.76</v>
      </c>
      <c r="I260" s="1">
        <v>45728</v>
      </c>
      <c r="J260" t="s">
        <v>15</v>
      </c>
      <c r="K260" t="s">
        <v>16</v>
      </c>
      <c r="L260" s="3">
        <v>-3450.7040000000002</v>
      </c>
      <c r="M260" t="s">
        <v>2518</v>
      </c>
    </row>
    <row r="261" spans="1:13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 s="3">
        <v>3396.92</v>
      </c>
      <c r="G261" s="4">
        <v>0.6</v>
      </c>
      <c r="H261" s="3">
        <v>-6793.84</v>
      </c>
      <c r="I261" s="1">
        <v>45782</v>
      </c>
      <c r="J261" t="s">
        <v>18</v>
      </c>
      <c r="K261" t="s">
        <v>23</v>
      </c>
      <c r="L261" s="3">
        <v>-2717.5360000000001</v>
      </c>
      <c r="M261" t="s">
        <v>2518</v>
      </c>
    </row>
    <row r="262" spans="1:13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F262" s="3">
        <v>2804.2651923076919</v>
      </c>
      <c r="G262" s="4">
        <v>0.6</v>
      </c>
      <c r="H262" s="3">
        <v>5608.5303846153838</v>
      </c>
      <c r="I262" s="1">
        <v>45741</v>
      </c>
      <c r="J262" t="s">
        <v>15</v>
      </c>
      <c r="K262" t="s">
        <v>23</v>
      </c>
      <c r="L262" s="3">
        <v>2243.4121538461536</v>
      </c>
      <c r="M262" t="s">
        <v>11</v>
      </c>
    </row>
    <row r="263" spans="1:13" x14ac:dyDescent="0.3">
      <c r="A263">
        <v>1012</v>
      </c>
      <c r="B263" t="s">
        <v>313</v>
      </c>
      <c r="C263" t="s">
        <v>13</v>
      </c>
      <c r="D263" t="s">
        <v>36</v>
      </c>
      <c r="E263">
        <v>2</v>
      </c>
      <c r="F263" s="3">
        <v>4129.37</v>
      </c>
      <c r="G263" s="4">
        <v>0.6</v>
      </c>
      <c r="H263" s="3">
        <v>8258.74</v>
      </c>
      <c r="I263" s="1">
        <v>45858</v>
      </c>
      <c r="J263" t="s">
        <v>15</v>
      </c>
      <c r="K263" t="s">
        <v>23</v>
      </c>
      <c r="L263" s="3">
        <v>3303.4960000000001</v>
      </c>
      <c r="M263" t="s">
        <v>11</v>
      </c>
    </row>
    <row r="264" spans="1:13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F264" s="3">
        <v>2830.1325714285731</v>
      </c>
      <c r="G264" s="4">
        <v>0.52</v>
      </c>
      <c r="H264" s="3">
        <v>5660.2651428571462</v>
      </c>
      <c r="I264" s="1">
        <v>45598</v>
      </c>
      <c r="J264" t="s">
        <v>40</v>
      </c>
      <c r="K264" t="s">
        <v>23</v>
      </c>
      <c r="L264" s="3">
        <v>2716.92726857143</v>
      </c>
      <c r="M264" t="s">
        <v>11</v>
      </c>
    </row>
    <row r="265" spans="1:13" x14ac:dyDescent="0.3">
      <c r="A265">
        <v>1263</v>
      </c>
      <c r="B265" t="s">
        <v>315</v>
      </c>
      <c r="C265" t="s">
        <v>25</v>
      </c>
      <c r="D265" t="s">
        <v>66</v>
      </c>
      <c r="E265">
        <v>2</v>
      </c>
      <c r="F265" s="3">
        <v>2542.7199999999998</v>
      </c>
      <c r="G265" s="4">
        <v>0.6</v>
      </c>
      <c r="H265" s="3">
        <v>5085.4399999999996</v>
      </c>
      <c r="I265" s="1">
        <v>45782</v>
      </c>
      <c r="J265" t="s">
        <v>15</v>
      </c>
      <c r="K265" t="s">
        <v>23</v>
      </c>
      <c r="L265" s="3">
        <v>2034.1759999999999</v>
      </c>
      <c r="M265" t="s">
        <v>11</v>
      </c>
    </row>
    <row r="266" spans="1:13" x14ac:dyDescent="0.3">
      <c r="A266">
        <v>1264</v>
      </c>
      <c r="B266" t="s">
        <v>316</v>
      </c>
      <c r="C266" t="s">
        <v>33</v>
      </c>
      <c r="D266" t="s">
        <v>82</v>
      </c>
      <c r="E266">
        <v>2</v>
      </c>
      <c r="F266" s="3">
        <v>3382.08</v>
      </c>
      <c r="G266" s="4">
        <v>0.6</v>
      </c>
      <c r="H266" s="3">
        <v>6764.16</v>
      </c>
      <c r="I266" s="1">
        <v>45592</v>
      </c>
      <c r="J266" t="s">
        <v>15</v>
      </c>
      <c r="K266" t="s">
        <v>23</v>
      </c>
      <c r="L266" s="3">
        <v>2705.6640000000002</v>
      </c>
      <c r="M266" t="s">
        <v>11</v>
      </c>
    </row>
    <row r="267" spans="1:13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 s="3">
        <v>721.41</v>
      </c>
      <c r="G267" s="4">
        <v>1.1599999999999999</v>
      </c>
      <c r="H267" s="3">
        <v>0</v>
      </c>
      <c r="I267" s="1">
        <v>45740</v>
      </c>
      <c r="J267" t="s">
        <v>56</v>
      </c>
      <c r="K267" t="s">
        <v>16</v>
      </c>
      <c r="L267" s="3">
        <v>0</v>
      </c>
      <c r="M267" t="s">
        <v>2518</v>
      </c>
    </row>
    <row r="268" spans="1:13" x14ac:dyDescent="0.3">
      <c r="A268">
        <v>1266</v>
      </c>
      <c r="B268" t="s">
        <v>318</v>
      </c>
      <c r="C268" t="s">
        <v>25</v>
      </c>
      <c r="D268" t="s">
        <v>66</v>
      </c>
      <c r="E268">
        <v>2</v>
      </c>
      <c r="F268" s="3">
        <v>2572.7764000000006</v>
      </c>
      <c r="G268" s="4">
        <v>1.1200000000000001</v>
      </c>
      <c r="H268" s="3">
        <v>5145.5528000000013</v>
      </c>
      <c r="I268" s="1">
        <v>45224</v>
      </c>
      <c r="J268" t="s">
        <v>15</v>
      </c>
      <c r="K268" t="s">
        <v>16</v>
      </c>
      <c r="L268" s="3">
        <v>-617.46633600000075</v>
      </c>
      <c r="M268" t="s">
        <v>2518</v>
      </c>
    </row>
    <row r="269" spans="1:13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 s="3">
        <v>3255.23</v>
      </c>
      <c r="G269" s="4">
        <v>0.6</v>
      </c>
      <c r="H269" s="3">
        <v>9765.69</v>
      </c>
      <c r="I269" s="1">
        <v>45246</v>
      </c>
      <c r="J269" t="s">
        <v>15</v>
      </c>
      <c r="K269" t="s">
        <v>23</v>
      </c>
      <c r="L269" s="3">
        <v>3906.2760000000003</v>
      </c>
      <c r="M269" t="s">
        <v>11</v>
      </c>
    </row>
    <row r="270" spans="1:13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F270" s="3">
        <v>2725.8557142857148</v>
      </c>
      <c r="G270" s="4">
        <v>1.03</v>
      </c>
      <c r="H270" s="3">
        <v>2725.8557142857148</v>
      </c>
      <c r="I270" s="1">
        <v>45782</v>
      </c>
      <c r="J270" t="s">
        <v>46</v>
      </c>
      <c r="K270" t="s">
        <v>23</v>
      </c>
      <c r="L270" s="3">
        <v>-81.775671428571513</v>
      </c>
      <c r="M270" t="s">
        <v>2518</v>
      </c>
    </row>
    <row r="271" spans="1:13" x14ac:dyDescent="0.3">
      <c r="A271">
        <v>1269</v>
      </c>
      <c r="B271" t="s">
        <v>321</v>
      </c>
      <c r="C271" t="s">
        <v>33</v>
      </c>
      <c r="D271" t="s">
        <v>82</v>
      </c>
      <c r="E271">
        <v>2</v>
      </c>
      <c r="F271" s="3">
        <v>2776.2202000000002</v>
      </c>
      <c r="G271" s="4">
        <v>0.6</v>
      </c>
      <c r="H271" s="3">
        <v>5552.4404000000004</v>
      </c>
      <c r="I271" s="1">
        <v>45782</v>
      </c>
      <c r="J271" t="s">
        <v>22</v>
      </c>
      <c r="K271" t="s">
        <v>23</v>
      </c>
      <c r="L271" s="3">
        <v>2220.9761600000002</v>
      </c>
      <c r="M271" t="s">
        <v>11</v>
      </c>
    </row>
    <row r="272" spans="1:13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 s="3">
        <v>4446.82</v>
      </c>
      <c r="G272" s="4">
        <v>0.6</v>
      </c>
      <c r="H272" s="3">
        <v>0</v>
      </c>
      <c r="I272" s="1">
        <v>45837</v>
      </c>
      <c r="J272" t="s">
        <v>56</v>
      </c>
      <c r="K272" t="s">
        <v>23</v>
      </c>
      <c r="L272" s="3">
        <v>0</v>
      </c>
      <c r="M272" t="s">
        <v>2518</v>
      </c>
    </row>
    <row r="273" spans="1:13" x14ac:dyDescent="0.3">
      <c r="A273">
        <v>1271</v>
      </c>
      <c r="B273" t="s">
        <v>323</v>
      </c>
      <c r="C273" t="s">
        <v>33</v>
      </c>
      <c r="D273" t="s">
        <v>44</v>
      </c>
      <c r="E273">
        <v>2</v>
      </c>
      <c r="F273" s="3">
        <v>2841.7630612244907</v>
      </c>
      <c r="G273" s="4">
        <v>0.6</v>
      </c>
      <c r="H273" s="3">
        <v>5683.5261224489814</v>
      </c>
      <c r="I273" s="1">
        <v>45425</v>
      </c>
      <c r="J273" t="s">
        <v>40</v>
      </c>
      <c r="K273" t="s">
        <v>23</v>
      </c>
      <c r="L273" s="3">
        <v>2273.4104489795927</v>
      </c>
      <c r="M273" t="s">
        <v>11</v>
      </c>
    </row>
    <row r="274" spans="1:13" x14ac:dyDescent="0.3">
      <c r="A274">
        <v>1272</v>
      </c>
      <c r="B274" t="s">
        <v>324</v>
      </c>
      <c r="C274" t="s">
        <v>29</v>
      </c>
      <c r="D274" t="s">
        <v>30</v>
      </c>
      <c r="E274">
        <v>2</v>
      </c>
      <c r="F274" s="3">
        <v>1429.94</v>
      </c>
      <c r="G274" s="4">
        <v>0.6</v>
      </c>
      <c r="H274" s="3">
        <v>2859.88</v>
      </c>
      <c r="I274" s="1">
        <v>45272</v>
      </c>
      <c r="J274" t="s">
        <v>56</v>
      </c>
      <c r="K274" t="s">
        <v>23</v>
      </c>
      <c r="L274" s="3">
        <v>1143.952</v>
      </c>
      <c r="M274" t="s">
        <v>11</v>
      </c>
    </row>
    <row r="275" spans="1:13" x14ac:dyDescent="0.3">
      <c r="A275">
        <v>1273</v>
      </c>
      <c r="B275" t="s">
        <v>325</v>
      </c>
      <c r="C275" t="s">
        <v>33</v>
      </c>
      <c r="D275" t="s">
        <v>44</v>
      </c>
      <c r="E275">
        <v>2</v>
      </c>
      <c r="F275" s="3">
        <v>2841.7630612244907</v>
      </c>
      <c r="G275" s="4">
        <v>0.6</v>
      </c>
      <c r="H275" s="3">
        <v>5683.5261224489814</v>
      </c>
      <c r="I275" s="1">
        <v>45659</v>
      </c>
      <c r="J275" t="s">
        <v>56</v>
      </c>
      <c r="K275" t="s">
        <v>16</v>
      </c>
      <c r="L275" s="3">
        <v>2273.4104489795927</v>
      </c>
      <c r="M275" t="s">
        <v>11</v>
      </c>
    </row>
    <row r="276" spans="1:13" x14ac:dyDescent="0.3">
      <c r="A276">
        <v>1274</v>
      </c>
      <c r="B276" t="s">
        <v>326</v>
      </c>
      <c r="C276" t="s">
        <v>38</v>
      </c>
      <c r="D276" t="s">
        <v>63</v>
      </c>
      <c r="E276">
        <v>2</v>
      </c>
      <c r="F276" s="3">
        <v>2845.2419672131159</v>
      </c>
      <c r="G276" s="4">
        <v>0.59</v>
      </c>
      <c r="H276" s="3">
        <v>5690.4839344262318</v>
      </c>
      <c r="I276" s="1">
        <v>45782</v>
      </c>
      <c r="J276" t="s">
        <v>18</v>
      </c>
      <c r="K276" t="s">
        <v>23</v>
      </c>
      <c r="L276" s="3">
        <v>2333.0984131147552</v>
      </c>
      <c r="M276" t="s">
        <v>11</v>
      </c>
    </row>
    <row r="277" spans="1:13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 s="3">
        <v>4132</v>
      </c>
      <c r="G277" s="4">
        <v>0.6</v>
      </c>
      <c r="H277" s="3">
        <v>12396</v>
      </c>
      <c r="I277" s="1">
        <v>45348</v>
      </c>
      <c r="J277" t="s">
        <v>40</v>
      </c>
      <c r="K277" t="s">
        <v>23</v>
      </c>
      <c r="L277" s="3">
        <v>4958.4000000000005</v>
      </c>
      <c r="M277" t="s">
        <v>11</v>
      </c>
    </row>
    <row r="278" spans="1:13" x14ac:dyDescent="0.3">
      <c r="A278">
        <v>1276</v>
      </c>
      <c r="B278" t="s">
        <v>328</v>
      </c>
      <c r="C278" t="s">
        <v>25</v>
      </c>
      <c r="D278" t="s">
        <v>86</v>
      </c>
      <c r="E278">
        <v>2</v>
      </c>
      <c r="F278" s="3">
        <v>3243.45</v>
      </c>
      <c r="G278" s="4">
        <v>0.61</v>
      </c>
      <c r="H278" s="3">
        <v>6486.9</v>
      </c>
      <c r="I278" s="1">
        <v>45782</v>
      </c>
      <c r="J278" t="s">
        <v>22</v>
      </c>
      <c r="K278" t="s">
        <v>23</v>
      </c>
      <c r="L278" s="3">
        <v>2529.8910000000001</v>
      </c>
      <c r="M278" t="s">
        <v>11</v>
      </c>
    </row>
    <row r="279" spans="1:13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 s="3">
        <v>4720.5200000000004</v>
      </c>
      <c r="G279" s="4">
        <v>0.56999999999999995</v>
      </c>
      <c r="H279" s="3">
        <v>9441.0400000000009</v>
      </c>
      <c r="I279" s="1">
        <v>45540</v>
      </c>
      <c r="J279" t="s">
        <v>15</v>
      </c>
      <c r="K279" t="s">
        <v>16</v>
      </c>
      <c r="L279" s="3">
        <v>4059.6472000000008</v>
      </c>
      <c r="M279" t="s">
        <v>11</v>
      </c>
    </row>
    <row r="280" spans="1:13" x14ac:dyDescent="0.3">
      <c r="A280">
        <v>1278</v>
      </c>
      <c r="B280" t="s">
        <v>330</v>
      </c>
      <c r="C280" t="s">
        <v>29</v>
      </c>
      <c r="D280" t="s">
        <v>42</v>
      </c>
      <c r="E280">
        <v>2</v>
      </c>
      <c r="F280" s="3">
        <v>3550.91</v>
      </c>
      <c r="G280" s="4">
        <v>0.6</v>
      </c>
      <c r="H280" s="3">
        <v>7101.82</v>
      </c>
      <c r="I280" s="1">
        <v>45558</v>
      </c>
      <c r="J280" t="s">
        <v>15</v>
      </c>
      <c r="K280" t="s">
        <v>16</v>
      </c>
      <c r="L280" s="3">
        <v>2840.7280000000001</v>
      </c>
      <c r="M280" t="s">
        <v>11</v>
      </c>
    </row>
    <row r="281" spans="1:13" x14ac:dyDescent="0.3">
      <c r="A281">
        <v>1279</v>
      </c>
      <c r="B281" t="s">
        <v>331</v>
      </c>
      <c r="C281" t="s">
        <v>25</v>
      </c>
      <c r="D281" t="s">
        <v>86</v>
      </c>
      <c r="E281">
        <v>2</v>
      </c>
      <c r="F281" s="3">
        <v>2600.33</v>
      </c>
      <c r="G281" s="4">
        <v>0.6</v>
      </c>
      <c r="H281" s="3">
        <v>5200.66</v>
      </c>
      <c r="I281" s="1">
        <v>45525</v>
      </c>
      <c r="J281" t="s">
        <v>18</v>
      </c>
      <c r="K281" t="s">
        <v>16</v>
      </c>
      <c r="L281" s="3">
        <v>2080.2640000000001</v>
      </c>
      <c r="M281" t="s">
        <v>11</v>
      </c>
    </row>
    <row r="282" spans="1:13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F282" s="3">
        <v>2487.039615384615</v>
      </c>
      <c r="G282" s="4">
        <v>0.6</v>
      </c>
      <c r="H282" s="3">
        <v>7461.118846153845</v>
      </c>
      <c r="I282" s="1">
        <v>45578</v>
      </c>
      <c r="J282" t="s">
        <v>18</v>
      </c>
      <c r="K282" t="s">
        <v>23</v>
      </c>
      <c r="L282" s="3">
        <v>2984.447538461538</v>
      </c>
      <c r="M282" t="s">
        <v>11</v>
      </c>
    </row>
    <row r="283" spans="1:13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 s="3">
        <v>548.19000000000005</v>
      </c>
      <c r="G283" s="4">
        <v>0.6</v>
      </c>
      <c r="H283" s="3">
        <v>-1096.3800000000001</v>
      </c>
      <c r="I283" s="1">
        <v>45603</v>
      </c>
      <c r="J283" t="s">
        <v>22</v>
      </c>
      <c r="K283" t="s">
        <v>23</v>
      </c>
      <c r="L283" s="3">
        <v>-438.55200000000008</v>
      </c>
      <c r="M283" t="s">
        <v>2518</v>
      </c>
    </row>
    <row r="284" spans="1:13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F284" s="3">
        <v>2888.8714285714286</v>
      </c>
      <c r="G284" s="4">
        <v>0.14000000000000001</v>
      </c>
      <c r="H284" s="3">
        <v>-2888.8714285714286</v>
      </c>
      <c r="I284" s="1">
        <v>45676</v>
      </c>
      <c r="J284" t="s">
        <v>22</v>
      </c>
      <c r="K284" t="s">
        <v>23</v>
      </c>
      <c r="L284" s="3">
        <v>-2484.4294285714286</v>
      </c>
      <c r="M284" t="s">
        <v>2518</v>
      </c>
    </row>
    <row r="285" spans="1:13" x14ac:dyDescent="0.3">
      <c r="A285">
        <v>1283</v>
      </c>
      <c r="B285" t="s">
        <v>335</v>
      </c>
      <c r="C285" t="s">
        <v>25</v>
      </c>
      <c r="D285" t="s">
        <v>66</v>
      </c>
      <c r="E285">
        <v>2</v>
      </c>
      <c r="F285" s="3">
        <v>2572.7764000000006</v>
      </c>
      <c r="G285" s="4">
        <v>0.08</v>
      </c>
      <c r="H285" s="3">
        <v>5145.5528000000013</v>
      </c>
      <c r="I285" s="1">
        <v>45782</v>
      </c>
      <c r="J285" t="s">
        <v>56</v>
      </c>
      <c r="K285" t="s">
        <v>23</v>
      </c>
      <c r="L285" s="3">
        <v>4733.9085760000016</v>
      </c>
      <c r="M285" t="s">
        <v>11</v>
      </c>
    </row>
    <row r="286" spans="1:13" x14ac:dyDescent="0.3">
      <c r="A286">
        <v>1284</v>
      </c>
      <c r="B286" t="s">
        <v>336</v>
      </c>
      <c r="C286" t="s">
        <v>20</v>
      </c>
      <c r="D286" t="s">
        <v>21</v>
      </c>
      <c r="E286">
        <v>2</v>
      </c>
      <c r="F286" s="3">
        <v>1500.19</v>
      </c>
      <c r="G286" s="4">
        <v>0.6</v>
      </c>
      <c r="H286" s="3">
        <v>3000.38</v>
      </c>
      <c r="I286" s="1">
        <v>45430</v>
      </c>
      <c r="J286" t="s">
        <v>56</v>
      </c>
      <c r="K286" t="s">
        <v>23</v>
      </c>
      <c r="L286" s="3">
        <v>1200.152</v>
      </c>
      <c r="M286" t="s">
        <v>11</v>
      </c>
    </row>
    <row r="287" spans="1:13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F287" s="3">
        <v>2617.6390384615388</v>
      </c>
      <c r="G287" s="4">
        <v>0.6</v>
      </c>
      <c r="H287" s="3">
        <v>13088.195192307694</v>
      </c>
      <c r="I287" s="1">
        <v>45782</v>
      </c>
      <c r="J287" t="s">
        <v>15</v>
      </c>
      <c r="K287" t="s">
        <v>23</v>
      </c>
      <c r="L287" s="3">
        <v>5235.2780769230776</v>
      </c>
      <c r="M287" t="s">
        <v>11</v>
      </c>
    </row>
    <row r="288" spans="1:13" x14ac:dyDescent="0.3">
      <c r="A288">
        <v>1286</v>
      </c>
      <c r="B288" t="s">
        <v>338</v>
      </c>
      <c r="C288" t="s">
        <v>33</v>
      </c>
      <c r="D288" t="s">
        <v>82</v>
      </c>
      <c r="E288">
        <v>2</v>
      </c>
      <c r="F288" s="3">
        <v>2972.45</v>
      </c>
      <c r="G288" s="4">
        <v>0.6</v>
      </c>
      <c r="H288" s="3">
        <v>5944.9</v>
      </c>
      <c r="I288" s="1">
        <v>45651</v>
      </c>
      <c r="J288" t="s">
        <v>22</v>
      </c>
      <c r="K288" t="s">
        <v>16</v>
      </c>
      <c r="L288" s="3">
        <v>2377.96</v>
      </c>
      <c r="M288" t="s">
        <v>11</v>
      </c>
    </row>
    <row r="289" spans="1:13" x14ac:dyDescent="0.3">
      <c r="A289">
        <v>1287</v>
      </c>
      <c r="B289" t="s">
        <v>339</v>
      </c>
      <c r="C289" t="s">
        <v>13</v>
      </c>
      <c r="D289" t="s">
        <v>14</v>
      </c>
      <c r="E289">
        <v>2</v>
      </c>
      <c r="F289" s="3">
        <v>2381.2677586206896</v>
      </c>
      <c r="G289" s="4">
        <v>0.6</v>
      </c>
      <c r="H289" s="3">
        <v>4762.5355172413792</v>
      </c>
      <c r="I289" s="1">
        <v>45694</v>
      </c>
      <c r="J289" t="s">
        <v>40</v>
      </c>
      <c r="K289" t="s">
        <v>23</v>
      </c>
      <c r="L289" s="3">
        <v>1905.0142068965517</v>
      </c>
      <c r="M289" t="s">
        <v>11</v>
      </c>
    </row>
    <row r="290" spans="1:13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F290" s="3">
        <v>2572.7764000000006</v>
      </c>
      <c r="G290" s="4">
        <v>0.6</v>
      </c>
      <c r="H290" s="3">
        <v>10291.105600000003</v>
      </c>
      <c r="I290" s="1">
        <v>45782</v>
      </c>
      <c r="J290" t="s">
        <v>15</v>
      </c>
      <c r="K290" t="s">
        <v>23</v>
      </c>
      <c r="L290" s="3">
        <v>4116.4422400000012</v>
      </c>
      <c r="M290" t="s">
        <v>11</v>
      </c>
    </row>
    <row r="291" spans="1:13" x14ac:dyDescent="0.3">
      <c r="A291">
        <v>1289</v>
      </c>
      <c r="B291" t="s">
        <v>341</v>
      </c>
      <c r="C291" t="s">
        <v>20</v>
      </c>
      <c r="D291" t="s">
        <v>88</v>
      </c>
      <c r="E291">
        <v>2</v>
      </c>
      <c r="F291" s="3">
        <v>3590.85</v>
      </c>
      <c r="G291" s="4">
        <v>0.6</v>
      </c>
      <c r="H291" s="3">
        <v>7181.7</v>
      </c>
      <c r="I291" s="1">
        <v>45782</v>
      </c>
      <c r="J291" t="s">
        <v>22</v>
      </c>
      <c r="K291" t="s">
        <v>16</v>
      </c>
      <c r="L291" s="3">
        <v>2872.6800000000003</v>
      </c>
      <c r="M291" t="s">
        <v>11</v>
      </c>
    </row>
    <row r="292" spans="1:13" x14ac:dyDescent="0.3">
      <c r="A292">
        <v>1290</v>
      </c>
      <c r="B292" t="s">
        <v>342</v>
      </c>
      <c r="C292" t="s">
        <v>13</v>
      </c>
      <c r="D292" t="s">
        <v>14</v>
      </c>
      <c r="E292">
        <v>2</v>
      </c>
      <c r="F292" s="3">
        <v>1412.12</v>
      </c>
      <c r="G292" s="4">
        <v>1.2</v>
      </c>
      <c r="H292" s="3">
        <v>2824.24</v>
      </c>
      <c r="I292" s="1">
        <v>45782</v>
      </c>
      <c r="J292" t="s">
        <v>15</v>
      </c>
      <c r="K292" t="s">
        <v>23</v>
      </c>
      <c r="L292" s="3">
        <v>-564.84799999999984</v>
      </c>
      <c r="M292" t="s">
        <v>2518</v>
      </c>
    </row>
    <row r="293" spans="1:13" x14ac:dyDescent="0.3">
      <c r="A293">
        <v>1291</v>
      </c>
      <c r="B293" t="s">
        <v>343</v>
      </c>
      <c r="C293" t="s">
        <v>20</v>
      </c>
      <c r="D293" t="s">
        <v>21</v>
      </c>
      <c r="E293">
        <v>2</v>
      </c>
      <c r="F293" s="3">
        <v>2681.1743636363635</v>
      </c>
      <c r="G293" s="4">
        <v>0.6</v>
      </c>
      <c r="H293" s="3">
        <v>5362.348727272727</v>
      </c>
      <c r="I293" s="1">
        <v>45782</v>
      </c>
      <c r="J293" t="s">
        <v>56</v>
      </c>
      <c r="K293" t="s">
        <v>23</v>
      </c>
      <c r="L293" s="3">
        <v>2144.9394909090911</v>
      </c>
      <c r="M293" t="s">
        <v>11</v>
      </c>
    </row>
    <row r="294" spans="1:13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F294" s="3">
        <v>2804.2651923076919</v>
      </c>
      <c r="G294" s="4">
        <v>0.46</v>
      </c>
      <c r="H294" s="3">
        <v>8412.7955769230757</v>
      </c>
      <c r="I294" s="1">
        <v>45782</v>
      </c>
      <c r="J294" t="s">
        <v>22</v>
      </c>
      <c r="K294" t="s">
        <v>23</v>
      </c>
      <c r="L294" s="3">
        <v>4542.9096115384609</v>
      </c>
      <c r="M294" t="s">
        <v>11</v>
      </c>
    </row>
    <row r="295" spans="1:13" x14ac:dyDescent="0.3">
      <c r="A295">
        <v>1293</v>
      </c>
      <c r="B295" t="s">
        <v>345</v>
      </c>
      <c r="C295" t="s">
        <v>20</v>
      </c>
      <c r="D295" t="s">
        <v>88</v>
      </c>
      <c r="E295">
        <v>2</v>
      </c>
      <c r="F295" s="3">
        <v>2725.8557142857148</v>
      </c>
      <c r="G295" s="4">
        <v>0.6</v>
      </c>
      <c r="H295" s="3">
        <v>5451.7114285714297</v>
      </c>
      <c r="I295" s="1">
        <v>45782</v>
      </c>
      <c r="J295" t="s">
        <v>56</v>
      </c>
      <c r="K295" t="s">
        <v>23</v>
      </c>
      <c r="L295" s="3">
        <v>2180.6845714285719</v>
      </c>
      <c r="M295" t="s">
        <v>11</v>
      </c>
    </row>
    <row r="296" spans="1:13" x14ac:dyDescent="0.3">
      <c r="A296">
        <v>1294</v>
      </c>
      <c r="B296" t="s">
        <v>346</v>
      </c>
      <c r="C296" t="s">
        <v>29</v>
      </c>
      <c r="D296" t="s">
        <v>120</v>
      </c>
      <c r="E296">
        <v>2</v>
      </c>
      <c r="F296" s="3">
        <v>2830.1325714285731</v>
      </c>
      <c r="G296" s="4">
        <v>0.56000000000000005</v>
      </c>
      <c r="H296" s="3">
        <v>5660.2651428571462</v>
      </c>
      <c r="I296" s="1">
        <v>45782</v>
      </c>
      <c r="J296" t="s">
        <v>15</v>
      </c>
      <c r="K296" t="s">
        <v>23</v>
      </c>
      <c r="L296" s="3">
        <v>2490.5166628571442</v>
      </c>
      <c r="M296" t="s">
        <v>11</v>
      </c>
    </row>
    <row r="297" spans="1:13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F297" s="3">
        <v>2700.1263043478252</v>
      </c>
      <c r="G297" s="4">
        <v>0.6</v>
      </c>
      <c r="H297" s="3">
        <v>-2700.1263043478252</v>
      </c>
      <c r="I297" s="1">
        <v>45499</v>
      </c>
      <c r="J297" t="s">
        <v>40</v>
      </c>
      <c r="K297" t="s">
        <v>16</v>
      </c>
      <c r="L297" s="3">
        <v>-1080.0505217391301</v>
      </c>
      <c r="M297" t="s">
        <v>2518</v>
      </c>
    </row>
    <row r="298" spans="1:13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 s="3">
        <v>2795.79</v>
      </c>
      <c r="G298" s="4">
        <v>0.6</v>
      </c>
      <c r="H298" s="3">
        <v>-5591.58</v>
      </c>
      <c r="I298" s="1">
        <v>45742</v>
      </c>
      <c r="J298" t="s">
        <v>40</v>
      </c>
      <c r="K298" t="s">
        <v>23</v>
      </c>
      <c r="L298" s="3">
        <v>-2236.6320000000001</v>
      </c>
      <c r="M298" t="s">
        <v>2518</v>
      </c>
    </row>
    <row r="299" spans="1:13" x14ac:dyDescent="0.3">
      <c r="A299">
        <v>1297</v>
      </c>
      <c r="B299" t="s">
        <v>349</v>
      </c>
      <c r="C299" t="s">
        <v>20</v>
      </c>
      <c r="D299" t="s">
        <v>21</v>
      </c>
      <c r="E299">
        <v>2</v>
      </c>
      <c r="F299" s="3">
        <v>4524.2</v>
      </c>
      <c r="G299" s="4">
        <v>0.6</v>
      </c>
      <c r="H299" s="3">
        <v>9048.4</v>
      </c>
      <c r="I299" s="1">
        <v>45506</v>
      </c>
      <c r="J299" t="s">
        <v>15</v>
      </c>
      <c r="K299" t="s">
        <v>16</v>
      </c>
      <c r="L299" s="3">
        <v>3619.36</v>
      </c>
      <c r="M299" t="s">
        <v>11</v>
      </c>
    </row>
    <row r="300" spans="1:13" x14ac:dyDescent="0.3">
      <c r="A300">
        <v>1298</v>
      </c>
      <c r="B300" t="s">
        <v>350</v>
      </c>
      <c r="C300" t="s">
        <v>33</v>
      </c>
      <c r="D300" t="s">
        <v>82</v>
      </c>
      <c r="E300">
        <v>2</v>
      </c>
      <c r="F300" s="3">
        <v>2776.2202000000002</v>
      </c>
      <c r="G300" s="4">
        <v>0.6</v>
      </c>
      <c r="H300" s="3">
        <v>5552.4404000000004</v>
      </c>
      <c r="I300" s="1">
        <v>45657</v>
      </c>
      <c r="J300" t="s">
        <v>18</v>
      </c>
      <c r="K300" t="s">
        <v>16</v>
      </c>
      <c r="L300" s="3">
        <v>2220.9761600000002</v>
      </c>
      <c r="M300" t="s">
        <v>11</v>
      </c>
    </row>
    <row r="301" spans="1:13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 s="3">
        <v>1026.58</v>
      </c>
      <c r="G301" s="4">
        <v>0.6</v>
      </c>
      <c r="H301" s="3">
        <v>1026.58</v>
      </c>
      <c r="I301" s="1">
        <v>45591</v>
      </c>
      <c r="J301" t="s">
        <v>56</v>
      </c>
      <c r="K301" t="s">
        <v>16</v>
      </c>
      <c r="L301" s="3">
        <v>410.63200000000001</v>
      </c>
      <c r="M301" t="s">
        <v>2518</v>
      </c>
    </row>
    <row r="302" spans="1:13" x14ac:dyDescent="0.3">
      <c r="A302">
        <v>1300</v>
      </c>
      <c r="B302" t="s">
        <v>352</v>
      </c>
      <c r="C302" t="s">
        <v>13</v>
      </c>
      <c r="D302" t="s">
        <v>14</v>
      </c>
      <c r="E302">
        <v>2</v>
      </c>
      <c r="F302" s="3">
        <v>4611.8999999999996</v>
      </c>
      <c r="G302" s="4">
        <v>0.6</v>
      </c>
      <c r="H302" s="3">
        <v>9223.7999999999993</v>
      </c>
      <c r="I302" s="1">
        <v>45772</v>
      </c>
      <c r="J302" t="s">
        <v>15</v>
      </c>
      <c r="K302" t="s">
        <v>23</v>
      </c>
      <c r="L302" s="3">
        <v>3689.52</v>
      </c>
      <c r="M302" t="s">
        <v>11</v>
      </c>
    </row>
    <row r="303" spans="1:13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F303" s="3">
        <v>2785.0877966101693</v>
      </c>
      <c r="G303" s="4">
        <v>1.1499999999999999</v>
      </c>
      <c r="H303" s="3">
        <v>13925.438983050846</v>
      </c>
      <c r="I303" s="1">
        <v>45843</v>
      </c>
      <c r="J303" t="s">
        <v>56</v>
      </c>
      <c r="K303" t="s">
        <v>23</v>
      </c>
      <c r="L303" s="3">
        <v>-2088.8158474576258</v>
      </c>
      <c r="M303" t="s">
        <v>2518</v>
      </c>
    </row>
    <row r="304" spans="1:13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F304" s="3">
        <v>2576.3056896551716</v>
      </c>
      <c r="G304" s="4">
        <v>0.09</v>
      </c>
      <c r="H304" s="3">
        <v>12881.528448275858</v>
      </c>
      <c r="I304" s="1">
        <v>45702</v>
      </c>
      <c r="J304" t="s">
        <v>18</v>
      </c>
      <c r="K304" t="s">
        <v>16</v>
      </c>
      <c r="L304" s="3">
        <v>11722.19088793103</v>
      </c>
      <c r="M304" t="s">
        <v>11</v>
      </c>
    </row>
    <row r="305" spans="1:13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 s="3">
        <v>1192.1600000000001</v>
      </c>
      <c r="G305" s="4">
        <v>0.6</v>
      </c>
      <c r="H305" s="3">
        <v>3576.4800000000005</v>
      </c>
      <c r="I305" s="1">
        <v>45782</v>
      </c>
      <c r="J305" t="s">
        <v>46</v>
      </c>
      <c r="K305" t="s">
        <v>23</v>
      </c>
      <c r="L305" s="3">
        <v>1430.5920000000003</v>
      </c>
      <c r="M305" t="s">
        <v>11</v>
      </c>
    </row>
    <row r="306" spans="1:13" x14ac:dyDescent="0.3">
      <c r="A306">
        <v>1047</v>
      </c>
      <c r="B306" t="s">
        <v>356</v>
      </c>
      <c r="C306" t="s">
        <v>38</v>
      </c>
      <c r="D306" t="s">
        <v>59</v>
      </c>
      <c r="E306">
        <v>2</v>
      </c>
      <c r="F306" s="3">
        <v>3218.39</v>
      </c>
      <c r="G306" s="4">
        <v>0.6</v>
      </c>
      <c r="H306" s="3">
        <v>6436.78</v>
      </c>
      <c r="I306" s="1">
        <v>45810</v>
      </c>
      <c r="J306" t="s">
        <v>22</v>
      </c>
      <c r="K306" t="s">
        <v>23</v>
      </c>
      <c r="L306" s="3">
        <v>2574.712</v>
      </c>
      <c r="M306" t="s">
        <v>11</v>
      </c>
    </row>
    <row r="307" spans="1:13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F307" s="3">
        <v>2483.5844000000002</v>
      </c>
      <c r="G307" s="4">
        <v>0.6</v>
      </c>
      <c r="H307" s="3">
        <v>7450.753200000001</v>
      </c>
      <c r="I307" s="1">
        <v>45157</v>
      </c>
      <c r="J307" t="s">
        <v>15</v>
      </c>
      <c r="K307" t="s">
        <v>23</v>
      </c>
      <c r="L307" s="3">
        <v>2980.3012800000006</v>
      </c>
      <c r="M307" t="s">
        <v>11</v>
      </c>
    </row>
    <row r="308" spans="1:13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F308" s="3">
        <v>2617.6390384615388</v>
      </c>
      <c r="G308" s="4">
        <v>0.6</v>
      </c>
      <c r="H308" s="3">
        <v>10470.556153846155</v>
      </c>
      <c r="I308" s="1">
        <v>45782</v>
      </c>
      <c r="J308" t="s">
        <v>18</v>
      </c>
      <c r="K308" t="s">
        <v>23</v>
      </c>
      <c r="L308" s="3">
        <v>4188.2224615384621</v>
      </c>
      <c r="M308" t="s">
        <v>11</v>
      </c>
    </row>
    <row r="309" spans="1:13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 s="3">
        <v>2648.43</v>
      </c>
      <c r="G309" s="4">
        <v>0.6</v>
      </c>
      <c r="H309" s="3">
        <v>5296.86</v>
      </c>
      <c r="I309" s="1">
        <v>45512</v>
      </c>
      <c r="J309" t="s">
        <v>18</v>
      </c>
      <c r="K309" t="s">
        <v>23</v>
      </c>
      <c r="L309" s="3">
        <v>2118.7440000000001</v>
      </c>
      <c r="M309" t="s">
        <v>11</v>
      </c>
    </row>
    <row r="310" spans="1:13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 s="3">
        <v>4203.62</v>
      </c>
      <c r="G310" s="4">
        <v>0.6</v>
      </c>
      <c r="H310" s="3">
        <v>8407.24</v>
      </c>
      <c r="I310" s="1">
        <v>45755</v>
      </c>
      <c r="J310" t="s">
        <v>22</v>
      </c>
      <c r="K310" t="s">
        <v>23</v>
      </c>
      <c r="L310" s="3">
        <v>3362.8960000000002</v>
      </c>
      <c r="M310" t="s">
        <v>11</v>
      </c>
    </row>
    <row r="311" spans="1:13" x14ac:dyDescent="0.3">
      <c r="A311">
        <v>1309</v>
      </c>
      <c r="B311" t="s">
        <v>361</v>
      </c>
      <c r="C311" t="s">
        <v>29</v>
      </c>
      <c r="D311" t="s">
        <v>141</v>
      </c>
      <c r="E311">
        <v>2</v>
      </c>
      <c r="F311" s="3">
        <v>2462.79</v>
      </c>
      <c r="G311" s="4">
        <v>0.6</v>
      </c>
      <c r="H311" s="3">
        <v>4925.58</v>
      </c>
      <c r="I311" s="1">
        <v>45719</v>
      </c>
      <c r="J311" t="s">
        <v>46</v>
      </c>
      <c r="K311" t="s">
        <v>23</v>
      </c>
      <c r="L311" s="3">
        <v>1970.232</v>
      </c>
      <c r="M311" t="s">
        <v>11</v>
      </c>
    </row>
    <row r="312" spans="1:13" x14ac:dyDescent="0.3">
      <c r="A312">
        <v>1310</v>
      </c>
      <c r="B312" t="s">
        <v>362</v>
      </c>
      <c r="C312" t="s">
        <v>38</v>
      </c>
      <c r="D312" t="s">
        <v>59</v>
      </c>
      <c r="E312">
        <v>2</v>
      </c>
      <c r="F312" s="3">
        <v>2804.2651923076919</v>
      </c>
      <c r="G312" s="4">
        <v>0.6</v>
      </c>
      <c r="H312" s="3">
        <v>5608.5303846153838</v>
      </c>
      <c r="I312" s="1">
        <v>45720</v>
      </c>
      <c r="J312" t="s">
        <v>46</v>
      </c>
      <c r="K312" t="s">
        <v>23</v>
      </c>
      <c r="L312" s="3">
        <v>2243.4121538461536</v>
      </c>
      <c r="M312" t="s">
        <v>11</v>
      </c>
    </row>
    <row r="313" spans="1:13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F313" s="3">
        <v>2483.5844000000002</v>
      </c>
      <c r="G313" s="4">
        <v>0.13</v>
      </c>
      <c r="H313" s="3">
        <v>7450.753200000001</v>
      </c>
      <c r="I313" s="1">
        <v>45272</v>
      </c>
      <c r="J313" t="s">
        <v>22</v>
      </c>
      <c r="K313" t="s">
        <v>23</v>
      </c>
      <c r="L313" s="3">
        <v>6482.1552840000013</v>
      </c>
      <c r="M313" t="s">
        <v>11</v>
      </c>
    </row>
    <row r="314" spans="1:13" x14ac:dyDescent="0.3">
      <c r="A314">
        <v>1312</v>
      </c>
      <c r="B314" t="s">
        <v>364</v>
      </c>
      <c r="C314" t="s">
        <v>29</v>
      </c>
      <c r="D314" t="s">
        <v>42</v>
      </c>
      <c r="E314">
        <v>2</v>
      </c>
      <c r="F314" s="3">
        <v>2559.6667307692314</v>
      </c>
      <c r="G314" s="4">
        <v>0.6</v>
      </c>
      <c r="H314" s="3">
        <v>5119.3334615384629</v>
      </c>
      <c r="I314" s="1">
        <v>45806</v>
      </c>
      <c r="J314" t="s">
        <v>46</v>
      </c>
      <c r="K314" t="s">
        <v>23</v>
      </c>
      <c r="L314" s="3">
        <v>2047.7333846153851</v>
      </c>
      <c r="M314" t="s">
        <v>11</v>
      </c>
    </row>
    <row r="315" spans="1:13" x14ac:dyDescent="0.3">
      <c r="A315">
        <v>1313</v>
      </c>
      <c r="B315" t="s">
        <v>365</v>
      </c>
      <c r="C315" t="s">
        <v>29</v>
      </c>
      <c r="D315" t="s">
        <v>120</v>
      </c>
      <c r="E315">
        <v>2</v>
      </c>
      <c r="F315" s="3">
        <v>4763.45</v>
      </c>
      <c r="G315" s="4">
        <v>0.96</v>
      </c>
      <c r="H315" s="3">
        <v>9526.9</v>
      </c>
      <c r="I315" s="1">
        <v>45284</v>
      </c>
      <c r="J315" t="s">
        <v>46</v>
      </c>
      <c r="K315" t="s">
        <v>16</v>
      </c>
      <c r="L315" s="3">
        <v>381.07600000000031</v>
      </c>
      <c r="M315" t="s">
        <v>2518</v>
      </c>
    </row>
    <row r="316" spans="1:13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F316" s="3">
        <v>2572.7764000000006</v>
      </c>
      <c r="G316" s="4">
        <v>0.6</v>
      </c>
      <c r="H316" s="3">
        <v>-2572.7764000000006</v>
      </c>
      <c r="I316" s="1">
        <v>45626</v>
      </c>
      <c r="J316" t="s">
        <v>56</v>
      </c>
      <c r="K316" t="s">
        <v>16</v>
      </c>
      <c r="L316" s="3">
        <v>-1029.1105600000003</v>
      </c>
      <c r="M316" t="s">
        <v>2518</v>
      </c>
    </row>
    <row r="317" spans="1:13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 s="3">
        <v>515.04</v>
      </c>
      <c r="G317" s="4">
        <v>0.6</v>
      </c>
      <c r="H317" s="3">
        <v>-1030.08</v>
      </c>
      <c r="I317" s="1">
        <v>45473</v>
      </c>
      <c r="J317" t="s">
        <v>40</v>
      </c>
      <c r="K317" t="s">
        <v>23</v>
      </c>
      <c r="L317" s="3">
        <v>-412.03199999999998</v>
      </c>
      <c r="M317" t="s">
        <v>2518</v>
      </c>
    </row>
    <row r="318" spans="1:13" x14ac:dyDescent="0.3">
      <c r="A318">
        <v>1316</v>
      </c>
      <c r="B318" t="s">
        <v>368</v>
      </c>
      <c r="C318" t="s">
        <v>33</v>
      </c>
      <c r="D318" t="s">
        <v>34</v>
      </c>
      <c r="E318">
        <v>2</v>
      </c>
      <c r="F318" s="3">
        <v>1345.98</v>
      </c>
      <c r="G318" s="4">
        <v>0.6</v>
      </c>
      <c r="H318" s="3">
        <v>2691.96</v>
      </c>
      <c r="I318" s="1">
        <v>45769</v>
      </c>
      <c r="J318" t="s">
        <v>46</v>
      </c>
      <c r="K318" t="s">
        <v>23</v>
      </c>
      <c r="L318" s="3">
        <v>1076.7840000000001</v>
      </c>
      <c r="M318" t="s">
        <v>11</v>
      </c>
    </row>
    <row r="319" spans="1:13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F319" s="3">
        <v>2830.1325714285731</v>
      </c>
      <c r="G319" s="4">
        <v>0.6</v>
      </c>
      <c r="H319" s="3">
        <v>0</v>
      </c>
      <c r="I319" s="1">
        <v>45508</v>
      </c>
      <c r="J319" t="s">
        <v>22</v>
      </c>
      <c r="K319" t="s">
        <v>23</v>
      </c>
      <c r="L319" s="3">
        <v>0</v>
      </c>
      <c r="M319" t="s">
        <v>2518</v>
      </c>
    </row>
    <row r="320" spans="1:13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F320" s="3">
        <v>2617.6390384615388</v>
      </c>
      <c r="G320" s="4">
        <v>0.6</v>
      </c>
      <c r="H320" s="3">
        <v>7852.9171153846164</v>
      </c>
      <c r="I320" s="1">
        <v>45782</v>
      </c>
      <c r="J320" t="s">
        <v>46</v>
      </c>
      <c r="K320" t="s">
        <v>16</v>
      </c>
      <c r="L320" s="3">
        <v>3141.1668461538466</v>
      </c>
      <c r="M320" t="s">
        <v>11</v>
      </c>
    </row>
    <row r="321" spans="1:13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F321" s="3">
        <v>2868.7768181818178</v>
      </c>
      <c r="G321" s="4">
        <v>0.6</v>
      </c>
      <c r="H321" s="3">
        <v>0</v>
      </c>
      <c r="I321" s="1">
        <v>45358</v>
      </c>
      <c r="J321" t="s">
        <v>18</v>
      </c>
      <c r="K321" t="s">
        <v>23</v>
      </c>
      <c r="L321" s="3">
        <v>0</v>
      </c>
      <c r="M321" t="s">
        <v>2518</v>
      </c>
    </row>
    <row r="322" spans="1:13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F322" s="3">
        <v>2617.6390384615388</v>
      </c>
      <c r="G322" s="4">
        <v>0.6</v>
      </c>
      <c r="H322" s="3">
        <v>10470.556153846155</v>
      </c>
      <c r="I322" s="1">
        <v>45782</v>
      </c>
      <c r="J322" t="s">
        <v>15</v>
      </c>
      <c r="K322" t="s">
        <v>23</v>
      </c>
      <c r="L322" s="3">
        <v>4188.2224615384621</v>
      </c>
      <c r="M322" t="s">
        <v>11</v>
      </c>
    </row>
    <row r="323" spans="1:13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F323" s="3">
        <v>2700.1263043478252</v>
      </c>
      <c r="G323" s="4">
        <v>1.02</v>
      </c>
      <c r="H323" s="3">
        <v>8100.3789130434761</v>
      </c>
      <c r="I323" s="1">
        <v>45561</v>
      </c>
      <c r="J323" t="s">
        <v>15</v>
      </c>
      <c r="K323" t="s">
        <v>23</v>
      </c>
      <c r="L323" s="3">
        <v>-162.00757826086968</v>
      </c>
      <c r="M323" t="s">
        <v>2518</v>
      </c>
    </row>
    <row r="324" spans="1:13" x14ac:dyDescent="0.3">
      <c r="A324">
        <v>1322</v>
      </c>
      <c r="B324" t="s">
        <v>374</v>
      </c>
      <c r="C324" t="s">
        <v>33</v>
      </c>
      <c r="D324" t="s">
        <v>72</v>
      </c>
      <c r="E324">
        <v>2</v>
      </c>
      <c r="F324" s="3">
        <v>2387.61</v>
      </c>
      <c r="G324" s="4">
        <v>0.6</v>
      </c>
      <c r="H324" s="3">
        <v>4775.22</v>
      </c>
      <c r="I324" s="1">
        <v>45628</v>
      </c>
      <c r="J324" t="s">
        <v>15</v>
      </c>
      <c r="K324" t="s">
        <v>16</v>
      </c>
      <c r="L324" s="3">
        <v>1910.0880000000002</v>
      </c>
      <c r="M324" t="s">
        <v>11</v>
      </c>
    </row>
    <row r="325" spans="1:13" x14ac:dyDescent="0.3">
      <c r="A325">
        <v>1323</v>
      </c>
      <c r="B325" t="s">
        <v>375</v>
      </c>
      <c r="C325" t="s">
        <v>20</v>
      </c>
      <c r="D325" t="s">
        <v>21</v>
      </c>
      <c r="E325">
        <v>2</v>
      </c>
      <c r="F325" s="3">
        <v>2681.1743636363635</v>
      </c>
      <c r="G325" s="4">
        <v>1.1200000000000001</v>
      </c>
      <c r="H325" s="3">
        <v>5362.348727272727</v>
      </c>
      <c r="I325" s="1">
        <v>45412</v>
      </c>
      <c r="J325" t="s">
        <v>46</v>
      </c>
      <c r="K325" t="s">
        <v>23</v>
      </c>
      <c r="L325" s="3">
        <v>-643.4818472727278</v>
      </c>
      <c r="M325" t="s">
        <v>2518</v>
      </c>
    </row>
    <row r="326" spans="1:13" x14ac:dyDescent="0.3">
      <c r="A326">
        <v>1324</v>
      </c>
      <c r="B326" t="s">
        <v>376</v>
      </c>
      <c r="C326" t="s">
        <v>20</v>
      </c>
      <c r="D326" t="s">
        <v>80</v>
      </c>
      <c r="E326">
        <v>2</v>
      </c>
      <c r="F326" s="3">
        <v>2483.5844000000002</v>
      </c>
      <c r="G326" s="4">
        <v>0.6</v>
      </c>
      <c r="H326" s="3">
        <v>4967.1688000000004</v>
      </c>
      <c r="I326" s="1">
        <v>45638</v>
      </c>
      <c r="J326" t="s">
        <v>22</v>
      </c>
      <c r="K326" t="s">
        <v>16</v>
      </c>
      <c r="L326" s="3">
        <v>1986.8675200000002</v>
      </c>
      <c r="M326" t="s">
        <v>11</v>
      </c>
    </row>
    <row r="327" spans="1:13" x14ac:dyDescent="0.3">
      <c r="A327">
        <v>1325</v>
      </c>
      <c r="B327" t="s">
        <v>377</v>
      </c>
      <c r="C327" t="s">
        <v>13</v>
      </c>
      <c r="D327" t="s">
        <v>102</v>
      </c>
      <c r="E327">
        <v>2</v>
      </c>
      <c r="F327" s="3">
        <v>1315.93</v>
      </c>
      <c r="G327" s="4">
        <v>0.6</v>
      </c>
      <c r="H327" s="3">
        <v>2631.86</v>
      </c>
      <c r="I327" s="1">
        <v>45844</v>
      </c>
      <c r="J327" t="s">
        <v>40</v>
      </c>
      <c r="K327" t="s">
        <v>23</v>
      </c>
      <c r="L327" s="3">
        <v>1052.7440000000001</v>
      </c>
      <c r="M327" t="s">
        <v>11</v>
      </c>
    </row>
    <row r="328" spans="1:13" x14ac:dyDescent="0.3">
      <c r="A328">
        <v>1326</v>
      </c>
      <c r="B328" t="s">
        <v>378</v>
      </c>
      <c r="C328" t="s">
        <v>38</v>
      </c>
      <c r="D328" t="s">
        <v>39</v>
      </c>
      <c r="E328">
        <v>2</v>
      </c>
      <c r="F328" s="3">
        <v>4104.3599999999997</v>
      </c>
      <c r="G328" s="4">
        <v>1.1100000000000001</v>
      </c>
      <c r="H328" s="3">
        <v>8208.7199999999993</v>
      </c>
      <c r="I328" s="1">
        <v>45648</v>
      </c>
      <c r="J328" t="s">
        <v>22</v>
      </c>
      <c r="K328" t="s">
        <v>23</v>
      </c>
      <c r="L328" s="3">
        <v>-902.95920000000069</v>
      </c>
      <c r="M328" t="s">
        <v>2518</v>
      </c>
    </row>
    <row r="329" spans="1:13" x14ac:dyDescent="0.3">
      <c r="A329">
        <v>1327</v>
      </c>
      <c r="B329" t="s">
        <v>379</v>
      </c>
      <c r="C329" t="s">
        <v>25</v>
      </c>
      <c r="D329" t="s">
        <v>66</v>
      </c>
      <c r="E329">
        <v>2</v>
      </c>
      <c r="F329" s="3">
        <v>2964.44</v>
      </c>
      <c r="G329" s="4">
        <v>0.6</v>
      </c>
      <c r="H329" s="3">
        <v>5928.88</v>
      </c>
      <c r="I329" s="1">
        <v>45144</v>
      </c>
      <c r="J329" t="s">
        <v>22</v>
      </c>
      <c r="K329" t="s">
        <v>23</v>
      </c>
      <c r="L329" s="3">
        <v>2371.5520000000001</v>
      </c>
      <c r="M329" t="s">
        <v>11</v>
      </c>
    </row>
    <row r="330" spans="1:13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 s="3">
        <v>3250.24</v>
      </c>
      <c r="G330" s="4">
        <v>0.56000000000000005</v>
      </c>
      <c r="H330" s="3">
        <v>13000.96</v>
      </c>
      <c r="I330" s="1">
        <v>45804</v>
      </c>
      <c r="J330" t="s">
        <v>46</v>
      </c>
      <c r="K330" t="s">
        <v>23</v>
      </c>
      <c r="L330" s="3">
        <v>5720.4223999999986</v>
      </c>
      <c r="M330" t="s">
        <v>11</v>
      </c>
    </row>
    <row r="331" spans="1:13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 s="3">
        <v>2587.7800000000002</v>
      </c>
      <c r="G331" s="4">
        <v>0.6</v>
      </c>
      <c r="H331" s="3">
        <v>2587.7800000000002</v>
      </c>
      <c r="I331" s="1">
        <v>45285</v>
      </c>
      <c r="J331" t="s">
        <v>56</v>
      </c>
      <c r="K331" t="s">
        <v>16</v>
      </c>
      <c r="L331" s="3">
        <v>1035.1120000000001</v>
      </c>
      <c r="M331" t="s">
        <v>11</v>
      </c>
    </row>
    <row r="332" spans="1:13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F332" s="3">
        <v>2804.2651923076919</v>
      </c>
      <c r="G332" s="4">
        <v>0.6</v>
      </c>
      <c r="H332" s="3">
        <v>-5608.5303846153838</v>
      </c>
      <c r="I332" s="1">
        <v>45656</v>
      </c>
      <c r="J332" t="s">
        <v>18</v>
      </c>
      <c r="K332" t="s">
        <v>16</v>
      </c>
      <c r="L332" s="3">
        <v>-2243.4121538461536</v>
      </c>
      <c r="M332" t="s">
        <v>2518</v>
      </c>
    </row>
    <row r="333" spans="1:13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F333" s="3">
        <v>2617.6390384615388</v>
      </c>
      <c r="G333" s="4">
        <v>0.6</v>
      </c>
      <c r="H333" s="3">
        <v>15705.834230769233</v>
      </c>
      <c r="I333" s="1">
        <v>45682</v>
      </c>
      <c r="J333" t="s">
        <v>40</v>
      </c>
      <c r="K333" t="s">
        <v>23</v>
      </c>
      <c r="L333" s="3">
        <v>6282.3336923076931</v>
      </c>
      <c r="M333" t="s">
        <v>11</v>
      </c>
    </row>
    <row r="334" spans="1:13" x14ac:dyDescent="0.3">
      <c r="A334">
        <v>1332</v>
      </c>
      <c r="B334" t="s">
        <v>384</v>
      </c>
      <c r="C334" t="s">
        <v>33</v>
      </c>
      <c r="D334" t="s">
        <v>82</v>
      </c>
      <c r="E334">
        <v>2</v>
      </c>
      <c r="F334" s="3">
        <v>2776.2202000000002</v>
      </c>
      <c r="G334" s="4">
        <v>0</v>
      </c>
      <c r="H334" s="3">
        <v>5552.4404000000004</v>
      </c>
      <c r="I334" s="1">
        <v>45788</v>
      </c>
      <c r="J334" t="s">
        <v>22</v>
      </c>
      <c r="K334" t="s">
        <v>16</v>
      </c>
      <c r="L334" s="3">
        <v>5552.4404000000004</v>
      </c>
      <c r="M334" t="s">
        <v>11</v>
      </c>
    </row>
    <row r="335" spans="1:13" x14ac:dyDescent="0.3">
      <c r="A335">
        <v>1028</v>
      </c>
      <c r="B335" t="s">
        <v>385</v>
      </c>
      <c r="C335" t="s">
        <v>29</v>
      </c>
      <c r="D335" t="s">
        <v>120</v>
      </c>
      <c r="E335">
        <v>2</v>
      </c>
      <c r="F335" s="3">
        <v>2830.1325714285731</v>
      </c>
      <c r="G335" s="4">
        <v>0.6</v>
      </c>
      <c r="H335" s="3">
        <v>5660.2651428571462</v>
      </c>
      <c r="I335" s="1">
        <v>45240</v>
      </c>
      <c r="J335" t="s">
        <v>18</v>
      </c>
      <c r="K335" t="s">
        <v>23</v>
      </c>
      <c r="L335" s="3">
        <v>2264.1060571428584</v>
      </c>
      <c r="M335" t="s">
        <v>11</v>
      </c>
    </row>
    <row r="336" spans="1:13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 s="3">
        <v>1454.69</v>
      </c>
      <c r="G336" s="4">
        <v>0.6</v>
      </c>
      <c r="H336" s="3">
        <v>8728.14</v>
      </c>
      <c r="I336" s="1">
        <v>45814</v>
      </c>
      <c r="J336" t="s">
        <v>15</v>
      </c>
      <c r="K336" t="s">
        <v>23</v>
      </c>
      <c r="L336" s="3">
        <v>3491.2559999999999</v>
      </c>
      <c r="M336" t="s">
        <v>11</v>
      </c>
    </row>
    <row r="337" spans="1:13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F337" s="3">
        <v>2572.7764000000006</v>
      </c>
      <c r="G337" s="4">
        <v>0.6</v>
      </c>
      <c r="H337" s="3">
        <v>12863.882000000003</v>
      </c>
      <c r="I337" s="1">
        <v>45772</v>
      </c>
      <c r="J337" t="s">
        <v>56</v>
      </c>
      <c r="K337" t="s">
        <v>16</v>
      </c>
      <c r="L337" s="3">
        <v>5145.5528000000013</v>
      </c>
      <c r="M337" t="s">
        <v>11</v>
      </c>
    </row>
    <row r="338" spans="1:13" x14ac:dyDescent="0.3">
      <c r="A338">
        <v>1336</v>
      </c>
      <c r="B338" t="s">
        <v>388</v>
      </c>
      <c r="C338" t="s">
        <v>20</v>
      </c>
      <c r="D338" t="s">
        <v>88</v>
      </c>
      <c r="E338">
        <v>2</v>
      </c>
      <c r="F338" s="3">
        <v>2725.8557142857148</v>
      </c>
      <c r="G338" s="4">
        <v>0.6</v>
      </c>
      <c r="H338" s="3">
        <v>5451.7114285714297</v>
      </c>
      <c r="I338" s="1">
        <v>45782</v>
      </c>
      <c r="J338" t="s">
        <v>15</v>
      </c>
      <c r="K338" t="s">
        <v>23</v>
      </c>
      <c r="L338" s="3">
        <v>2180.6845714285719</v>
      </c>
      <c r="M338" t="s">
        <v>11</v>
      </c>
    </row>
    <row r="339" spans="1:13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 s="3">
        <v>2286.6799999999998</v>
      </c>
      <c r="G339" s="4">
        <v>1.27</v>
      </c>
      <c r="H339" s="3">
        <v>13720.079999999998</v>
      </c>
      <c r="I339" s="1">
        <v>45595</v>
      </c>
      <c r="J339" t="s">
        <v>56</v>
      </c>
      <c r="K339" t="s">
        <v>16</v>
      </c>
      <c r="L339" s="3">
        <v>-3704.4215999999997</v>
      </c>
      <c r="M339" t="s">
        <v>2518</v>
      </c>
    </row>
    <row r="340" spans="1:13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F340" s="3">
        <v>2776.2202000000002</v>
      </c>
      <c r="G340" s="4">
        <v>0.6</v>
      </c>
      <c r="H340" s="3">
        <v>0</v>
      </c>
      <c r="I340" s="1">
        <v>45617</v>
      </c>
      <c r="J340" t="s">
        <v>18</v>
      </c>
      <c r="K340" t="s">
        <v>23</v>
      </c>
      <c r="L340" s="3">
        <v>0</v>
      </c>
      <c r="M340" t="s">
        <v>2518</v>
      </c>
    </row>
    <row r="341" spans="1:13" x14ac:dyDescent="0.3">
      <c r="A341">
        <v>1339</v>
      </c>
      <c r="B341" t="s">
        <v>391</v>
      </c>
      <c r="C341" t="s">
        <v>38</v>
      </c>
      <c r="D341" t="s">
        <v>59</v>
      </c>
      <c r="E341">
        <v>2</v>
      </c>
      <c r="F341" s="3">
        <v>4507.5</v>
      </c>
      <c r="G341" s="4">
        <v>0.6</v>
      </c>
      <c r="H341" s="3">
        <v>9015</v>
      </c>
      <c r="I341" s="1">
        <v>45839</v>
      </c>
      <c r="J341" t="s">
        <v>40</v>
      </c>
      <c r="K341" t="s">
        <v>23</v>
      </c>
      <c r="L341" s="3">
        <v>3606</v>
      </c>
      <c r="M341" t="s">
        <v>11</v>
      </c>
    </row>
    <row r="342" spans="1:13" x14ac:dyDescent="0.3">
      <c r="A342">
        <v>1340</v>
      </c>
      <c r="B342" t="s">
        <v>392</v>
      </c>
      <c r="C342" t="s">
        <v>13</v>
      </c>
      <c r="D342" t="s">
        <v>49</v>
      </c>
      <c r="E342">
        <v>2</v>
      </c>
      <c r="F342" s="3">
        <v>2785.0877966101693</v>
      </c>
      <c r="G342" s="4">
        <v>0.06</v>
      </c>
      <c r="H342" s="3">
        <v>5570.1755932203387</v>
      </c>
      <c r="I342" s="1">
        <v>45826</v>
      </c>
      <c r="J342" t="s">
        <v>22</v>
      </c>
      <c r="K342" t="s">
        <v>23</v>
      </c>
      <c r="L342" s="3">
        <v>5235.9650576271179</v>
      </c>
      <c r="M342" t="s">
        <v>11</v>
      </c>
    </row>
    <row r="343" spans="1:13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 s="3">
        <v>3074.06</v>
      </c>
      <c r="G343" s="4">
        <v>1.24</v>
      </c>
      <c r="H343" s="3">
        <v>-3074.06</v>
      </c>
      <c r="I343" s="1">
        <v>45771</v>
      </c>
      <c r="J343" t="s">
        <v>18</v>
      </c>
      <c r="K343" t="s">
        <v>23</v>
      </c>
      <c r="L343" s="3">
        <v>737.77440000000001</v>
      </c>
      <c r="M343" t="s">
        <v>11</v>
      </c>
    </row>
    <row r="344" spans="1:13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 s="3">
        <v>4707.2</v>
      </c>
      <c r="G344" s="4">
        <v>0.6</v>
      </c>
      <c r="H344" s="3">
        <v>-4707.2</v>
      </c>
      <c r="I344" s="1">
        <v>45782</v>
      </c>
      <c r="J344" t="s">
        <v>46</v>
      </c>
      <c r="K344" t="s">
        <v>23</v>
      </c>
      <c r="L344" s="3">
        <v>-1882.88</v>
      </c>
      <c r="M344" t="s">
        <v>2518</v>
      </c>
    </row>
    <row r="345" spans="1:13" x14ac:dyDescent="0.3">
      <c r="A345">
        <v>1343</v>
      </c>
      <c r="B345" t="s">
        <v>395</v>
      </c>
      <c r="C345" t="s">
        <v>13</v>
      </c>
      <c r="D345" t="s">
        <v>102</v>
      </c>
      <c r="E345">
        <v>2</v>
      </c>
      <c r="F345" s="3">
        <v>4012.48</v>
      </c>
      <c r="G345" s="4">
        <v>0.6</v>
      </c>
      <c r="H345" s="3">
        <v>8024.96</v>
      </c>
      <c r="I345" s="1">
        <v>45859</v>
      </c>
      <c r="J345" t="s">
        <v>22</v>
      </c>
      <c r="K345" t="s">
        <v>16</v>
      </c>
      <c r="L345" s="3">
        <v>3209.9840000000004</v>
      </c>
      <c r="M345" t="s">
        <v>11</v>
      </c>
    </row>
    <row r="346" spans="1:13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 s="3">
        <v>3386.91</v>
      </c>
      <c r="G346" s="4">
        <v>0.6</v>
      </c>
      <c r="H346" s="3">
        <v>13547.64</v>
      </c>
      <c r="I346" s="1">
        <v>45782</v>
      </c>
      <c r="J346" t="s">
        <v>22</v>
      </c>
      <c r="K346" t="s">
        <v>16</v>
      </c>
      <c r="L346" s="3">
        <v>5419.0560000000005</v>
      </c>
      <c r="M346" t="s">
        <v>11</v>
      </c>
    </row>
    <row r="347" spans="1:13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F347" s="3">
        <v>2715.5458490566025</v>
      </c>
      <c r="G347" s="4">
        <v>0.18</v>
      </c>
      <c r="H347" s="3">
        <v>5431.091698113205</v>
      </c>
      <c r="I347" s="1">
        <v>45782</v>
      </c>
      <c r="J347" t="s">
        <v>40</v>
      </c>
      <c r="K347" t="s">
        <v>23</v>
      </c>
      <c r="L347" s="3">
        <v>4453.4951924528286</v>
      </c>
      <c r="M347" t="s">
        <v>11</v>
      </c>
    </row>
    <row r="348" spans="1:13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 s="3">
        <v>1622.65</v>
      </c>
      <c r="G348" s="4">
        <v>0.6</v>
      </c>
      <c r="H348" s="3">
        <v>-3245.3</v>
      </c>
      <c r="I348" s="1">
        <v>45782</v>
      </c>
      <c r="J348" t="s">
        <v>22</v>
      </c>
      <c r="K348" t="s">
        <v>16</v>
      </c>
      <c r="L348" s="3">
        <v>-1298.1200000000001</v>
      </c>
      <c r="M348" t="s">
        <v>2518</v>
      </c>
    </row>
    <row r="349" spans="1:13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 s="3">
        <v>2228.4499999999998</v>
      </c>
      <c r="G349" s="4">
        <v>1.2</v>
      </c>
      <c r="H349" s="3">
        <v>13370.699999999999</v>
      </c>
      <c r="I349" s="1">
        <v>45694</v>
      </c>
      <c r="J349" t="s">
        <v>40</v>
      </c>
      <c r="K349" t="s">
        <v>16</v>
      </c>
      <c r="L349" s="3">
        <v>-2674.139999999999</v>
      </c>
      <c r="M349" t="s">
        <v>2518</v>
      </c>
    </row>
    <row r="350" spans="1:13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 s="3">
        <v>1219.2</v>
      </c>
      <c r="G350" s="4">
        <v>1.17</v>
      </c>
      <c r="H350" s="3">
        <v>2438.4</v>
      </c>
      <c r="I350" s="1">
        <v>45604</v>
      </c>
      <c r="J350" t="s">
        <v>56</v>
      </c>
      <c r="K350" t="s">
        <v>23</v>
      </c>
      <c r="L350" s="3">
        <v>-414.52799999999985</v>
      </c>
      <c r="M350" t="s">
        <v>2518</v>
      </c>
    </row>
    <row r="351" spans="1:13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F351" s="3">
        <v>2700.1263043478252</v>
      </c>
      <c r="G351" s="4">
        <v>0.82</v>
      </c>
      <c r="H351" s="3">
        <v>-5400.2526086956505</v>
      </c>
      <c r="I351" s="1">
        <v>45705</v>
      </c>
      <c r="J351" t="s">
        <v>46</v>
      </c>
      <c r="K351" t="s">
        <v>23</v>
      </c>
      <c r="L351" s="3">
        <v>-972.04546956521733</v>
      </c>
      <c r="M351" t="s">
        <v>2518</v>
      </c>
    </row>
    <row r="352" spans="1:13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 s="3">
        <v>2319.84</v>
      </c>
      <c r="G352" s="4">
        <v>0.6</v>
      </c>
      <c r="H352" s="3">
        <v>4639.68</v>
      </c>
      <c r="I352" s="1">
        <v>45782</v>
      </c>
      <c r="J352" t="s">
        <v>40</v>
      </c>
      <c r="K352" t="s">
        <v>23</v>
      </c>
      <c r="L352" s="3">
        <v>1855.8720000000003</v>
      </c>
      <c r="M352" t="s">
        <v>11</v>
      </c>
    </row>
    <row r="353" spans="1:13" x14ac:dyDescent="0.3">
      <c r="A353">
        <v>1351</v>
      </c>
      <c r="B353" t="s">
        <v>403</v>
      </c>
      <c r="C353" t="s">
        <v>25</v>
      </c>
      <c r="D353" t="s">
        <v>66</v>
      </c>
      <c r="E353">
        <v>2</v>
      </c>
      <c r="F353" s="3">
        <v>2572.7764000000006</v>
      </c>
      <c r="G353" s="4">
        <v>0.6</v>
      </c>
      <c r="H353" s="3">
        <v>5145.5528000000013</v>
      </c>
      <c r="I353" s="1">
        <v>45546</v>
      </c>
      <c r="J353" t="s">
        <v>56</v>
      </c>
      <c r="K353" t="s">
        <v>16</v>
      </c>
      <c r="L353" s="3">
        <v>2058.2211200000006</v>
      </c>
      <c r="M353" t="s">
        <v>11</v>
      </c>
    </row>
    <row r="354" spans="1:13" x14ac:dyDescent="0.3">
      <c r="A354">
        <v>1034</v>
      </c>
      <c r="B354" t="s">
        <v>404</v>
      </c>
      <c r="C354" t="s">
        <v>33</v>
      </c>
      <c r="D354" t="s">
        <v>82</v>
      </c>
      <c r="E354">
        <v>2</v>
      </c>
      <c r="F354" s="3">
        <v>3991.4</v>
      </c>
      <c r="G354" s="4">
        <v>0.6</v>
      </c>
      <c r="H354" s="3">
        <v>7982.8</v>
      </c>
      <c r="I354" s="1">
        <v>45693</v>
      </c>
      <c r="J354" t="s">
        <v>46</v>
      </c>
      <c r="K354" t="s">
        <v>23</v>
      </c>
      <c r="L354" s="3">
        <v>3193.1200000000003</v>
      </c>
      <c r="M354" t="s">
        <v>11</v>
      </c>
    </row>
    <row r="355" spans="1:13" x14ac:dyDescent="0.3">
      <c r="A355">
        <v>1042</v>
      </c>
      <c r="B355" t="s">
        <v>405</v>
      </c>
      <c r="C355" t="s">
        <v>13</v>
      </c>
      <c r="D355" t="s">
        <v>49</v>
      </c>
      <c r="E355">
        <v>2</v>
      </c>
      <c r="F355" s="3">
        <v>2785.0877966101693</v>
      </c>
      <c r="G355" s="4">
        <v>0.84</v>
      </c>
      <c r="H355" s="3">
        <v>5570.1755932203387</v>
      </c>
      <c r="I355" s="1">
        <v>45816</v>
      </c>
      <c r="J355" t="s">
        <v>40</v>
      </c>
      <c r="K355" t="s">
        <v>23</v>
      </c>
      <c r="L355" s="3">
        <v>891.22809491525436</v>
      </c>
      <c r="M355" t="s">
        <v>11</v>
      </c>
    </row>
    <row r="356" spans="1:13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F356" s="3">
        <v>2785.0877966101693</v>
      </c>
      <c r="G356" s="4">
        <v>0.6</v>
      </c>
      <c r="H356" s="3">
        <v>2785.0877966101693</v>
      </c>
      <c r="I356" s="1">
        <v>45789</v>
      </c>
      <c r="J356" t="s">
        <v>18</v>
      </c>
      <c r="K356" t="s">
        <v>23</v>
      </c>
      <c r="L356" s="3">
        <v>1114.0351186440678</v>
      </c>
      <c r="M356" t="s">
        <v>11</v>
      </c>
    </row>
    <row r="357" spans="1:13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 s="3">
        <v>1054.69</v>
      </c>
      <c r="G357" s="4">
        <v>0.18</v>
      </c>
      <c r="H357" s="3">
        <v>1054.69</v>
      </c>
      <c r="I357" s="1">
        <v>45585</v>
      </c>
      <c r="J357" t="s">
        <v>22</v>
      </c>
      <c r="K357" t="s">
        <v>23</v>
      </c>
      <c r="L357" s="3">
        <v>864.84580000000005</v>
      </c>
      <c r="M357" t="s">
        <v>11</v>
      </c>
    </row>
    <row r="358" spans="1:13" x14ac:dyDescent="0.3">
      <c r="A358">
        <v>1356</v>
      </c>
      <c r="B358" t="s">
        <v>408</v>
      </c>
      <c r="C358" t="s">
        <v>20</v>
      </c>
      <c r="D358" t="s">
        <v>88</v>
      </c>
      <c r="E358">
        <v>2</v>
      </c>
      <c r="F358" s="3">
        <v>2418.5500000000002</v>
      </c>
      <c r="G358" s="4">
        <v>0.88</v>
      </c>
      <c r="H358" s="3">
        <v>4837.1000000000004</v>
      </c>
      <c r="I358" s="1">
        <v>45758</v>
      </c>
      <c r="J358" t="s">
        <v>18</v>
      </c>
      <c r="K358" t="s">
        <v>16</v>
      </c>
      <c r="L358" s="3">
        <v>580.452</v>
      </c>
      <c r="M358" t="s">
        <v>11</v>
      </c>
    </row>
    <row r="359" spans="1:13" x14ac:dyDescent="0.3">
      <c r="A359">
        <v>1357</v>
      </c>
      <c r="B359" t="s">
        <v>409</v>
      </c>
      <c r="C359" t="s">
        <v>20</v>
      </c>
      <c r="D359" t="s">
        <v>21</v>
      </c>
      <c r="E359">
        <v>2</v>
      </c>
      <c r="F359" s="3">
        <v>1128.57</v>
      </c>
      <c r="G359" s="4">
        <v>0.39</v>
      </c>
      <c r="H359" s="3">
        <v>2257.14</v>
      </c>
      <c r="I359" s="1">
        <v>45678</v>
      </c>
      <c r="J359" t="s">
        <v>56</v>
      </c>
      <c r="K359" t="s">
        <v>23</v>
      </c>
      <c r="L359" s="3">
        <v>1376.8553999999999</v>
      </c>
      <c r="M359" t="s">
        <v>11</v>
      </c>
    </row>
    <row r="360" spans="1:13" x14ac:dyDescent="0.3">
      <c r="A360">
        <v>1358</v>
      </c>
      <c r="B360" t="s">
        <v>410</v>
      </c>
      <c r="C360" t="s">
        <v>29</v>
      </c>
      <c r="D360" t="s">
        <v>42</v>
      </c>
      <c r="E360">
        <v>2</v>
      </c>
      <c r="F360" s="3">
        <v>2559.6667307692314</v>
      </c>
      <c r="G360" s="4">
        <v>1.23</v>
      </c>
      <c r="H360" s="3">
        <v>5119.3334615384629</v>
      </c>
      <c r="I360" s="1">
        <v>45704</v>
      </c>
      <c r="J360" t="s">
        <v>40</v>
      </c>
      <c r="K360" t="s">
        <v>16</v>
      </c>
      <c r="L360" s="3">
        <v>-1177.4466961538465</v>
      </c>
      <c r="M360" t="s">
        <v>2518</v>
      </c>
    </row>
    <row r="361" spans="1:13" x14ac:dyDescent="0.3">
      <c r="A361">
        <v>1359</v>
      </c>
      <c r="B361" t="s">
        <v>411</v>
      </c>
      <c r="C361" t="s">
        <v>33</v>
      </c>
      <c r="D361" t="s">
        <v>34</v>
      </c>
      <c r="E361">
        <v>2</v>
      </c>
      <c r="F361" s="3">
        <v>4625.84</v>
      </c>
      <c r="G361" s="4">
        <v>0.6</v>
      </c>
      <c r="H361" s="3">
        <v>9251.68</v>
      </c>
      <c r="I361" s="1">
        <v>45782</v>
      </c>
      <c r="J361" t="s">
        <v>22</v>
      </c>
      <c r="K361" t="s">
        <v>23</v>
      </c>
      <c r="L361" s="3">
        <v>3700.6720000000005</v>
      </c>
      <c r="M361" t="s">
        <v>11</v>
      </c>
    </row>
    <row r="362" spans="1:13" x14ac:dyDescent="0.3">
      <c r="A362">
        <v>1360</v>
      </c>
      <c r="B362" t="s">
        <v>412</v>
      </c>
      <c r="C362" t="s">
        <v>13</v>
      </c>
      <c r="D362" t="s">
        <v>36</v>
      </c>
      <c r="E362">
        <v>2</v>
      </c>
      <c r="F362" s="3">
        <v>2882.5046551724135</v>
      </c>
      <c r="G362" s="4">
        <v>1.1299999999999999</v>
      </c>
      <c r="H362" s="3">
        <v>5765.0093103448271</v>
      </c>
      <c r="I362" s="1">
        <v>45692</v>
      </c>
      <c r="J362" t="s">
        <v>15</v>
      </c>
      <c r="K362" t="s">
        <v>23</v>
      </c>
      <c r="L362" s="3">
        <v>-749.4512103448269</v>
      </c>
      <c r="M362" t="s">
        <v>2518</v>
      </c>
    </row>
    <row r="363" spans="1:13" x14ac:dyDescent="0.3">
      <c r="A363">
        <v>1361</v>
      </c>
      <c r="B363" t="s">
        <v>413</v>
      </c>
      <c r="C363" t="s">
        <v>33</v>
      </c>
      <c r="D363" t="s">
        <v>72</v>
      </c>
      <c r="E363">
        <v>2</v>
      </c>
      <c r="F363" s="3">
        <v>2715.5458490566025</v>
      </c>
      <c r="G363" s="4">
        <v>0.6</v>
      </c>
      <c r="H363" s="3">
        <v>5431.091698113205</v>
      </c>
      <c r="I363" s="1">
        <v>45660</v>
      </c>
      <c r="J363" t="s">
        <v>22</v>
      </c>
      <c r="K363" t="s">
        <v>16</v>
      </c>
      <c r="L363" s="3">
        <v>2172.436679245282</v>
      </c>
      <c r="M363" t="s">
        <v>11</v>
      </c>
    </row>
    <row r="364" spans="1:13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 s="3">
        <v>4953.0200000000004</v>
      </c>
      <c r="G364" s="4">
        <v>0.6</v>
      </c>
      <c r="H364" s="3">
        <v>-4953.0200000000004</v>
      </c>
      <c r="I364" s="1">
        <v>45633</v>
      </c>
      <c r="J364" t="s">
        <v>18</v>
      </c>
      <c r="K364" t="s">
        <v>16</v>
      </c>
      <c r="L364" s="3">
        <v>-1981.2080000000003</v>
      </c>
      <c r="M364" t="s">
        <v>2518</v>
      </c>
    </row>
    <row r="365" spans="1:13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F365" s="3">
        <v>2868.7768181818178</v>
      </c>
      <c r="G365" s="4">
        <v>0.6</v>
      </c>
      <c r="H365" s="3">
        <v>17212.660909090908</v>
      </c>
      <c r="I365" s="1">
        <v>45782</v>
      </c>
      <c r="J365" t="s">
        <v>22</v>
      </c>
      <c r="K365" t="s">
        <v>23</v>
      </c>
      <c r="L365" s="3">
        <v>6885.0643636363639</v>
      </c>
      <c r="M365" t="s">
        <v>11</v>
      </c>
    </row>
    <row r="366" spans="1:13" x14ac:dyDescent="0.3">
      <c r="A366">
        <v>1364</v>
      </c>
      <c r="B366" t="s">
        <v>416</v>
      </c>
      <c r="C366" t="s">
        <v>33</v>
      </c>
      <c r="D366" t="s">
        <v>72</v>
      </c>
      <c r="E366">
        <v>2</v>
      </c>
      <c r="F366" s="3">
        <v>2715.5458490566025</v>
      </c>
      <c r="G366" s="4">
        <v>0.01</v>
      </c>
      <c r="H366" s="3">
        <v>5431.091698113205</v>
      </c>
      <c r="I366" s="1">
        <v>45782</v>
      </c>
      <c r="J366" t="s">
        <v>18</v>
      </c>
      <c r="K366" t="s">
        <v>16</v>
      </c>
      <c r="L366" s="3">
        <v>5376.7807811320727</v>
      </c>
      <c r="M366" t="s">
        <v>11</v>
      </c>
    </row>
    <row r="367" spans="1:13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 s="3">
        <v>776.52</v>
      </c>
      <c r="G367" s="4">
        <v>0.6</v>
      </c>
      <c r="H367" s="3">
        <v>776.52</v>
      </c>
      <c r="I367" s="1">
        <v>45782</v>
      </c>
      <c r="J367" t="s">
        <v>15</v>
      </c>
      <c r="K367" t="s">
        <v>16</v>
      </c>
      <c r="L367" s="3">
        <v>310.608</v>
      </c>
      <c r="M367" t="s">
        <v>2518</v>
      </c>
    </row>
    <row r="368" spans="1:13" x14ac:dyDescent="0.3">
      <c r="A368">
        <v>1366</v>
      </c>
      <c r="B368" t="s">
        <v>418</v>
      </c>
      <c r="C368" t="s">
        <v>38</v>
      </c>
      <c r="D368" t="s">
        <v>91</v>
      </c>
      <c r="E368">
        <v>2</v>
      </c>
      <c r="F368" s="3">
        <v>1927.12</v>
      </c>
      <c r="G368" s="4">
        <v>0.44</v>
      </c>
      <c r="H368" s="3">
        <v>3854.24</v>
      </c>
      <c r="I368" s="1">
        <v>45517</v>
      </c>
      <c r="J368" t="s">
        <v>40</v>
      </c>
      <c r="K368" t="s">
        <v>16</v>
      </c>
      <c r="L368" s="3">
        <v>2158.3744000000002</v>
      </c>
      <c r="M368" t="s">
        <v>11</v>
      </c>
    </row>
    <row r="369" spans="1:13" x14ac:dyDescent="0.3">
      <c r="A369">
        <v>1367</v>
      </c>
      <c r="B369" t="s">
        <v>419</v>
      </c>
      <c r="C369" t="s">
        <v>29</v>
      </c>
      <c r="D369" t="s">
        <v>141</v>
      </c>
      <c r="E369">
        <v>2</v>
      </c>
      <c r="F369" s="3">
        <v>573.79999999999995</v>
      </c>
      <c r="G369" s="4">
        <v>0.6</v>
      </c>
      <c r="H369" s="3">
        <v>1147.5999999999999</v>
      </c>
      <c r="I369" s="1">
        <v>45680</v>
      </c>
      <c r="J369" t="s">
        <v>18</v>
      </c>
      <c r="K369" t="s">
        <v>23</v>
      </c>
      <c r="L369" s="3">
        <v>459.03999999999996</v>
      </c>
      <c r="M369" t="s">
        <v>2518</v>
      </c>
    </row>
    <row r="370" spans="1:13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 s="3">
        <v>4032.95</v>
      </c>
      <c r="G370" s="4">
        <v>0.6</v>
      </c>
      <c r="H370" s="3">
        <v>16131.8</v>
      </c>
      <c r="I370" s="1">
        <v>45782</v>
      </c>
      <c r="J370" t="s">
        <v>18</v>
      </c>
      <c r="K370" t="s">
        <v>16</v>
      </c>
      <c r="L370" s="3">
        <v>6452.72</v>
      </c>
      <c r="M370" t="s">
        <v>11</v>
      </c>
    </row>
    <row r="371" spans="1:13" x14ac:dyDescent="0.3">
      <c r="A371">
        <v>1369</v>
      </c>
      <c r="B371" t="s">
        <v>421</v>
      </c>
      <c r="C371" t="s">
        <v>29</v>
      </c>
      <c r="D371" t="s">
        <v>141</v>
      </c>
      <c r="E371">
        <v>2</v>
      </c>
      <c r="F371" s="3">
        <v>2462.79</v>
      </c>
      <c r="G371" s="4">
        <v>1.1000000000000001</v>
      </c>
      <c r="H371" s="3">
        <v>4925.58</v>
      </c>
      <c r="I371" s="1">
        <v>45818</v>
      </c>
      <c r="J371" t="s">
        <v>56</v>
      </c>
      <c r="K371" t="s">
        <v>23</v>
      </c>
      <c r="L371" s="3">
        <v>-492.55800000000045</v>
      </c>
      <c r="M371" t="s">
        <v>2518</v>
      </c>
    </row>
    <row r="372" spans="1:13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 s="3">
        <v>2345.4899999999998</v>
      </c>
      <c r="G372" s="4">
        <v>1.18</v>
      </c>
      <c r="H372" s="3">
        <v>-4690.9799999999996</v>
      </c>
      <c r="I372" s="1">
        <v>45620</v>
      </c>
      <c r="J372" t="s">
        <v>56</v>
      </c>
      <c r="K372" t="s">
        <v>23</v>
      </c>
      <c r="L372" s="3">
        <v>844.37639999999965</v>
      </c>
      <c r="M372" t="s">
        <v>11</v>
      </c>
    </row>
    <row r="373" spans="1:13" x14ac:dyDescent="0.3">
      <c r="A373">
        <v>1371</v>
      </c>
      <c r="B373" t="s">
        <v>423</v>
      </c>
      <c r="C373" t="s">
        <v>13</v>
      </c>
      <c r="D373" t="s">
        <v>102</v>
      </c>
      <c r="E373">
        <v>2</v>
      </c>
      <c r="F373" s="3">
        <v>2576.3056896551716</v>
      </c>
      <c r="G373" s="4">
        <v>0.6</v>
      </c>
      <c r="H373" s="3">
        <v>5152.6113793103432</v>
      </c>
      <c r="I373" s="1">
        <v>45782</v>
      </c>
      <c r="J373" t="s">
        <v>22</v>
      </c>
      <c r="K373" t="s">
        <v>23</v>
      </c>
      <c r="L373" s="3">
        <v>2061.0445517241374</v>
      </c>
      <c r="M373" t="s">
        <v>11</v>
      </c>
    </row>
    <row r="374" spans="1:13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F374" s="3">
        <v>2559.6667307692314</v>
      </c>
      <c r="G374" s="4">
        <v>0.19</v>
      </c>
      <c r="H374" s="3">
        <v>2559.6667307692314</v>
      </c>
      <c r="I374" s="1">
        <v>45652</v>
      </c>
      <c r="J374" t="s">
        <v>15</v>
      </c>
      <c r="K374" t="s">
        <v>23</v>
      </c>
      <c r="L374" s="3">
        <v>2073.3300519230775</v>
      </c>
      <c r="M374" t="s">
        <v>11</v>
      </c>
    </row>
    <row r="375" spans="1:13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 s="3">
        <v>3523.43</v>
      </c>
      <c r="G375" s="4">
        <v>0.19</v>
      </c>
      <c r="H375" s="3">
        <v>-7046.86</v>
      </c>
      <c r="I375" s="1">
        <v>45782</v>
      </c>
      <c r="J375" t="s">
        <v>15</v>
      </c>
      <c r="K375" t="s">
        <v>23</v>
      </c>
      <c r="L375" s="3">
        <v>-5707.9566000000004</v>
      </c>
      <c r="M375" t="s">
        <v>2518</v>
      </c>
    </row>
    <row r="376" spans="1:13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F376" s="3">
        <v>2715.5458490566025</v>
      </c>
      <c r="G376" s="4">
        <v>0.6</v>
      </c>
      <c r="H376" s="3">
        <v>2715.5458490566025</v>
      </c>
      <c r="I376" s="1">
        <v>45335</v>
      </c>
      <c r="J376" t="s">
        <v>40</v>
      </c>
      <c r="K376" t="s">
        <v>23</v>
      </c>
      <c r="L376" s="3">
        <v>1086.218339622641</v>
      </c>
      <c r="M376" t="s">
        <v>11</v>
      </c>
    </row>
    <row r="377" spans="1:13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 s="3">
        <v>420.42</v>
      </c>
      <c r="G377" s="4">
        <v>0.6</v>
      </c>
      <c r="H377" s="3">
        <v>1261.26</v>
      </c>
      <c r="I377" s="1">
        <v>45782</v>
      </c>
      <c r="J377" t="s">
        <v>56</v>
      </c>
      <c r="K377" t="s">
        <v>23</v>
      </c>
      <c r="L377" s="3">
        <v>504.50400000000002</v>
      </c>
      <c r="M377" t="s">
        <v>11</v>
      </c>
    </row>
    <row r="378" spans="1:13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 s="3">
        <v>1447.28</v>
      </c>
      <c r="G378" s="4">
        <v>0.6</v>
      </c>
      <c r="H378" s="3">
        <v>5789.12</v>
      </c>
      <c r="I378" s="1">
        <v>45500</v>
      </c>
      <c r="J378" t="s">
        <v>56</v>
      </c>
      <c r="K378" t="s">
        <v>23</v>
      </c>
      <c r="L378" s="3">
        <v>2315.6480000000001</v>
      </c>
      <c r="M378" t="s">
        <v>11</v>
      </c>
    </row>
    <row r="379" spans="1:13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F379" s="3">
        <v>2725.8557142857148</v>
      </c>
      <c r="G379" s="4">
        <v>0.65</v>
      </c>
      <c r="H379" s="3">
        <v>0</v>
      </c>
      <c r="I379" s="1">
        <v>45782</v>
      </c>
      <c r="J379" t="s">
        <v>40</v>
      </c>
      <c r="K379" t="s">
        <v>23</v>
      </c>
      <c r="L379" s="3">
        <v>0</v>
      </c>
      <c r="M379" t="s">
        <v>2518</v>
      </c>
    </row>
    <row r="380" spans="1:13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 s="3">
        <v>4581.26</v>
      </c>
      <c r="G380" s="4">
        <v>1.18</v>
      </c>
      <c r="H380" s="3">
        <v>22906.300000000003</v>
      </c>
      <c r="I380" s="1">
        <v>45679</v>
      </c>
      <c r="J380" t="s">
        <v>40</v>
      </c>
      <c r="K380" t="s">
        <v>23</v>
      </c>
      <c r="L380" s="3">
        <v>-4123.1339999999991</v>
      </c>
      <c r="M380" t="s">
        <v>2518</v>
      </c>
    </row>
    <row r="381" spans="1:13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F381" s="3">
        <v>2681.1743636363635</v>
      </c>
      <c r="G381" s="4">
        <v>0.6</v>
      </c>
      <c r="H381" s="3">
        <v>5362.348727272727</v>
      </c>
      <c r="I381" s="1">
        <v>45574</v>
      </c>
      <c r="J381" t="s">
        <v>15</v>
      </c>
      <c r="K381" t="s">
        <v>23</v>
      </c>
      <c r="L381" s="3">
        <v>2144.9394909090911</v>
      </c>
      <c r="M381" t="s">
        <v>11</v>
      </c>
    </row>
    <row r="382" spans="1:13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F382" s="3">
        <v>2868.7768181818178</v>
      </c>
      <c r="G382" s="4">
        <v>0.6</v>
      </c>
      <c r="H382" s="3">
        <v>5737.5536363636356</v>
      </c>
      <c r="I382" s="1">
        <v>45782</v>
      </c>
      <c r="J382" t="s">
        <v>15</v>
      </c>
      <c r="K382" t="s">
        <v>23</v>
      </c>
      <c r="L382" s="3">
        <v>2295.0214545454542</v>
      </c>
      <c r="M382" t="s">
        <v>11</v>
      </c>
    </row>
    <row r="383" spans="1:13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F383" s="3">
        <v>2576.3056896551716</v>
      </c>
      <c r="G383" s="4">
        <v>1.07</v>
      </c>
      <c r="H383" s="3">
        <v>2576.3056896551716</v>
      </c>
      <c r="I383" s="1">
        <v>45486</v>
      </c>
      <c r="J383" t="s">
        <v>40</v>
      </c>
      <c r="K383" t="s">
        <v>16</v>
      </c>
      <c r="L383" s="3">
        <v>-180.34139827586216</v>
      </c>
      <c r="M383" t="s">
        <v>2518</v>
      </c>
    </row>
    <row r="384" spans="1:13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F384" s="3">
        <v>2882.5046551724135</v>
      </c>
      <c r="G384" s="4">
        <v>0.6</v>
      </c>
      <c r="H384" s="3">
        <v>-5765.0093103448271</v>
      </c>
      <c r="I384" s="1">
        <v>45549</v>
      </c>
      <c r="J384" t="s">
        <v>40</v>
      </c>
      <c r="K384" t="s">
        <v>23</v>
      </c>
      <c r="L384" s="3">
        <v>-2306.0037241379309</v>
      </c>
      <c r="M384" t="s">
        <v>2518</v>
      </c>
    </row>
    <row r="385" spans="1:13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 s="3">
        <v>2409.13</v>
      </c>
      <c r="G385" s="4">
        <v>0.6</v>
      </c>
      <c r="H385" s="3">
        <v>12045.650000000001</v>
      </c>
      <c r="I385" s="1">
        <v>45841</v>
      </c>
      <c r="J385" t="s">
        <v>46</v>
      </c>
      <c r="K385" t="s">
        <v>16</v>
      </c>
      <c r="L385" s="3">
        <v>4818.2600000000011</v>
      </c>
      <c r="M385" t="s">
        <v>11</v>
      </c>
    </row>
    <row r="386" spans="1:13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F386" s="3">
        <v>2572.7764000000006</v>
      </c>
      <c r="G386" s="4">
        <v>0.6</v>
      </c>
      <c r="H386" s="3">
        <v>5145.5528000000013</v>
      </c>
      <c r="I386" s="1">
        <v>45657</v>
      </c>
      <c r="J386" t="s">
        <v>18</v>
      </c>
      <c r="K386" t="s">
        <v>23</v>
      </c>
      <c r="L386" s="3">
        <v>2058.2211200000006</v>
      </c>
      <c r="M386" t="s">
        <v>11</v>
      </c>
    </row>
    <row r="387" spans="1:13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F387" s="3">
        <v>2845.2419672131159</v>
      </c>
      <c r="G387" s="4">
        <v>0.6</v>
      </c>
      <c r="H387" s="3">
        <v>2845.2419672131159</v>
      </c>
      <c r="I387" s="1">
        <v>45782</v>
      </c>
      <c r="J387" t="s">
        <v>40</v>
      </c>
      <c r="K387" t="s">
        <v>16</v>
      </c>
      <c r="L387" s="3">
        <v>1138.0967868852465</v>
      </c>
      <c r="M387" t="s">
        <v>11</v>
      </c>
    </row>
    <row r="388" spans="1:13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 s="3">
        <v>4439.8100000000004</v>
      </c>
      <c r="G388" s="4">
        <v>1.1000000000000001</v>
      </c>
      <c r="H388" s="3">
        <v>22199.050000000003</v>
      </c>
      <c r="I388" s="1">
        <v>45608</v>
      </c>
      <c r="J388" t="s">
        <v>15</v>
      </c>
      <c r="K388" t="s">
        <v>23</v>
      </c>
      <c r="L388" s="3">
        <v>-2219.9050000000025</v>
      </c>
      <c r="M388" t="s">
        <v>2518</v>
      </c>
    </row>
    <row r="389" spans="1:13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F389" s="3">
        <v>2681.1743636363635</v>
      </c>
      <c r="G389" s="4">
        <v>0.6</v>
      </c>
      <c r="H389" s="3">
        <v>8043.5230909090906</v>
      </c>
      <c r="I389" s="1">
        <v>45507</v>
      </c>
      <c r="J389" t="s">
        <v>46</v>
      </c>
      <c r="K389" t="s">
        <v>23</v>
      </c>
      <c r="L389" s="3">
        <v>3217.4092363636364</v>
      </c>
      <c r="M389" t="s">
        <v>11</v>
      </c>
    </row>
    <row r="390" spans="1:13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F390" s="3">
        <v>3008.3844444444444</v>
      </c>
      <c r="G390" s="4">
        <v>0.6</v>
      </c>
      <c r="H390" s="3">
        <v>12033.537777777778</v>
      </c>
      <c r="I390" s="1">
        <v>45433</v>
      </c>
      <c r="J390" t="s">
        <v>15</v>
      </c>
      <c r="K390" t="s">
        <v>16</v>
      </c>
      <c r="L390" s="3">
        <v>4813.4151111111114</v>
      </c>
      <c r="M390" t="s">
        <v>11</v>
      </c>
    </row>
    <row r="391" spans="1:13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 s="3">
        <v>2742.38</v>
      </c>
      <c r="G391" s="4">
        <v>0.6</v>
      </c>
      <c r="H391" s="3">
        <v>5484.76</v>
      </c>
      <c r="I391" s="1">
        <v>45132</v>
      </c>
      <c r="J391" t="s">
        <v>18</v>
      </c>
      <c r="K391" t="s">
        <v>23</v>
      </c>
      <c r="L391" s="3">
        <v>2193.904</v>
      </c>
      <c r="M391" t="s">
        <v>11</v>
      </c>
    </row>
    <row r="392" spans="1:13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F392" s="3">
        <v>2381.2677586206896</v>
      </c>
      <c r="G392" s="4">
        <v>0.6</v>
      </c>
      <c r="H392" s="3">
        <v>9525.0710344827585</v>
      </c>
      <c r="I392" s="1">
        <v>45782</v>
      </c>
      <c r="J392" t="s">
        <v>46</v>
      </c>
      <c r="K392" t="s">
        <v>23</v>
      </c>
      <c r="L392" s="3">
        <v>3810.0284137931035</v>
      </c>
      <c r="M392" t="s">
        <v>11</v>
      </c>
    </row>
    <row r="393" spans="1:13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 s="3">
        <v>2213.79</v>
      </c>
      <c r="G393" s="4">
        <v>0.01</v>
      </c>
      <c r="H393" s="3">
        <v>0</v>
      </c>
      <c r="I393" s="1">
        <v>45738</v>
      </c>
      <c r="J393" t="s">
        <v>56</v>
      </c>
      <c r="K393" t="s">
        <v>23</v>
      </c>
      <c r="L393" s="3">
        <v>0</v>
      </c>
      <c r="M393" t="s">
        <v>2518</v>
      </c>
    </row>
    <row r="394" spans="1:13" x14ac:dyDescent="0.3">
      <c r="A394">
        <v>1014</v>
      </c>
      <c r="B394" t="s">
        <v>444</v>
      </c>
      <c r="C394" t="s">
        <v>13</v>
      </c>
      <c r="D394" t="s">
        <v>102</v>
      </c>
      <c r="E394">
        <v>2</v>
      </c>
      <c r="F394" s="3">
        <v>784.1</v>
      </c>
      <c r="G394" s="4">
        <v>0.6</v>
      </c>
      <c r="H394" s="3">
        <v>1568.2</v>
      </c>
      <c r="I394" s="1">
        <v>45693</v>
      </c>
      <c r="J394" t="s">
        <v>15</v>
      </c>
      <c r="K394" t="s">
        <v>23</v>
      </c>
      <c r="L394" s="3">
        <v>627.28000000000009</v>
      </c>
      <c r="M394" t="s">
        <v>11</v>
      </c>
    </row>
    <row r="395" spans="1:13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F395" s="3">
        <v>2483.5844000000002</v>
      </c>
      <c r="G395" s="4">
        <v>0.6</v>
      </c>
      <c r="H395" s="3">
        <v>14901.506400000002</v>
      </c>
      <c r="I395" s="1">
        <v>45782</v>
      </c>
      <c r="J395" t="s">
        <v>56</v>
      </c>
      <c r="K395" t="s">
        <v>16</v>
      </c>
      <c r="L395" s="3">
        <v>5960.6025600000012</v>
      </c>
      <c r="M395" t="s">
        <v>11</v>
      </c>
    </row>
    <row r="396" spans="1:13" x14ac:dyDescent="0.3">
      <c r="A396">
        <v>1394</v>
      </c>
      <c r="B396" t="s">
        <v>446</v>
      </c>
      <c r="C396" t="s">
        <v>20</v>
      </c>
      <c r="D396" t="s">
        <v>80</v>
      </c>
      <c r="E396">
        <v>2</v>
      </c>
      <c r="F396" s="3">
        <v>1218.6500000000001</v>
      </c>
      <c r="G396" s="4">
        <v>0.6</v>
      </c>
      <c r="H396" s="3">
        <v>2437.3000000000002</v>
      </c>
      <c r="I396" s="1">
        <v>45806</v>
      </c>
      <c r="J396" t="s">
        <v>56</v>
      </c>
      <c r="K396" t="s">
        <v>16</v>
      </c>
      <c r="L396" s="3">
        <v>974.92000000000007</v>
      </c>
      <c r="M396" t="s">
        <v>11</v>
      </c>
    </row>
    <row r="397" spans="1:13" x14ac:dyDescent="0.3">
      <c r="A397">
        <v>1395</v>
      </c>
      <c r="B397" t="s">
        <v>447</v>
      </c>
      <c r="C397" t="s">
        <v>38</v>
      </c>
      <c r="D397" t="s">
        <v>63</v>
      </c>
      <c r="E397">
        <v>2</v>
      </c>
      <c r="F397" s="3">
        <v>2845.2419672131159</v>
      </c>
      <c r="G397" s="4">
        <v>0.6</v>
      </c>
      <c r="H397" s="3">
        <v>5690.4839344262318</v>
      </c>
      <c r="I397" s="1">
        <v>45393</v>
      </c>
      <c r="J397" t="s">
        <v>22</v>
      </c>
      <c r="K397" t="s">
        <v>23</v>
      </c>
      <c r="L397" s="3">
        <v>2276.193573770493</v>
      </c>
      <c r="M397" t="s">
        <v>11</v>
      </c>
    </row>
    <row r="398" spans="1:13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 s="3">
        <v>3663.65</v>
      </c>
      <c r="G398" s="4">
        <v>0.26</v>
      </c>
      <c r="H398" s="3">
        <v>7327.3</v>
      </c>
      <c r="I398" s="1">
        <v>45782</v>
      </c>
      <c r="J398" t="s">
        <v>18</v>
      </c>
      <c r="K398" t="s">
        <v>23</v>
      </c>
      <c r="L398" s="3">
        <v>5422.2020000000002</v>
      </c>
      <c r="M398" t="s">
        <v>11</v>
      </c>
    </row>
    <row r="399" spans="1:13" x14ac:dyDescent="0.3">
      <c r="A399">
        <v>1397</v>
      </c>
      <c r="B399" t="s">
        <v>449</v>
      </c>
      <c r="C399" t="s">
        <v>20</v>
      </c>
      <c r="D399" t="s">
        <v>122</v>
      </c>
      <c r="E399">
        <v>2</v>
      </c>
      <c r="F399" s="3">
        <v>2700.1263043478252</v>
      </c>
      <c r="G399" s="4">
        <v>0.6</v>
      </c>
      <c r="H399" s="3">
        <v>5400.2526086956505</v>
      </c>
      <c r="I399" s="1">
        <v>45723</v>
      </c>
      <c r="J399" t="s">
        <v>40</v>
      </c>
      <c r="K399" t="s">
        <v>16</v>
      </c>
      <c r="L399" s="3">
        <v>2160.1010434782602</v>
      </c>
      <c r="M399" t="s">
        <v>11</v>
      </c>
    </row>
    <row r="400" spans="1:13" x14ac:dyDescent="0.3">
      <c r="A400">
        <v>1398</v>
      </c>
      <c r="B400" t="s">
        <v>450</v>
      </c>
      <c r="C400" t="s">
        <v>38</v>
      </c>
      <c r="D400" t="s">
        <v>39</v>
      </c>
      <c r="E400">
        <v>2</v>
      </c>
      <c r="F400" s="3">
        <v>3008.3844444444444</v>
      </c>
      <c r="G400" s="4">
        <v>0.6</v>
      </c>
      <c r="H400" s="3">
        <v>6016.7688888888888</v>
      </c>
      <c r="I400" s="1">
        <v>45744</v>
      </c>
      <c r="J400" t="s">
        <v>56</v>
      </c>
      <c r="K400" t="s">
        <v>23</v>
      </c>
      <c r="L400" s="3">
        <v>2406.7075555555557</v>
      </c>
      <c r="M400" t="s">
        <v>11</v>
      </c>
    </row>
    <row r="401" spans="1:13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F401" s="3">
        <v>2725.8557142857148</v>
      </c>
      <c r="G401" s="4">
        <v>0.35</v>
      </c>
      <c r="H401" s="3">
        <v>10903.422857142859</v>
      </c>
      <c r="I401" s="1">
        <v>45596</v>
      </c>
      <c r="J401" t="s">
        <v>15</v>
      </c>
      <c r="K401" t="s">
        <v>16</v>
      </c>
      <c r="L401" s="3">
        <v>7087.224857142859</v>
      </c>
      <c r="M401" t="s">
        <v>11</v>
      </c>
    </row>
    <row r="402" spans="1:13" x14ac:dyDescent="0.3">
      <c r="A402">
        <v>1400</v>
      </c>
      <c r="B402" t="s">
        <v>452</v>
      </c>
      <c r="C402" t="s">
        <v>33</v>
      </c>
      <c r="D402" t="s">
        <v>72</v>
      </c>
      <c r="E402">
        <v>2</v>
      </c>
      <c r="F402" s="3">
        <v>2715.5458490566025</v>
      </c>
      <c r="G402" s="4">
        <v>0.6</v>
      </c>
      <c r="H402" s="3">
        <v>5431.091698113205</v>
      </c>
      <c r="I402" s="1">
        <v>45715</v>
      </c>
      <c r="J402" t="s">
        <v>15</v>
      </c>
      <c r="K402" t="s">
        <v>23</v>
      </c>
      <c r="L402" s="3">
        <v>2172.436679245282</v>
      </c>
      <c r="M402" t="s">
        <v>11</v>
      </c>
    </row>
    <row r="403" spans="1:13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F403" s="3">
        <v>2715.5458490566025</v>
      </c>
      <c r="G403" s="4">
        <v>0.6</v>
      </c>
      <c r="H403" s="3">
        <v>-5431.091698113205</v>
      </c>
      <c r="I403" s="1">
        <v>45570</v>
      </c>
      <c r="J403" t="s">
        <v>56</v>
      </c>
      <c r="K403" t="s">
        <v>23</v>
      </c>
      <c r="L403" s="3">
        <v>-2172.436679245282</v>
      </c>
      <c r="M403" t="s">
        <v>2518</v>
      </c>
    </row>
    <row r="404" spans="1:13" x14ac:dyDescent="0.3">
      <c r="A404">
        <v>1402</v>
      </c>
      <c r="B404" t="s">
        <v>454</v>
      </c>
      <c r="C404" t="s">
        <v>29</v>
      </c>
      <c r="D404" t="s">
        <v>120</v>
      </c>
      <c r="E404">
        <v>2</v>
      </c>
      <c r="F404" s="3">
        <v>603.51</v>
      </c>
      <c r="G404" s="4">
        <v>1.23</v>
      </c>
      <c r="H404" s="3">
        <v>1207.02</v>
      </c>
      <c r="I404" s="1">
        <v>45673</v>
      </c>
      <c r="J404" t="s">
        <v>56</v>
      </c>
      <c r="K404" t="s">
        <v>16</v>
      </c>
      <c r="L404" s="3">
        <v>-277.6146</v>
      </c>
      <c r="M404" t="s">
        <v>2518</v>
      </c>
    </row>
    <row r="405" spans="1:13" x14ac:dyDescent="0.3">
      <c r="A405">
        <v>1403</v>
      </c>
      <c r="B405" t="s">
        <v>455</v>
      </c>
      <c r="C405" t="s">
        <v>33</v>
      </c>
      <c r="D405" t="s">
        <v>34</v>
      </c>
      <c r="E405">
        <v>2</v>
      </c>
      <c r="F405" s="3">
        <v>2487.039615384615</v>
      </c>
      <c r="G405" s="4">
        <v>0.6</v>
      </c>
      <c r="H405" s="3">
        <v>4974.07923076923</v>
      </c>
      <c r="I405" s="1">
        <v>45828</v>
      </c>
      <c r="J405" t="s">
        <v>56</v>
      </c>
      <c r="K405" t="s">
        <v>23</v>
      </c>
      <c r="L405" s="3">
        <v>1989.631692307692</v>
      </c>
      <c r="M405" t="s">
        <v>11</v>
      </c>
    </row>
    <row r="406" spans="1:13" x14ac:dyDescent="0.3">
      <c r="A406">
        <v>1404</v>
      </c>
      <c r="B406" t="s">
        <v>456</v>
      </c>
      <c r="C406" t="s">
        <v>29</v>
      </c>
      <c r="D406" t="s">
        <v>120</v>
      </c>
      <c r="E406">
        <v>2</v>
      </c>
      <c r="F406" s="3">
        <v>3074.59</v>
      </c>
      <c r="G406" s="4">
        <v>0.6</v>
      </c>
      <c r="H406" s="3">
        <v>6149.18</v>
      </c>
      <c r="I406" s="1">
        <v>45782</v>
      </c>
      <c r="J406" t="s">
        <v>40</v>
      </c>
      <c r="K406" t="s">
        <v>16</v>
      </c>
      <c r="L406" s="3">
        <v>2459.6720000000005</v>
      </c>
      <c r="M406" t="s">
        <v>11</v>
      </c>
    </row>
    <row r="407" spans="1:13" x14ac:dyDescent="0.3">
      <c r="A407">
        <v>1405</v>
      </c>
      <c r="B407" t="s">
        <v>457</v>
      </c>
      <c r="C407" t="s">
        <v>38</v>
      </c>
      <c r="D407" t="s">
        <v>59</v>
      </c>
      <c r="E407">
        <v>2</v>
      </c>
      <c r="F407" s="3">
        <v>2804.2651923076919</v>
      </c>
      <c r="G407" s="4">
        <v>0.56000000000000005</v>
      </c>
      <c r="H407" s="3">
        <v>5608.5303846153838</v>
      </c>
      <c r="I407" s="1">
        <v>45417</v>
      </c>
      <c r="J407" t="s">
        <v>22</v>
      </c>
      <c r="K407" t="s">
        <v>16</v>
      </c>
      <c r="L407" s="3">
        <v>2467.7533692307684</v>
      </c>
      <c r="M407" t="s">
        <v>11</v>
      </c>
    </row>
    <row r="408" spans="1:13" x14ac:dyDescent="0.3">
      <c r="A408">
        <v>1406</v>
      </c>
      <c r="B408" t="s">
        <v>458</v>
      </c>
      <c r="C408" t="s">
        <v>38</v>
      </c>
      <c r="D408" t="s">
        <v>59</v>
      </c>
      <c r="E408">
        <v>2</v>
      </c>
      <c r="F408" s="3">
        <v>2804.2651923076919</v>
      </c>
      <c r="G408" s="4">
        <v>0.6</v>
      </c>
      <c r="H408" s="3">
        <v>5608.5303846153838</v>
      </c>
      <c r="I408" s="1">
        <v>45675</v>
      </c>
      <c r="J408" t="s">
        <v>40</v>
      </c>
      <c r="K408" t="s">
        <v>23</v>
      </c>
      <c r="L408" s="3">
        <v>2243.4121538461536</v>
      </c>
      <c r="M408" t="s">
        <v>11</v>
      </c>
    </row>
    <row r="409" spans="1:13" x14ac:dyDescent="0.3">
      <c r="A409">
        <v>1407</v>
      </c>
      <c r="B409" t="s">
        <v>459</v>
      </c>
      <c r="C409" t="s">
        <v>33</v>
      </c>
      <c r="D409" t="s">
        <v>82</v>
      </c>
      <c r="E409">
        <v>2</v>
      </c>
      <c r="F409" s="3">
        <v>4977.8100000000004</v>
      </c>
      <c r="G409" s="4">
        <v>0.6</v>
      </c>
      <c r="H409" s="3">
        <v>9955.6200000000008</v>
      </c>
      <c r="I409" s="1">
        <v>45823</v>
      </c>
      <c r="J409" t="s">
        <v>18</v>
      </c>
      <c r="K409" t="s">
        <v>23</v>
      </c>
      <c r="L409" s="3">
        <v>3982.2480000000005</v>
      </c>
      <c r="M409" t="s">
        <v>11</v>
      </c>
    </row>
    <row r="410" spans="1:13" x14ac:dyDescent="0.3">
      <c r="A410">
        <v>1408</v>
      </c>
      <c r="B410" t="s">
        <v>460</v>
      </c>
      <c r="C410" t="s">
        <v>25</v>
      </c>
      <c r="D410" t="s">
        <v>86</v>
      </c>
      <c r="E410">
        <v>2</v>
      </c>
      <c r="F410" s="3">
        <v>2501.5309999999999</v>
      </c>
      <c r="G410" s="4">
        <v>0.6</v>
      </c>
      <c r="H410" s="3">
        <v>5003.0619999999999</v>
      </c>
      <c r="I410" s="1">
        <v>45539</v>
      </c>
      <c r="J410" t="s">
        <v>22</v>
      </c>
      <c r="K410" t="s">
        <v>23</v>
      </c>
      <c r="L410" s="3">
        <v>2001.2248</v>
      </c>
      <c r="M410" t="s">
        <v>11</v>
      </c>
    </row>
    <row r="411" spans="1:13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F411" s="3">
        <v>2462.79</v>
      </c>
      <c r="G411" s="4">
        <v>0.6</v>
      </c>
      <c r="H411" s="3">
        <v>14776.74</v>
      </c>
      <c r="I411" s="1">
        <v>45782</v>
      </c>
      <c r="J411" t="s">
        <v>46</v>
      </c>
      <c r="K411" t="s">
        <v>16</v>
      </c>
      <c r="L411" s="3">
        <v>5910.6959999999999</v>
      </c>
      <c r="M411" t="s">
        <v>11</v>
      </c>
    </row>
    <row r="412" spans="1:13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 s="3">
        <v>4445.8100000000004</v>
      </c>
      <c r="G412" s="4">
        <v>0.6</v>
      </c>
      <c r="H412" s="3">
        <v>26674.86</v>
      </c>
      <c r="I412" s="1">
        <v>45782</v>
      </c>
      <c r="J412" t="s">
        <v>15</v>
      </c>
      <c r="K412" t="s">
        <v>23</v>
      </c>
      <c r="L412" s="3">
        <v>10669.944000000001</v>
      </c>
      <c r="M412" t="s">
        <v>11</v>
      </c>
    </row>
    <row r="413" spans="1:13" x14ac:dyDescent="0.3">
      <c r="A413">
        <v>1411</v>
      </c>
      <c r="B413" t="s">
        <v>463</v>
      </c>
      <c r="C413" t="s">
        <v>38</v>
      </c>
      <c r="D413" t="s">
        <v>63</v>
      </c>
      <c r="E413">
        <v>2</v>
      </c>
      <c r="F413" s="3">
        <v>4946.7700000000004</v>
      </c>
      <c r="G413" s="4">
        <v>0.6</v>
      </c>
      <c r="H413" s="3">
        <v>9893.5400000000009</v>
      </c>
      <c r="I413" s="1">
        <v>45782</v>
      </c>
      <c r="J413" t="s">
        <v>22</v>
      </c>
      <c r="K413" t="s">
        <v>23</v>
      </c>
      <c r="L413" s="3">
        <v>3957.4160000000006</v>
      </c>
      <c r="M413" t="s">
        <v>11</v>
      </c>
    </row>
    <row r="414" spans="1:13" x14ac:dyDescent="0.3">
      <c r="A414">
        <v>1412</v>
      </c>
      <c r="B414" t="s">
        <v>464</v>
      </c>
      <c r="C414" t="s">
        <v>25</v>
      </c>
      <c r="D414" t="s">
        <v>66</v>
      </c>
      <c r="E414">
        <v>2</v>
      </c>
      <c r="F414" s="3">
        <v>2572.7764000000006</v>
      </c>
      <c r="G414" s="4">
        <v>0.6</v>
      </c>
      <c r="H414" s="3">
        <v>5145.5528000000013</v>
      </c>
      <c r="I414" s="1">
        <v>45533</v>
      </c>
      <c r="J414" t="s">
        <v>56</v>
      </c>
      <c r="K414" t="s">
        <v>16</v>
      </c>
      <c r="L414" s="3">
        <v>2058.2211200000006</v>
      </c>
      <c r="M414" t="s">
        <v>11</v>
      </c>
    </row>
    <row r="415" spans="1:13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F415" s="3">
        <v>2804.2651923076919</v>
      </c>
      <c r="G415" s="4">
        <v>0.17</v>
      </c>
      <c r="H415" s="3">
        <v>2804.2651923076919</v>
      </c>
      <c r="I415" s="1">
        <v>45812</v>
      </c>
      <c r="J415" t="s">
        <v>18</v>
      </c>
      <c r="K415" t="s">
        <v>16</v>
      </c>
      <c r="L415" s="3">
        <v>2327.5401096153842</v>
      </c>
      <c r="M415" t="s">
        <v>11</v>
      </c>
    </row>
    <row r="416" spans="1:13" x14ac:dyDescent="0.3">
      <c r="A416">
        <v>1414</v>
      </c>
      <c r="B416" t="s">
        <v>466</v>
      </c>
      <c r="C416" t="s">
        <v>33</v>
      </c>
      <c r="D416" t="s">
        <v>44</v>
      </c>
      <c r="E416">
        <v>2</v>
      </c>
      <c r="F416" s="3">
        <v>2841.7630612244907</v>
      </c>
      <c r="G416" s="4">
        <v>0.6</v>
      </c>
      <c r="H416" s="3">
        <v>5683.5261224489814</v>
      </c>
      <c r="I416" s="1">
        <v>45846</v>
      </c>
      <c r="J416" t="s">
        <v>18</v>
      </c>
      <c r="K416" t="s">
        <v>23</v>
      </c>
      <c r="L416" s="3">
        <v>2273.4104489795927</v>
      </c>
      <c r="M416" t="s">
        <v>11</v>
      </c>
    </row>
    <row r="417" spans="1:13" x14ac:dyDescent="0.3">
      <c r="A417">
        <v>1415</v>
      </c>
      <c r="B417" t="s">
        <v>467</v>
      </c>
      <c r="C417" t="s">
        <v>20</v>
      </c>
      <c r="D417" t="s">
        <v>21</v>
      </c>
      <c r="E417">
        <v>2</v>
      </c>
      <c r="F417" s="3">
        <v>3149</v>
      </c>
      <c r="G417" s="4">
        <v>0.6</v>
      </c>
      <c r="H417" s="3">
        <v>6298</v>
      </c>
      <c r="I417" s="1">
        <v>45782</v>
      </c>
      <c r="J417" t="s">
        <v>40</v>
      </c>
      <c r="K417" t="s">
        <v>23</v>
      </c>
      <c r="L417" s="3">
        <v>2519.2000000000003</v>
      </c>
      <c r="M417" t="s">
        <v>11</v>
      </c>
    </row>
    <row r="418" spans="1:13" x14ac:dyDescent="0.3">
      <c r="A418">
        <v>1416</v>
      </c>
      <c r="B418" t="s">
        <v>468</v>
      </c>
      <c r="C418" t="s">
        <v>29</v>
      </c>
      <c r="D418" t="s">
        <v>120</v>
      </c>
      <c r="E418">
        <v>2</v>
      </c>
      <c r="F418" s="3">
        <v>3527.15</v>
      </c>
      <c r="G418" s="4">
        <v>0.6</v>
      </c>
      <c r="H418" s="3">
        <v>7054.3</v>
      </c>
      <c r="I418" s="1">
        <v>45253</v>
      </c>
      <c r="J418" t="s">
        <v>56</v>
      </c>
      <c r="K418" t="s">
        <v>23</v>
      </c>
      <c r="L418" s="3">
        <v>2821.7200000000003</v>
      </c>
      <c r="M418" t="s">
        <v>11</v>
      </c>
    </row>
    <row r="419" spans="1:13" x14ac:dyDescent="0.3">
      <c r="A419">
        <v>1417</v>
      </c>
      <c r="B419" t="s">
        <v>469</v>
      </c>
      <c r="C419" t="s">
        <v>38</v>
      </c>
      <c r="D419" t="s">
        <v>63</v>
      </c>
      <c r="E419">
        <v>2</v>
      </c>
      <c r="F419" s="3">
        <v>2845.2419672131159</v>
      </c>
      <c r="G419" s="4">
        <v>0.6</v>
      </c>
      <c r="H419" s="3">
        <v>5690.4839344262318</v>
      </c>
      <c r="I419" s="1">
        <v>45515</v>
      </c>
      <c r="J419" t="s">
        <v>40</v>
      </c>
      <c r="K419" t="s">
        <v>23</v>
      </c>
      <c r="L419" s="3">
        <v>2276.193573770493</v>
      </c>
      <c r="M419" t="s">
        <v>11</v>
      </c>
    </row>
    <row r="420" spans="1:13" x14ac:dyDescent="0.3">
      <c r="A420">
        <v>1418</v>
      </c>
      <c r="B420" t="s">
        <v>470</v>
      </c>
      <c r="C420" t="s">
        <v>38</v>
      </c>
      <c r="D420" t="s">
        <v>91</v>
      </c>
      <c r="E420">
        <v>2</v>
      </c>
      <c r="F420" s="3">
        <v>2868.7768181818178</v>
      </c>
      <c r="G420" s="4">
        <v>0.13</v>
      </c>
      <c r="H420" s="3">
        <v>5737.5536363636356</v>
      </c>
      <c r="I420" s="1">
        <v>45507</v>
      </c>
      <c r="J420" t="s">
        <v>40</v>
      </c>
      <c r="K420" t="s">
        <v>23</v>
      </c>
      <c r="L420" s="3">
        <v>4991.6716636363626</v>
      </c>
      <c r="M420" t="s">
        <v>11</v>
      </c>
    </row>
    <row r="421" spans="1:13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F421" s="3">
        <v>2483.5844000000002</v>
      </c>
      <c r="G421" s="4">
        <v>0.6</v>
      </c>
      <c r="H421" s="3">
        <v>4967.1688000000004</v>
      </c>
      <c r="I421" s="1">
        <v>45580</v>
      </c>
      <c r="J421" t="s">
        <v>56</v>
      </c>
      <c r="K421" t="s">
        <v>23</v>
      </c>
      <c r="L421" s="3">
        <v>1986.8675200000002</v>
      </c>
      <c r="M421" t="s">
        <v>11</v>
      </c>
    </row>
    <row r="422" spans="1:13" x14ac:dyDescent="0.3">
      <c r="A422">
        <v>1420</v>
      </c>
      <c r="B422" t="s">
        <v>472</v>
      </c>
      <c r="C422" t="s">
        <v>25</v>
      </c>
      <c r="D422" t="s">
        <v>26</v>
      </c>
      <c r="E422">
        <v>2</v>
      </c>
      <c r="F422" s="3">
        <v>2888.8714285714286</v>
      </c>
      <c r="G422" s="4">
        <v>0.96</v>
      </c>
      <c r="H422" s="3">
        <v>5777.7428571428572</v>
      </c>
      <c r="I422" s="1">
        <v>45814</v>
      </c>
      <c r="J422" t="s">
        <v>18</v>
      </c>
      <c r="K422" t="s">
        <v>23</v>
      </c>
      <c r="L422" s="3">
        <v>231.10971428571449</v>
      </c>
      <c r="M422" t="s">
        <v>2518</v>
      </c>
    </row>
    <row r="423" spans="1:13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F423" s="3">
        <v>2715.5458490566025</v>
      </c>
      <c r="G423" s="4">
        <v>0.6</v>
      </c>
      <c r="H423" s="3">
        <v>0</v>
      </c>
      <c r="I423" s="1">
        <v>45853</v>
      </c>
      <c r="J423" t="s">
        <v>18</v>
      </c>
      <c r="K423" t="s">
        <v>23</v>
      </c>
      <c r="L423" s="3">
        <v>0</v>
      </c>
      <c r="M423" t="s">
        <v>2518</v>
      </c>
    </row>
    <row r="424" spans="1:13" x14ac:dyDescent="0.3">
      <c r="A424">
        <v>1422</v>
      </c>
      <c r="B424" t="s">
        <v>474</v>
      </c>
      <c r="C424" t="s">
        <v>13</v>
      </c>
      <c r="D424" t="s">
        <v>36</v>
      </c>
      <c r="E424">
        <v>2</v>
      </c>
      <c r="F424" s="3">
        <v>4466.49</v>
      </c>
      <c r="G424" s="4">
        <v>0.6</v>
      </c>
      <c r="H424" s="3">
        <v>8932.98</v>
      </c>
      <c r="I424" s="1">
        <v>45726</v>
      </c>
      <c r="J424" t="s">
        <v>18</v>
      </c>
      <c r="K424" t="s">
        <v>23</v>
      </c>
      <c r="L424" s="3">
        <v>3573.192</v>
      </c>
      <c r="M424" t="s">
        <v>11</v>
      </c>
    </row>
    <row r="425" spans="1:13" x14ac:dyDescent="0.3">
      <c r="A425">
        <v>1423</v>
      </c>
      <c r="B425" t="s">
        <v>475</v>
      </c>
      <c r="C425" t="s">
        <v>20</v>
      </c>
      <c r="D425" t="s">
        <v>122</v>
      </c>
      <c r="E425">
        <v>2</v>
      </c>
      <c r="F425" s="3">
        <v>2700.1263043478252</v>
      </c>
      <c r="G425" s="4">
        <v>0.6</v>
      </c>
      <c r="H425" s="3">
        <v>5400.2526086956505</v>
      </c>
      <c r="I425" s="1">
        <v>45710</v>
      </c>
      <c r="J425" t="s">
        <v>56</v>
      </c>
      <c r="K425" t="s">
        <v>23</v>
      </c>
      <c r="L425" s="3">
        <v>2160.1010434782602</v>
      </c>
      <c r="M425" t="s">
        <v>11</v>
      </c>
    </row>
    <row r="426" spans="1:13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 s="3">
        <v>538.6</v>
      </c>
      <c r="G426" s="4">
        <v>1.18</v>
      </c>
      <c r="H426" s="3">
        <v>-538.6</v>
      </c>
      <c r="I426" s="1">
        <v>45661</v>
      </c>
      <c r="J426" t="s">
        <v>56</v>
      </c>
      <c r="K426" t="s">
        <v>23</v>
      </c>
      <c r="L426" s="3">
        <v>96.947999999999965</v>
      </c>
      <c r="M426" t="s">
        <v>2518</v>
      </c>
    </row>
    <row r="427" spans="1:13" x14ac:dyDescent="0.3">
      <c r="A427">
        <v>1425</v>
      </c>
      <c r="B427" t="s">
        <v>477</v>
      </c>
      <c r="C427" t="s">
        <v>29</v>
      </c>
      <c r="D427" t="s">
        <v>141</v>
      </c>
      <c r="E427">
        <v>2</v>
      </c>
      <c r="F427" s="3">
        <v>1133.73</v>
      </c>
      <c r="G427" s="4">
        <v>0.6</v>
      </c>
      <c r="H427" s="3">
        <v>2267.46</v>
      </c>
      <c r="I427" s="1">
        <v>45656</v>
      </c>
      <c r="J427" t="s">
        <v>46</v>
      </c>
      <c r="K427" t="s">
        <v>23</v>
      </c>
      <c r="L427" s="3">
        <v>906.98400000000004</v>
      </c>
      <c r="M427" t="s">
        <v>11</v>
      </c>
    </row>
    <row r="428" spans="1:13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 s="3">
        <v>3175.17</v>
      </c>
      <c r="G428" s="4">
        <v>0.86</v>
      </c>
      <c r="H428" s="3">
        <v>-6350.34</v>
      </c>
      <c r="I428" s="1">
        <v>45782</v>
      </c>
      <c r="J428" t="s">
        <v>56</v>
      </c>
      <c r="K428" t="s">
        <v>23</v>
      </c>
      <c r="L428" s="3">
        <v>-889.0476000000001</v>
      </c>
      <c r="M428" t="s">
        <v>2518</v>
      </c>
    </row>
    <row r="429" spans="1:13" x14ac:dyDescent="0.3">
      <c r="A429">
        <v>1427</v>
      </c>
      <c r="B429" t="s">
        <v>479</v>
      </c>
      <c r="C429" t="s">
        <v>25</v>
      </c>
      <c r="D429" t="s">
        <v>86</v>
      </c>
      <c r="E429">
        <v>2</v>
      </c>
      <c r="F429" s="3">
        <v>2501.5309999999999</v>
      </c>
      <c r="G429" s="4">
        <v>0.6</v>
      </c>
      <c r="H429" s="3">
        <v>5003.0619999999999</v>
      </c>
      <c r="I429" s="1">
        <v>45826</v>
      </c>
      <c r="J429" t="s">
        <v>22</v>
      </c>
      <c r="K429" t="s">
        <v>16</v>
      </c>
      <c r="L429" s="3">
        <v>2001.2248</v>
      </c>
      <c r="M429" t="s">
        <v>11</v>
      </c>
    </row>
    <row r="430" spans="1:13" x14ac:dyDescent="0.3">
      <c r="A430">
        <v>1015</v>
      </c>
      <c r="B430" t="s">
        <v>480</v>
      </c>
      <c r="C430" t="s">
        <v>13</v>
      </c>
      <c r="D430" t="s">
        <v>36</v>
      </c>
      <c r="E430">
        <v>2</v>
      </c>
      <c r="F430" s="3">
        <v>2882.5046551724135</v>
      </c>
      <c r="G430" s="4">
        <v>0.6</v>
      </c>
      <c r="H430" s="3">
        <v>5765.0093103448271</v>
      </c>
      <c r="I430" s="1">
        <v>45682</v>
      </c>
      <c r="J430" t="s">
        <v>15</v>
      </c>
      <c r="K430" t="s">
        <v>23</v>
      </c>
      <c r="L430" s="3">
        <v>2306.0037241379309</v>
      </c>
      <c r="M430" t="s">
        <v>11</v>
      </c>
    </row>
    <row r="431" spans="1:13" x14ac:dyDescent="0.3">
      <c r="A431">
        <v>1429</v>
      </c>
      <c r="B431" t="s">
        <v>481</v>
      </c>
      <c r="C431" t="s">
        <v>38</v>
      </c>
      <c r="D431" t="s">
        <v>91</v>
      </c>
      <c r="E431">
        <v>2</v>
      </c>
      <c r="F431" s="3">
        <v>3292.01</v>
      </c>
      <c r="G431" s="4">
        <v>0.6</v>
      </c>
      <c r="H431" s="3">
        <v>6584.02</v>
      </c>
      <c r="I431" s="1">
        <v>45568</v>
      </c>
      <c r="J431" t="s">
        <v>15</v>
      </c>
      <c r="K431" t="s">
        <v>23</v>
      </c>
      <c r="L431" s="3">
        <v>2633.6080000000002</v>
      </c>
      <c r="M431" t="s">
        <v>11</v>
      </c>
    </row>
    <row r="432" spans="1:13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F432" s="3">
        <v>2785.0877966101693</v>
      </c>
      <c r="G432" s="4">
        <v>0.67</v>
      </c>
      <c r="H432" s="3">
        <v>-5570.1755932203387</v>
      </c>
      <c r="I432" s="1">
        <v>45789</v>
      </c>
      <c r="J432" t="s">
        <v>46</v>
      </c>
      <c r="K432" t="s">
        <v>16</v>
      </c>
      <c r="L432" s="3">
        <v>-1838.1579457627115</v>
      </c>
      <c r="M432" t="s">
        <v>2518</v>
      </c>
    </row>
    <row r="433" spans="1:13" x14ac:dyDescent="0.3">
      <c r="A433">
        <v>1431</v>
      </c>
      <c r="B433" t="s">
        <v>483</v>
      </c>
      <c r="C433" t="s">
        <v>29</v>
      </c>
      <c r="D433" t="s">
        <v>120</v>
      </c>
      <c r="E433">
        <v>2</v>
      </c>
      <c r="F433" s="3">
        <v>2830.1325714285731</v>
      </c>
      <c r="G433" s="4">
        <v>0.6</v>
      </c>
      <c r="H433" s="3">
        <v>5660.2651428571462</v>
      </c>
      <c r="I433" s="1">
        <v>45776</v>
      </c>
      <c r="J433" t="s">
        <v>15</v>
      </c>
      <c r="K433" t="s">
        <v>23</v>
      </c>
      <c r="L433" s="3">
        <v>2264.1060571428584</v>
      </c>
      <c r="M433" t="s">
        <v>11</v>
      </c>
    </row>
    <row r="434" spans="1:13" x14ac:dyDescent="0.3">
      <c r="A434">
        <v>1432</v>
      </c>
      <c r="B434" t="s">
        <v>484</v>
      </c>
      <c r="C434" t="s">
        <v>25</v>
      </c>
      <c r="D434" t="s">
        <v>54</v>
      </c>
      <c r="E434">
        <v>2</v>
      </c>
      <c r="F434" s="3">
        <v>2530.3836538461546</v>
      </c>
      <c r="G434" s="4">
        <v>0.6</v>
      </c>
      <c r="H434" s="3">
        <v>5060.7673076923093</v>
      </c>
      <c r="I434" s="1">
        <v>45445</v>
      </c>
      <c r="J434" t="s">
        <v>18</v>
      </c>
      <c r="K434" t="s">
        <v>23</v>
      </c>
      <c r="L434" s="3">
        <v>2024.3069230769238</v>
      </c>
      <c r="M434" t="s">
        <v>11</v>
      </c>
    </row>
    <row r="435" spans="1:13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F435" s="3">
        <v>2841.7630612244907</v>
      </c>
      <c r="G435" s="4">
        <v>0.7</v>
      </c>
      <c r="H435" s="3">
        <v>5683.5261224489814</v>
      </c>
      <c r="I435" s="1">
        <v>45661</v>
      </c>
      <c r="J435" t="s">
        <v>22</v>
      </c>
      <c r="K435" t="s">
        <v>23</v>
      </c>
      <c r="L435" s="3">
        <v>1705.0578367346948</v>
      </c>
      <c r="M435" t="s">
        <v>11</v>
      </c>
    </row>
    <row r="436" spans="1:13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 s="3">
        <v>476.2</v>
      </c>
      <c r="G436" s="4">
        <v>1.03</v>
      </c>
      <c r="H436" s="3">
        <v>0</v>
      </c>
      <c r="I436" s="1">
        <v>45512</v>
      </c>
      <c r="J436" t="s">
        <v>56</v>
      </c>
      <c r="K436" t="s">
        <v>16</v>
      </c>
      <c r="L436" s="3">
        <v>0</v>
      </c>
      <c r="M436" t="s">
        <v>2518</v>
      </c>
    </row>
    <row r="437" spans="1:13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F437" s="3">
        <v>2715.5458490566025</v>
      </c>
      <c r="G437" s="4">
        <v>0.6</v>
      </c>
      <c r="H437" s="3">
        <v>8146.6375471698075</v>
      </c>
      <c r="I437" s="1">
        <v>45763</v>
      </c>
      <c r="J437" t="s">
        <v>56</v>
      </c>
      <c r="K437" t="s">
        <v>23</v>
      </c>
      <c r="L437" s="3">
        <v>3258.655018867923</v>
      </c>
      <c r="M437" t="s">
        <v>11</v>
      </c>
    </row>
    <row r="438" spans="1:13" x14ac:dyDescent="0.3">
      <c r="A438">
        <v>1436</v>
      </c>
      <c r="B438" t="s">
        <v>488</v>
      </c>
      <c r="C438" t="s">
        <v>33</v>
      </c>
      <c r="D438" t="s">
        <v>72</v>
      </c>
      <c r="E438">
        <v>2</v>
      </c>
      <c r="F438" s="3">
        <v>2715.5458490566025</v>
      </c>
      <c r="G438" s="4">
        <v>1.26</v>
      </c>
      <c r="H438" s="3">
        <v>5431.091698113205</v>
      </c>
      <c r="I438" s="1">
        <v>45517</v>
      </c>
      <c r="J438" t="s">
        <v>18</v>
      </c>
      <c r="K438" t="s">
        <v>16</v>
      </c>
      <c r="L438" s="3">
        <v>-1412.0838415094333</v>
      </c>
      <c r="M438" t="s">
        <v>2518</v>
      </c>
    </row>
    <row r="439" spans="1:13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 s="3">
        <v>3886.3</v>
      </c>
      <c r="G439" s="4">
        <v>0.34</v>
      </c>
      <c r="H439" s="3">
        <v>0</v>
      </c>
      <c r="I439" s="1">
        <v>45703</v>
      </c>
      <c r="J439" t="s">
        <v>15</v>
      </c>
      <c r="K439" t="s">
        <v>16</v>
      </c>
      <c r="L439" s="3">
        <v>0</v>
      </c>
      <c r="M439" t="s">
        <v>2518</v>
      </c>
    </row>
    <row r="440" spans="1:13" x14ac:dyDescent="0.3">
      <c r="A440">
        <v>1438</v>
      </c>
      <c r="B440" t="s">
        <v>490</v>
      </c>
      <c r="C440" t="s">
        <v>38</v>
      </c>
      <c r="D440" t="s">
        <v>63</v>
      </c>
      <c r="E440">
        <v>2</v>
      </c>
      <c r="F440" s="3">
        <v>2663.97</v>
      </c>
      <c r="G440" s="4">
        <v>0.84</v>
      </c>
      <c r="H440" s="3">
        <v>5327.94</v>
      </c>
      <c r="I440" s="1">
        <v>45186</v>
      </c>
      <c r="J440" t="s">
        <v>46</v>
      </c>
      <c r="K440" t="s">
        <v>23</v>
      </c>
      <c r="L440" s="3">
        <v>852.47040000000015</v>
      </c>
      <c r="M440" t="s">
        <v>11</v>
      </c>
    </row>
    <row r="441" spans="1:13" x14ac:dyDescent="0.3">
      <c r="A441">
        <v>1439</v>
      </c>
      <c r="B441" t="s">
        <v>491</v>
      </c>
      <c r="C441" t="s">
        <v>33</v>
      </c>
      <c r="D441" t="s">
        <v>82</v>
      </c>
      <c r="E441">
        <v>2</v>
      </c>
      <c r="F441" s="3">
        <v>2776.2202000000002</v>
      </c>
      <c r="G441" s="4">
        <v>0.6</v>
      </c>
      <c r="H441" s="3">
        <v>5552.4404000000004</v>
      </c>
      <c r="I441" s="1">
        <v>45782</v>
      </c>
      <c r="J441" t="s">
        <v>18</v>
      </c>
      <c r="K441" t="s">
        <v>23</v>
      </c>
      <c r="L441" s="3">
        <v>2220.9761600000002</v>
      </c>
      <c r="M441" t="s">
        <v>11</v>
      </c>
    </row>
    <row r="442" spans="1:13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 s="3">
        <v>635.12</v>
      </c>
      <c r="G442" s="4">
        <v>0.32</v>
      </c>
      <c r="H442" s="3">
        <v>0</v>
      </c>
      <c r="I442" s="1">
        <v>45860</v>
      </c>
      <c r="J442" t="s">
        <v>56</v>
      </c>
      <c r="K442" t="s">
        <v>16</v>
      </c>
      <c r="L442" s="3">
        <v>0</v>
      </c>
      <c r="M442" t="s">
        <v>2518</v>
      </c>
    </row>
    <row r="443" spans="1:13" x14ac:dyDescent="0.3">
      <c r="A443">
        <v>1441</v>
      </c>
      <c r="B443" t="s">
        <v>493</v>
      </c>
      <c r="C443" t="s">
        <v>13</v>
      </c>
      <c r="D443" t="s">
        <v>14</v>
      </c>
      <c r="E443">
        <v>2</v>
      </c>
      <c r="F443" s="3">
        <v>2381.2677586206896</v>
      </c>
      <c r="G443" s="4">
        <v>0.6</v>
      </c>
      <c r="H443" s="3">
        <v>4762.5355172413792</v>
      </c>
      <c r="I443" s="1">
        <v>45782</v>
      </c>
      <c r="J443" t="s">
        <v>40</v>
      </c>
      <c r="K443" t="s">
        <v>23</v>
      </c>
      <c r="L443" s="3">
        <v>1905.0142068965517</v>
      </c>
      <c r="M443" t="s">
        <v>11</v>
      </c>
    </row>
    <row r="444" spans="1:13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 s="3">
        <v>3001.28</v>
      </c>
      <c r="G444" s="4">
        <v>0.6</v>
      </c>
      <c r="H444" s="3">
        <v>0</v>
      </c>
      <c r="I444" s="1">
        <v>45479</v>
      </c>
      <c r="J444" t="s">
        <v>15</v>
      </c>
      <c r="K444" t="s">
        <v>16</v>
      </c>
      <c r="L444" s="3">
        <v>0</v>
      </c>
      <c r="M444" t="s">
        <v>2518</v>
      </c>
    </row>
    <row r="445" spans="1:13" x14ac:dyDescent="0.3">
      <c r="A445">
        <v>1443</v>
      </c>
      <c r="B445" t="s">
        <v>495</v>
      </c>
      <c r="C445" t="s">
        <v>33</v>
      </c>
      <c r="D445" t="s">
        <v>34</v>
      </c>
      <c r="E445">
        <v>2</v>
      </c>
      <c r="F445" s="3">
        <v>2487.039615384615</v>
      </c>
      <c r="G445" s="4">
        <v>0.6</v>
      </c>
      <c r="H445" s="3">
        <v>4974.07923076923</v>
      </c>
      <c r="I445" s="1">
        <v>45484</v>
      </c>
      <c r="J445" t="s">
        <v>40</v>
      </c>
      <c r="K445" t="s">
        <v>23</v>
      </c>
      <c r="L445" s="3">
        <v>1989.631692307692</v>
      </c>
      <c r="M445" t="s">
        <v>11</v>
      </c>
    </row>
    <row r="446" spans="1:13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 s="3">
        <v>3452.16</v>
      </c>
      <c r="G446" s="4">
        <v>0.6</v>
      </c>
      <c r="H446" s="3">
        <v>10356.48</v>
      </c>
      <c r="I446" s="1">
        <v>45782</v>
      </c>
      <c r="J446" t="s">
        <v>22</v>
      </c>
      <c r="K446" t="s">
        <v>23</v>
      </c>
      <c r="L446" s="3">
        <v>4142.5919999999996</v>
      </c>
      <c r="M446" t="s">
        <v>11</v>
      </c>
    </row>
    <row r="447" spans="1:13" x14ac:dyDescent="0.3">
      <c r="A447">
        <v>1445</v>
      </c>
      <c r="B447" t="s">
        <v>497</v>
      </c>
      <c r="C447" t="s">
        <v>20</v>
      </c>
      <c r="D447" t="s">
        <v>80</v>
      </c>
      <c r="E447">
        <v>2</v>
      </c>
      <c r="F447" s="3">
        <v>1370.36</v>
      </c>
      <c r="G447" s="4">
        <v>0.54</v>
      </c>
      <c r="H447" s="3">
        <v>2740.72</v>
      </c>
      <c r="I447" s="1">
        <v>45827</v>
      </c>
      <c r="J447" t="s">
        <v>22</v>
      </c>
      <c r="K447" t="s">
        <v>16</v>
      </c>
      <c r="L447" s="3">
        <v>1260.7311999999997</v>
      </c>
      <c r="M447" t="s">
        <v>11</v>
      </c>
    </row>
    <row r="448" spans="1:13" x14ac:dyDescent="0.3">
      <c r="A448">
        <v>1446</v>
      </c>
      <c r="B448" t="s">
        <v>498</v>
      </c>
      <c r="C448" t="s">
        <v>25</v>
      </c>
      <c r="D448" t="s">
        <v>26</v>
      </c>
      <c r="E448">
        <v>2</v>
      </c>
      <c r="F448" s="3">
        <v>2827.68</v>
      </c>
      <c r="G448" s="4">
        <v>0.86</v>
      </c>
      <c r="H448" s="3">
        <v>5655.36</v>
      </c>
      <c r="I448" s="1">
        <v>45519</v>
      </c>
      <c r="J448" t="s">
        <v>15</v>
      </c>
      <c r="K448" t="s">
        <v>23</v>
      </c>
      <c r="L448" s="3">
        <v>791.75040000000001</v>
      </c>
      <c r="M448" t="s">
        <v>11</v>
      </c>
    </row>
    <row r="449" spans="1:13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 s="3">
        <v>3792.09</v>
      </c>
      <c r="G449" s="4">
        <v>0.6</v>
      </c>
      <c r="H449" s="3">
        <v>22752.54</v>
      </c>
      <c r="I449" s="1">
        <v>45263</v>
      </c>
      <c r="J449" t="s">
        <v>40</v>
      </c>
      <c r="K449" t="s">
        <v>16</v>
      </c>
      <c r="L449" s="3">
        <v>9101.0160000000014</v>
      </c>
      <c r="M449" t="s">
        <v>11</v>
      </c>
    </row>
    <row r="450" spans="1:13" x14ac:dyDescent="0.3">
      <c r="A450">
        <v>1448</v>
      </c>
      <c r="B450" t="s">
        <v>500</v>
      </c>
      <c r="C450" t="s">
        <v>13</v>
      </c>
      <c r="D450" t="s">
        <v>14</v>
      </c>
      <c r="E450">
        <v>2</v>
      </c>
      <c r="F450" s="3">
        <v>1657.95</v>
      </c>
      <c r="G450" s="4">
        <v>0.6</v>
      </c>
      <c r="H450" s="3">
        <v>3315.9</v>
      </c>
      <c r="I450" s="1">
        <v>45269</v>
      </c>
      <c r="J450" t="s">
        <v>46</v>
      </c>
      <c r="K450" t="s">
        <v>23</v>
      </c>
      <c r="L450" s="3">
        <v>1326.3600000000001</v>
      </c>
      <c r="M450" t="s">
        <v>11</v>
      </c>
    </row>
    <row r="451" spans="1:13" x14ac:dyDescent="0.3">
      <c r="A451">
        <v>1449</v>
      </c>
      <c r="B451" t="s">
        <v>501</v>
      </c>
      <c r="C451" t="s">
        <v>13</v>
      </c>
      <c r="D451" t="s">
        <v>49</v>
      </c>
      <c r="E451">
        <v>2</v>
      </c>
      <c r="F451" s="3">
        <v>2855.53</v>
      </c>
      <c r="G451" s="4">
        <v>0.55000000000000004</v>
      </c>
      <c r="H451" s="3">
        <v>5711.06</v>
      </c>
      <c r="I451" s="1">
        <v>45707</v>
      </c>
      <c r="J451" t="s">
        <v>18</v>
      </c>
      <c r="K451" t="s">
        <v>16</v>
      </c>
      <c r="L451" s="3">
        <v>2569.9769999999999</v>
      </c>
      <c r="M451" t="s">
        <v>11</v>
      </c>
    </row>
    <row r="452" spans="1:13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F452" s="3">
        <v>2776.2202000000002</v>
      </c>
      <c r="G452" s="4">
        <v>0.6</v>
      </c>
      <c r="H452" s="3">
        <v>11104.880800000001</v>
      </c>
      <c r="I452" s="1">
        <v>45456</v>
      </c>
      <c r="J452" t="s">
        <v>15</v>
      </c>
      <c r="K452" t="s">
        <v>16</v>
      </c>
      <c r="L452" s="3">
        <v>4441.9523200000003</v>
      </c>
      <c r="M452" t="s">
        <v>11</v>
      </c>
    </row>
    <row r="453" spans="1:13" x14ac:dyDescent="0.3">
      <c r="A453">
        <v>1451</v>
      </c>
      <c r="B453" t="s">
        <v>503</v>
      </c>
      <c r="C453" t="s">
        <v>25</v>
      </c>
      <c r="D453" t="s">
        <v>66</v>
      </c>
      <c r="E453">
        <v>2</v>
      </c>
      <c r="F453" s="3">
        <v>620.64</v>
      </c>
      <c r="G453" s="4">
        <v>0.6</v>
      </c>
      <c r="H453" s="3">
        <v>1241.28</v>
      </c>
      <c r="I453" s="1">
        <v>45801</v>
      </c>
      <c r="J453" t="s">
        <v>56</v>
      </c>
      <c r="K453" t="s">
        <v>23</v>
      </c>
      <c r="L453" s="3">
        <v>496.512</v>
      </c>
      <c r="M453" t="s">
        <v>2518</v>
      </c>
    </row>
    <row r="454" spans="1:13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 s="3">
        <v>2660.28</v>
      </c>
      <c r="G454" s="4">
        <v>0.34</v>
      </c>
      <c r="H454" s="3">
        <v>-5320.56</v>
      </c>
      <c r="I454" s="1">
        <v>45782</v>
      </c>
      <c r="J454" t="s">
        <v>15</v>
      </c>
      <c r="K454" t="s">
        <v>16</v>
      </c>
      <c r="L454" s="3">
        <v>-3511.5695999999998</v>
      </c>
      <c r="M454" t="s">
        <v>2518</v>
      </c>
    </row>
    <row r="455" spans="1:13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F455" s="3">
        <v>2785.0877966101693</v>
      </c>
      <c r="G455" s="4">
        <v>0.18</v>
      </c>
      <c r="H455" s="3">
        <v>0</v>
      </c>
      <c r="I455" s="1">
        <v>45633</v>
      </c>
      <c r="J455" t="s">
        <v>40</v>
      </c>
      <c r="K455" t="s">
        <v>23</v>
      </c>
      <c r="L455" s="3">
        <v>0</v>
      </c>
      <c r="M455" t="s">
        <v>2518</v>
      </c>
    </row>
    <row r="456" spans="1:13" x14ac:dyDescent="0.3">
      <c r="A456">
        <v>1454</v>
      </c>
      <c r="B456" t="s">
        <v>506</v>
      </c>
      <c r="C456" t="s">
        <v>29</v>
      </c>
      <c r="D456" t="s">
        <v>42</v>
      </c>
      <c r="E456">
        <v>2</v>
      </c>
      <c r="F456" s="3">
        <v>4523.58</v>
      </c>
      <c r="G456" s="4">
        <v>0.6</v>
      </c>
      <c r="H456" s="3">
        <v>9047.16</v>
      </c>
      <c r="I456" s="1">
        <v>45495</v>
      </c>
      <c r="J456" t="s">
        <v>46</v>
      </c>
      <c r="K456" t="s">
        <v>23</v>
      </c>
      <c r="L456" s="3">
        <v>3618.864</v>
      </c>
      <c r="M456" t="s">
        <v>11</v>
      </c>
    </row>
    <row r="457" spans="1:13" x14ac:dyDescent="0.3">
      <c r="A457">
        <v>1455</v>
      </c>
      <c r="B457" t="s">
        <v>507</v>
      </c>
      <c r="C457" t="s">
        <v>33</v>
      </c>
      <c r="D457" t="s">
        <v>72</v>
      </c>
      <c r="E457">
        <v>2</v>
      </c>
      <c r="F457" s="3">
        <v>2715.5458490566025</v>
      </c>
      <c r="G457" s="4">
        <v>0.6</v>
      </c>
      <c r="H457" s="3">
        <v>5431.091698113205</v>
      </c>
      <c r="I457" s="1">
        <v>45629</v>
      </c>
      <c r="J457" t="s">
        <v>15</v>
      </c>
      <c r="K457" t="s">
        <v>23</v>
      </c>
      <c r="L457" s="3">
        <v>2172.436679245282</v>
      </c>
      <c r="M457" t="s">
        <v>11</v>
      </c>
    </row>
    <row r="458" spans="1:13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F458" s="3">
        <v>2776.2202000000002</v>
      </c>
      <c r="G458" s="4">
        <v>0.6</v>
      </c>
      <c r="H458" s="3">
        <v>5552.4404000000004</v>
      </c>
      <c r="I458" s="1">
        <v>45702</v>
      </c>
      <c r="J458" t="s">
        <v>40</v>
      </c>
      <c r="K458" t="s">
        <v>16</v>
      </c>
      <c r="L458" s="3">
        <v>2220.9761600000002</v>
      </c>
      <c r="M458" t="s">
        <v>11</v>
      </c>
    </row>
    <row r="459" spans="1:13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 s="3">
        <v>2342.25</v>
      </c>
      <c r="G459" s="4">
        <v>0.6</v>
      </c>
      <c r="H459" s="3">
        <v>0</v>
      </c>
      <c r="I459" s="1">
        <v>45782</v>
      </c>
      <c r="J459" t="s">
        <v>40</v>
      </c>
      <c r="K459" t="s">
        <v>23</v>
      </c>
      <c r="L459" s="3">
        <v>0</v>
      </c>
      <c r="M459" t="s">
        <v>2518</v>
      </c>
    </row>
    <row r="460" spans="1:13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F460" s="3">
        <v>2681.1743636363635</v>
      </c>
      <c r="G460" s="4">
        <v>0.27</v>
      </c>
      <c r="H460" s="3">
        <v>16087.046181818181</v>
      </c>
      <c r="I460" s="1">
        <v>45782</v>
      </c>
      <c r="J460" t="s">
        <v>22</v>
      </c>
      <c r="K460" t="s">
        <v>23</v>
      </c>
      <c r="L460" s="3">
        <v>11743.543712727273</v>
      </c>
      <c r="M460" t="s">
        <v>11</v>
      </c>
    </row>
    <row r="461" spans="1:13" x14ac:dyDescent="0.3">
      <c r="A461">
        <v>1459</v>
      </c>
      <c r="B461" t="s">
        <v>511</v>
      </c>
      <c r="C461" t="s">
        <v>29</v>
      </c>
      <c r="D461" t="s">
        <v>42</v>
      </c>
      <c r="E461">
        <v>2</v>
      </c>
      <c r="F461" s="3">
        <v>2494.9899999999998</v>
      </c>
      <c r="G461" s="4">
        <v>0.98</v>
      </c>
      <c r="H461" s="3">
        <v>4989.9799999999996</v>
      </c>
      <c r="I461" s="1">
        <v>45308</v>
      </c>
      <c r="J461" t="s">
        <v>46</v>
      </c>
      <c r="K461" t="s">
        <v>23</v>
      </c>
      <c r="L461" s="3">
        <v>99.799600000000083</v>
      </c>
      <c r="M461" t="s">
        <v>2518</v>
      </c>
    </row>
    <row r="462" spans="1:13" x14ac:dyDescent="0.3">
      <c r="A462">
        <v>1460</v>
      </c>
      <c r="B462" t="s">
        <v>512</v>
      </c>
      <c r="C462" t="s">
        <v>20</v>
      </c>
      <c r="D462" t="s">
        <v>122</v>
      </c>
      <c r="E462">
        <v>2</v>
      </c>
      <c r="F462" s="3">
        <v>4264.16</v>
      </c>
      <c r="G462" s="4">
        <v>0.6</v>
      </c>
      <c r="H462" s="3">
        <v>8528.32</v>
      </c>
      <c r="I462" s="1">
        <v>45577</v>
      </c>
      <c r="J462" t="s">
        <v>15</v>
      </c>
      <c r="K462" t="s">
        <v>23</v>
      </c>
      <c r="L462" s="3">
        <v>3411.328</v>
      </c>
      <c r="M462" t="s">
        <v>11</v>
      </c>
    </row>
    <row r="463" spans="1:13" x14ac:dyDescent="0.3">
      <c r="A463">
        <v>1461</v>
      </c>
      <c r="B463" t="s">
        <v>513</v>
      </c>
      <c r="C463" t="s">
        <v>38</v>
      </c>
      <c r="D463" t="s">
        <v>39</v>
      </c>
      <c r="E463">
        <v>2</v>
      </c>
      <c r="F463" s="3">
        <v>2708.35</v>
      </c>
      <c r="G463" s="4">
        <v>1.06</v>
      </c>
      <c r="H463" s="3">
        <v>5416.7</v>
      </c>
      <c r="I463" s="1">
        <v>45782</v>
      </c>
      <c r="J463" t="s">
        <v>56</v>
      </c>
      <c r="K463" t="s">
        <v>16</v>
      </c>
      <c r="L463" s="3">
        <v>-325.00200000000029</v>
      </c>
      <c r="M463" t="s">
        <v>2518</v>
      </c>
    </row>
    <row r="464" spans="1:13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F464" s="3">
        <v>2681.1743636363635</v>
      </c>
      <c r="G464" s="4">
        <v>0.6</v>
      </c>
      <c r="H464" s="3">
        <v>-2681.1743636363635</v>
      </c>
      <c r="I464" s="1">
        <v>45725</v>
      </c>
      <c r="J464" t="s">
        <v>15</v>
      </c>
      <c r="K464" t="s">
        <v>16</v>
      </c>
      <c r="L464" s="3">
        <v>-1072.4697454545455</v>
      </c>
      <c r="M464" t="s">
        <v>2518</v>
      </c>
    </row>
    <row r="465" spans="1:13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 s="3">
        <v>4606.09</v>
      </c>
      <c r="G465" s="4">
        <v>1.1200000000000001</v>
      </c>
      <c r="H465" s="3">
        <v>4606.09</v>
      </c>
      <c r="I465" s="1">
        <v>45825</v>
      </c>
      <c r="J465" t="s">
        <v>15</v>
      </c>
      <c r="K465" t="s">
        <v>23</v>
      </c>
      <c r="L465" s="3">
        <v>-552.7308000000005</v>
      </c>
      <c r="M465" t="s">
        <v>2518</v>
      </c>
    </row>
    <row r="466" spans="1:13" x14ac:dyDescent="0.3">
      <c r="A466">
        <v>1464</v>
      </c>
      <c r="B466" t="s">
        <v>516</v>
      </c>
      <c r="C466" t="s">
        <v>38</v>
      </c>
      <c r="D466" t="s">
        <v>63</v>
      </c>
      <c r="E466">
        <v>2</v>
      </c>
      <c r="F466" s="3">
        <v>2845.2419672131159</v>
      </c>
      <c r="G466" s="4">
        <v>0.6</v>
      </c>
      <c r="H466" s="3">
        <v>5690.4839344262318</v>
      </c>
      <c r="I466" s="1">
        <v>45783</v>
      </c>
      <c r="J466" t="s">
        <v>40</v>
      </c>
      <c r="K466" t="s">
        <v>16</v>
      </c>
      <c r="L466" s="3">
        <v>2276.193573770493</v>
      </c>
      <c r="M466" t="s">
        <v>11</v>
      </c>
    </row>
    <row r="467" spans="1:13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 s="3">
        <v>2215.4</v>
      </c>
      <c r="G467" s="4">
        <v>0.96</v>
      </c>
      <c r="H467" s="3">
        <v>-4430.8</v>
      </c>
      <c r="I467" s="1">
        <v>45708</v>
      </c>
      <c r="J467" t="s">
        <v>56</v>
      </c>
      <c r="K467" t="s">
        <v>23</v>
      </c>
      <c r="L467" s="3">
        <v>-177.23200000000017</v>
      </c>
      <c r="M467" t="s">
        <v>2518</v>
      </c>
    </row>
    <row r="468" spans="1:13" x14ac:dyDescent="0.3">
      <c r="A468">
        <v>1014</v>
      </c>
      <c r="B468" t="s">
        <v>518</v>
      </c>
      <c r="C468" t="s">
        <v>38</v>
      </c>
      <c r="D468" t="s">
        <v>63</v>
      </c>
      <c r="E468">
        <v>2</v>
      </c>
      <c r="F468" s="3">
        <v>3172.11</v>
      </c>
      <c r="G468" s="4">
        <v>0.6</v>
      </c>
      <c r="H468" s="3">
        <v>6344.22</v>
      </c>
      <c r="I468" s="1">
        <v>45176</v>
      </c>
      <c r="J468" t="s">
        <v>22</v>
      </c>
      <c r="K468" t="s">
        <v>16</v>
      </c>
      <c r="L468" s="3">
        <v>2537.6880000000001</v>
      </c>
      <c r="M468" t="s">
        <v>11</v>
      </c>
    </row>
    <row r="469" spans="1:13" x14ac:dyDescent="0.3">
      <c r="A469">
        <v>1030</v>
      </c>
      <c r="B469" t="s">
        <v>519</v>
      </c>
      <c r="C469" t="s">
        <v>25</v>
      </c>
      <c r="D469" t="s">
        <v>54</v>
      </c>
      <c r="E469">
        <v>2</v>
      </c>
      <c r="F469" s="3">
        <v>3389.44</v>
      </c>
      <c r="G469" s="4">
        <v>0.09</v>
      </c>
      <c r="H469" s="3">
        <v>6778.88</v>
      </c>
      <c r="I469" s="1">
        <v>45628</v>
      </c>
      <c r="J469" t="s">
        <v>15</v>
      </c>
      <c r="K469" t="s">
        <v>23</v>
      </c>
      <c r="L469" s="3">
        <v>6168.7808000000005</v>
      </c>
      <c r="M469" t="s">
        <v>11</v>
      </c>
    </row>
    <row r="470" spans="1:13" x14ac:dyDescent="0.3">
      <c r="A470">
        <v>1468</v>
      </c>
      <c r="B470" t="s">
        <v>520</v>
      </c>
      <c r="C470" t="s">
        <v>33</v>
      </c>
      <c r="D470" t="s">
        <v>82</v>
      </c>
      <c r="E470">
        <v>2</v>
      </c>
      <c r="F470" s="3">
        <v>3332.84</v>
      </c>
      <c r="G470" s="4">
        <v>0.27</v>
      </c>
      <c r="H470" s="3">
        <v>6665.68</v>
      </c>
      <c r="I470" s="1">
        <v>45153</v>
      </c>
      <c r="J470" t="s">
        <v>18</v>
      </c>
      <c r="K470" t="s">
        <v>23</v>
      </c>
      <c r="L470" s="3">
        <v>4865.9463999999998</v>
      </c>
      <c r="M470" t="s">
        <v>11</v>
      </c>
    </row>
    <row r="471" spans="1:13" x14ac:dyDescent="0.3">
      <c r="A471">
        <v>1469</v>
      </c>
      <c r="B471" t="s">
        <v>521</v>
      </c>
      <c r="C471" t="s">
        <v>38</v>
      </c>
      <c r="D471" t="s">
        <v>63</v>
      </c>
      <c r="E471">
        <v>2</v>
      </c>
      <c r="F471" s="3">
        <v>2665.7</v>
      </c>
      <c r="G471" s="4">
        <v>0.49</v>
      </c>
      <c r="H471" s="3">
        <v>5331.4</v>
      </c>
      <c r="I471" s="1">
        <v>45682</v>
      </c>
      <c r="J471" t="s">
        <v>40</v>
      </c>
      <c r="K471" t="s">
        <v>23</v>
      </c>
      <c r="L471" s="3">
        <v>2719.0139999999997</v>
      </c>
      <c r="M471" t="s">
        <v>11</v>
      </c>
    </row>
    <row r="472" spans="1:13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 s="3">
        <v>1376.54</v>
      </c>
      <c r="G472" s="4">
        <v>0.6</v>
      </c>
      <c r="H472" s="3">
        <v>-1376.54</v>
      </c>
      <c r="I472" s="1">
        <v>45782</v>
      </c>
      <c r="J472" t="s">
        <v>56</v>
      </c>
      <c r="K472" t="s">
        <v>23</v>
      </c>
      <c r="L472" s="3">
        <v>-550.61599999999999</v>
      </c>
      <c r="M472" t="s">
        <v>2518</v>
      </c>
    </row>
    <row r="473" spans="1:13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 s="3">
        <v>4882.03</v>
      </c>
      <c r="G473" s="4">
        <v>0.23</v>
      </c>
      <c r="H473" s="3">
        <v>-9764.06</v>
      </c>
      <c r="I473" s="1">
        <v>45159</v>
      </c>
      <c r="J473" t="s">
        <v>56</v>
      </c>
      <c r="K473" t="s">
        <v>16</v>
      </c>
      <c r="L473" s="3">
        <v>-7518.3261999999995</v>
      </c>
      <c r="M473" t="s">
        <v>2518</v>
      </c>
    </row>
    <row r="474" spans="1:13" x14ac:dyDescent="0.3">
      <c r="A474">
        <v>1472</v>
      </c>
      <c r="B474" t="s">
        <v>524</v>
      </c>
      <c r="C474" t="s">
        <v>29</v>
      </c>
      <c r="D474" t="s">
        <v>30</v>
      </c>
      <c r="E474">
        <v>2</v>
      </c>
      <c r="F474" s="3">
        <v>2617.6390384615388</v>
      </c>
      <c r="G474" s="4">
        <v>1.01</v>
      </c>
      <c r="H474" s="3">
        <v>5235.2780769230776</v>
      </c>
      <c r="I474" s="1">
        <v>45591</v>
      </c>
      <c r="J474" t="s">
        <v>22</v>
      </c>
      <c r="K474" t="s">
        <v>16</v>
      </c>
      <c r="L474" s="3">
        <v>-52.352780769230826</v>
      </c>
      <c r="M474" t="s">
        <v>2518</v>
      </c>
    </row>
    <row r="475" spans="1:13" x14ac:dyDescent="0.3">
      <c r="A475">
        <v>1473</v>
      </c>
      <c r="B475" t="s">
        <v>525</v>
      </c>
      <c r="C475" t="s">
        <v>33</v>
      </c>
      <c r="D475" t="s">
        <v>82</v>
      </c>
      <c r="E475">
        <v>2</v>
      </c>
      <c r="F475" s="3">
        <v>2776.2202000000002</v>
      </c>
      <c r="G475" s="4">
        <v>0.08</v>
      </c>
      <c r="H475" s="3">
        <v>5552.4404000000004</v>
      </c>
      <c r="I475" s="1">
        <v>45782</v>
      </c>
      <c r="J475" t="s">
        <v>40</v>
      </c>
      <c r="K475" t="s">
        <v>16</v>
      </c>
      <c r="L475" s="3">
        <v>5108.2451680000004</v>
      </c>
      <c r="M475" t="s">
        <v>11</v>
      </c>
    </row>
    <row r="476" spans="1:13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F476" s="3">
        <v>2725.8557142857148</v>
      </c>
      <c r="G476" s="4">
        <v>0.6</v>
      </c>
      <c r="H476" s="3">
        <v>10903.422857142859</v>
      </c>
      <c r="I476" s="1">
        <v>45681</v>
      </c>
      <c r="J476" t="s">
        <v>40</v>
      </c>
      <c r="K476" t="s">
        <v>16</v>
      </c>
      <c r="L476" s="3">
        <v>4361.3691428571437</v>
      </c>
      <c r="M476" t="s">
        <v>11</v>
      </c>
    </row>
    <row r="477" spans="1:13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 s="3">
        <v>3692.25</v>
      </c>
      <c r="G477" s="4">
        <v>0.6</v>
      </c>
      <c r="H477" s="3">
        <v>-7384.5</v>
      </c>
      <c r="I477" s="1">
        <v>45607</v>
      </c>
      <c r="J477" t="s">
        <v>22</v>
      </c>
      <c r="K477" t="s">
        <v>16</v>
      </c>
      <c r="L477" s="3">
        <v>-2953.8</v>
      </c>
      <c r="M477" t="s">
        <v>2518</v>
      </c>
    </row>
    <row r="478" spans="1:13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F478" s="3">
        <v>2576.3056896551716</v>
      </c>
      <c r="G478" s="4">
        <v>0.56999999999999995</v>
      </c>
      <c r="H478" s="3">
        <v>12881.528448275858</v>
      </c>
      <c r="I478" s="1">
        <v>45859</v>
      </c>
      <c r="J478" t="s">
        <v>40</v>
      </c>
      <c r="K478" t="s">
        <v>16</v>
      </c>
      <c r="L478" s="3">
        <v>5539.0572327586196</v>
      </c>
      <c r="M478" t="s">
        <v>11</v>
      </c>
    </row>
    <row r="479" spans="1:13" x14ac:dyDescent="0.3">
      <c r="A479">
        <v>1477</v>
      </c>
      <c r="B479" t="s">
        <v>529</v>
      </c>
      <c r="C479" t="s">
        <v>38</v>
      </c>
      <c r="D479" t="s">
        <v>91</v>
      </c>
      <c r="E479">
        <v>2</v>
      </c>
      <c r="F479" s="3">
        <v>2277.1999999999998</v>
      </c>
      <c r="G479" s="4">
        <v>0.6</v>
      </c>
      <c r="H479" s="3">
        <v>4554.3999999999996</v>
      </c>
      <c r="I479" s="1">
        <v>45749</v>
      </c>
      <c r="J479" t="s">
        <v>56</v>
      </c>
      <c r="K479" t="s">
        <v>23</v>
      </c>
      <c r="L479" s="3">
        <v>1821.76</v>
      </c>
      <c r="M479" t="s">
        <v>11</v>
      </c>
    </row>
    <row r="480" spans="1:13" x14ac:dyDescent="0.3">
      <c r="A480">
        <v>1478</v>
      </c>
      <c r="B480" t="s">
        <v>530</v>
      </c>
      <c r="C480" t="s">
        <v>20</v>
      </c>
      <c r="D480" t="s">
        <v>88</v>
      </c>
      <c r="E480">
        <v>2</v>
      </c>
      <c r="F480" s="3">
        <v>2277.41</v>
      </c>
      <c r="G480" s="4">
        <v>0.6</v>
      </c>
      <c r="H480" s="3">
        <v>4554.82</v>
      </c>
      <c r="I480" s="1">
        <v>45491</v>
      </c>
      <c r="J480" t="s">
        <v>18</v>
      </c>
      <c r="K480" t="s">
        <v>23</v>
      </c>
      <c r="L480" s="3">
        <v>1821.9279999999999</v>
      </c>
      <c r="M480" t="s">
        <v>11</v>
      </c>
    </row>
    <row r="481" spans="1:13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F481" s="3">
        <v>2804.2651923076919</v>
      </c>
      <c r="G481" s="4">
        <v>0.6</v>
      </c>
      <c r="H481" s="3">
        <v>2804.2651923076919</v>
      </c>
      <c r="I481" s="1">
        <v>45782</v>
      </c>
      <c r="J481" t="s">
        <v>18</v>
      </c>
      <c r="K481" t="s">
        <v>16</v>
      </c>
      <c r="L481" s="3">
        <v>1121.7060769230768</v>
      </c>
      <c r="M481" t="s">
        <v>11</v>
      </c>
    </row>
    <row r="482" spans="1:13" x14ac:dyDescent="0.3">
      <c r="A482">
        <v>1480</v>
      </c>
      <c r="B482" t="s">
        <v>532</v>
      </c>
      <c r="C482" t="s">
        <v>20</v>
      </c>
      <c r="D482" t="s">
        <v>88</v>
      </c>
      <c r="E482">
        <v>2</v>
      </c>
      <c r="F482" s="3">
        <v>755.42</v>
      </c>
      <c r="G482" s="4">
        <v>0.6</v>
      </c>
      <c r="H482" s="3">
        <v>1510.84</v>
      </c>
      <c r="I482" s="1">
        <v>45420</v>
      </c>
      <c r="J482" t="s">
        <v>46</v>
      </c>
      <c r="K482" t="s">
        <v>23</v>
      </c>
      <c r="L482" s="3">
        <v>604.33600000000001</v>
      </c>
      <c r="M482" t="s">
        <v>11</v>
      </c>
    </row>
    <row r="483" spans="1:13" x14ac:dyDescent="0.3">
      <c r="A483">
        <v>1481</v>
      </c>
      <c r="B483" t="s">
        <v>533</v>
      </c>
      <c r="C483" t="s">
        <v>29</v>
      </c>
      <c r="D483" t="s">
        <v>120</v>
      </c>
      <c r="E483">
        <v>2</v>
      </c>
      <c r="F483" s="3">
        <v>2830.1325714285731</v>
      </c>
      <c r="G483" s="4">
        <v>0.97</v>
      </c>
      <c r="H483" s="3">
        <v>5660.2651428571462</v>
      </c>
      <c r="I483" s="1">
        <v>45782</v>
      </c>
      <c r="J483" t="s">
        <v>15</v>
      </c>
      <c r="K483" t="s">
        <v>16</v>
      </c>
      <c r="L483" s="3">
        <v>169.80795428571454</v>
      </c>
      <c r="M483" t="s">
        <v>2518</v>
      </c>
    </row>
    <row r="484" spans="1:13" x14ac:dyDescent="0.3">
      <c r="A484">
        <v>1482</v>
      </c>
      <c r="B484" t="s">
        <v>534</v>
      </c>
      <c r="C484" t="s">
        <v>25</v>
      </c>
      <c r="D484" t="s">
        <v>66</v>
      </c>
      <c r="E484">
        <v>2</v>
      </c>
      <c r="F484" s="3">
        <v>1269.51</v>
      </c>
      <c r="G484" s="4">
        <v>0.6</v>
      </c>
      <c r="H484" s="3">
        <v>2539.02</v>
      </c>
      <c r="I484" s="1">
        <v>45742</v>
      </c>
      <c r="J484" t="s">
        <v>18</v>
      </c>
      <c r="K484" t="s">
        <v>16</v>
      </c>
      <c r="L484" s="3">
        <v>1015.6080000000001</v>
      </c>
      <c r="M484" t="s">
        <v>11</v>
      </c>
    </row>
    <row r="485" spans="1:13" x14ac:dyDescent="0.3">
      <c r="A485">
        <v>1483</v>
      </c>
      <c r="B485" t="s">
        <v>535</v>
      </c>
      <c r="C485" t="s">
        <v>33</v>
      </c>
      <c r="D485" t="s">
        <v>44</v>
      </c>
      <c r="E485">
        <v>2</v>
      </c>
      <c r="F485" s="3">
        <v>2347.19</v>
      </c>
      <c r="G485" s="4">
        <v>0.6</v>
      </c>
      <c r="H485" s="3">
        <v>4694.38</v>
      </c>
      <c r="I485" s="1">
        <v>45577</v>
      </c>
      <c r="J485" t="s">
        <v>40</v>
      </c>
      <c r="K485" t="s">
        <v>23</v>
      </c>
      <c r="L485" s="3">
        <v>1877.7520000000002</v>
      </c>
      <c r="M485" t="s">
        <v>11</v>
      </c>
    </row>
    <row r="486" spans="1:13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 s="3">
        <v>818.68</v>
      </c>
      <c r="G486" s="4">
        <v>0.6</v>
      </c>
      <c r="H486" s="3">
        <v>1637.36</v>
      </c>
      <c r="I486" s="1">
        <v>45289</v>
      </c>
      <c r="J486" t="s">
        <v>22</v>
      </c>
      <c r="K486" t="s">
        <v>23</v>
      </c>
      <c r="L486" s="3">
        <v>654.94399999999996</v>
      </c>
      <c r="M486" t="s">
        <v>11</v>
      </c>
    </row>
    <row r="487" spans="1:13" x14ac:dyDescent="0.3">
      <c r="A487">
        <v>1485</v>
      </c>
      <c r="B487" t="s">
        <v>537</v>
      </c>
      <c r="C487" t="s">
        <v>25</v>
      </c>
      <c r="D487" t="s">
        <v>54</v>
      </c>
      <c r="E487">
        <v>2</v>
      </c>
      <c r="F487" s="3">
        <v>2530.3836538461546</v>
      </c>
      <c r="G487" s="4">
        <v>0.6</v>
      </c>
      <c r="H487" s="3">
        <v>5060.7673076923093</v>
      </c>
      <c r="I487" s="1">
        <v>45510</v>
      </c>
      <c r="J487" t="s">
        <v>56</v>
      </c>
      <c r="K487" t="s">
        <v>23</v>
      </c>
      <c r="L487" s="3">
        <v>2024.3069230769238</v>
      </c>
      <c r="M487" t="s">
        <v>11</v>
      </c>
    </row>
    <row r="488" spans="1:13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F488" s="3">
        <v>2576.3056896551716</v>
      </c>
      <c r="G488" s="4">
        <v>0.6</v>
      </c>
      <c r="H488" s="3">
        <v>15457.83413793103</v>
      </c>
      <c r="I488" s="1">
        <v>45782</v>
      </c>
      <c r="J488" t="s">
        <v>22</v>
      </c>
      <c r="K488" t="s">
        <v>23</v>
      </c>
      <c r="L488" s="3">
        <v>6183.1336551724125</v>
      </c>
      <c r="M488" t="s">
        <v>11</v>
      </c>
    </row>
    <row r="489" spans="1:13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 s="3">
        <v>1234.08</v>
      </c>
      <c r="G489" s="4">
        <v>0.71</v>
      </c>
      <c r="H489" s="3">
        <v>7404.48</v>
      </c>
      <c r="I489" s="1">
        <v>45366</v>
      </c>
      <c r="J489" t="s">
        <v>15</v>
      </c>
      <c r="K489" t="s">
        <v>16</v>
      </c>
      <c r="L489" s="3">
        <v>2147.2991999999999</v>
      </c>
      <c r="M489" t="s">
        <v>11</v>
      </c>
    </row>
    <row r="490" spans="1:13" x14ac:dyDescent="0.3">
      <c r="A490">
        <v>1488</v>
      </c>
      <c r="B490" t="s">
        <v>540</v>
      </c>
      <c r="C490" t="s">
        <v>29</v>
      </c>
      <c r="D490" t="s">
        <v>141</v>
      </c>
      <c r="E490">
        <v>2</v>
      </c>
      <c r="F490" s="3">
        <v>4925.93</v>
      </c>
      <c r="G490" s="4">
        <v>0.6</v>
      </c>
      <c r="H490" s="3">
        <v>9851.86</v>
      </c>
      <c r="I490" s="1">
        <v>45774</v>
      </c>
      <c r="J490" t="s">
        <v>40</v>
      </c>
      <c r="K490" t="s">
        <v>16</v>
      </c>
      <c r="L490" s="3">
        <v>3940.7440000000006</v>
      </c>
      <c r="M490" t="s">
        <v>11</v>
      </c>
    </row>
    <row r="491" spans="1:13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F491" s="3">
        <v>2530.3836538461546</v>
      </c>
      <c r="G491" s="4">
        <v>0.6</v>
      </c>
      <c r="H491" s="3">
        <v>-5060.7673076923093</v>
      </c>
      <c r="I491" s="1">
        <v>45785</v>
      </c>
      <c r="J491" t="s">
        <v>46</v>
      </c>
      <c r="K491" t="s">
        <v>23</v>
      </c>
      <c r="L491" s="3">
        <v>-2024.3069230769238</v>
      </c>
      <c r="M491" t="s">
        <v>2518</v>
      </c>
    </row>
    <row r="492" spans="1:13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F492" s="3">
        <v>2715.5458490566025</v>
      </c>
      <c r="G492" s="4">
        <v>0.6</v>
      </c>
      <c r="H492" s="3">
        <v>2715.5458490566025</v>
      </c>
      <c r="I492" s="1">
        <v>45547</v>
      </c>
      <c r="J492" t="s">
        <v>15</v>
      </c>
      <c r="K492" t="s">
        <v>23</v>
      </c>
      <c r="L492" s="3">
        <v>1086.218339622641</v>
      </c>
      <c r="M492" t="s">
        <v>11</v>
      </c>
    </row>
    <row r="493" spans="1:13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F493" s="3">
        <v>2530.3836538461546</v>
      </c>
      <c r="G493" s="4">
        <v>0.28999999999999998</v>
      </c>
      <c r="H493" s="3">
        <v>2530.3836538461546</v>
      </c>
      <c r="I493" s="1">
        <v>45782</v>
      </c>
      <c r="J493" t="s">
        <v>40</v>
      </c>
      <c r="K493" t="s">
        <v>23</v>
      </c>
      <c r="L493" s="3">
        <v>1796.5723942307698</v>
      </c>
      <c r="M493" t="s">
        <v>11</v>
      </c>
    </row>
    <row r="494" spans="1:13" x14ac:dyDescent="0.3">
      <c r="A494">
        <v>1492</v>
      </c>
      <c r="B494" t="s">
        <v>544</v>
      </c>
      <c r="C494" t="s">
        <v>33</v>
      </c>
      <c r="D494" t="s">
        <v>72</v>
      </c>
      <c r="E494">
        <v>2</v>
      </c>
      <c r="F494" s="3">
        <v>2715.5458490566025</v>
      </c>
      <c r="G494" s="4">
        <v>1.07</v>
      </c>
      <c r="H494" s="3">
        <v>5431.091698113205</v>
      </c>
      <c r="I494" s="1">
        <v>45782</v>
      </c>
      <c r="J494" t="s">
        <v>56</v>
      </c>
      <c r="K494" t="s">
        <v>23</v>
      </c>
      <c r="L494" s="3">
        <v>-380.17641886792467</v>
      </c>
      <c r="M494" t="s">
        <v>2518</v>
      </c>
    </row>
    <row r="495" spans="1:13" x14ac:dyDescent="0.3">
      <c r="A495">
        <v>1493</v>
      </c>
      <c r="B495" t="s">
        <v>545</v>
      </c>
      <c r="C495" t="s">
        <v>38</v>
      </c>
      <c r="D495" t="s">
        <v>63</v>
      </c>
      <c r="E495">
        <v>2</v>
      </c>
      <c r="F495" s="3">
        <v>2845.2419672131159</v>
      </c>
      <c r="G495" s="4">
        <v>0.03</v>
      </c>
      <c r="H495" s="3">
        <v>5690.4839344262318</v>
      </c>
      <c r="I495" s="1">
        <v>45782</v>
      </c>
      <c r="J495" t="s">
        <v>56</v>
      </c>
      <c r="K495" t="s">
        <v>23</v>
      </c>
      <c r="L495" s="3">
        <v>5519.7694163934448</v>
      </c>
      <c r="M495" t="s">
        <v>11</v>
      </c>
    </row>
    <row r="496" spans="1:13" x14ac:dyDescent="0.3">
      <c r="A496">
        <v>1494</v>
      </c>
      <c r="B496" t="s">
        <v>546</v>
      </c>
      <c r="C496" t="s">
        <v>13</v>
      </c>
      <c r="D496" t="s">
        <v>49</v>
      </c>
      <c r="E496">
        <v>2</v>
      </c>
      <c r="F496" s="3">
        <v>4338.0600000000004</v>
      </c>
      <c r="G496" s="4">
        <v>0.24</v>
      </c>
      <c r="H496" s="3">
        <v>8676.1200000000008</v>
      </c>
      <c r="I496" s="1">
        <v>45734</v>
      </c>
      <c r="J496" t="s">
        <v>22</v>
      </c>
      <c r="K496" t="s">
        <v>23</v>
      </c>
      <c r="L496" s="3">
        <v>6593.851200000001</v>
      </c>
      <c r="M496" t="s">
        <v>11</v>
      </c>
    </row>
    <row r="497" spans="1:13" x14ac:dyDescent="0.3">
      <c r="A497">
        <v>1495</v>
      </c>
      <c r="B497" t="s">
        <v>547</v>
      </c>
      <c r="C497" t="s">
        <v>29</v>
      </c>
      <c r="D497" t="s">
        <v>120</v>
      </c>
      <c r="E497">
        <v>2</v>
      </c>
      <c r="F497" s="3">
        <v>2261.4899999999998</v>
      </c>
      <c r="G497" s="4">
        <v>0.6</v>
      </c>
      <c r="H497" s="3">
        <v>4522.9799999999996</v>
      </c>
      <c r="I497" s="1">
        <v>45601</v>
      </c>
      <c r="J497" t="s">
        <v>40</v>
      </c>
      <c r="K497" t="s">
        <v>16</v>
      </c>
      <c r="L497" s="3">
        <v>1809.192</v>
      </c>
      <c r="M497" t="s">
        <v>11</v>
      </c>
    </row>
    <row r="498" spans="1:13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 s="3">
        <v>4874.76</v>
      </c>
      <c r="G498" s="4">
        <v>0.6</v>
      </c>
      <c r="H498" s="3">
        <v>-4874.76</v>
      </c>
      <c r="I498" s="1">
        <v>45655</v>
      </c>
      <c r="J498" t="s">
        <v>18</v>
      </c>
      <c r="K498" t="s">
        <v>23</v>
      </c>
      <c r="L498" s="3">
        <v>-1949.9040000000002</v>
      </c>
      <c r="M498" t="s">
        <v>2518</v>
      </c>
    </row>
    <row r="499" spans="1:13" x14ac:dyDescent="0.3">
      <c r="A499">
        <v>1497</v>
      </c>
      <c r="B499" t="s">
        <v>549</v>
      </c>
      <c r="C499" t="s">
        <v>29</v>
      </c>
      <c r="D499" t="s">
        <v>30</v>
      </c>
      <c r="E499">
        <v>2</v>
      </c>
      <c r="F499" s="3">
        <v>1461.5</v>
      </c>
      <c r="G499" s="4">
        <v>0.6</v>
      </c>
      <c r="H499" s="3">
        <v>2923</v>
      </c>
      <c r="I499" s="1">
        <v>45526</v>
      </c>
      <c r="J499" t="s">
        <v>46</v>
      </c>
      <c r="K499" t="s">
        <v>16</v>
      </c>
      <c r="L499" s="3">
        <v>1169.2</v>
      </c>
      <c r="M499" t="s">
        <v>11</v>
      </c>
    </row>
    <row r="500" spans="1:13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 s="3">
        <v>3771.67</v>
      </c>
      <c r="G500" s="4">
        <v>0.6</v>
      </c>
      <c r="H500" s="3">
        <v>22630.02</v>
      </c>
      <c r="I500" s="1">
        <v>45566</v>
      </c>
      <c r="J500" t="s">
        <v>22</v>
      </c>
      <c r="K500" t="s">
        <v>16</v>
      </c>
      <c r="L500" s="3">
        <v>9052.0079999999998</v>
      </c>
      <c r="M500" t="s">
        <v>11</v>
      </c>
    </row>
    <row r="501" spans="1:13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F501" s="3">
        <v>2487.039615384615</v>
      </c>
      <c r="G501" s="4">
        <v>0.6</v>
      </c>
      <c r="H501" s="3">
        <v>4974.07923076923</v>
      </c>
      <c r="I501" s="1">
        <v>45782</v>
      </c>
      <c r="J501" t="s">
        <v>40</v>
      </c>
      <c r="K501" t="s">
        <v>16</v>
      </c>
      <c r="L501" s="3">
        <v>1989.631692307692</v>
      </c>
      <c r="M501" t="s">
        <v>11</v>
      </c>
    </row>
    <row r="502" spans="1:13" x14ac:dyDescent="0.3">
      <c r="A502">
        <v>1500</v>
      </c>
      <c r="B502" t="s">
        <v>552</v>
      </c>
      <c r="C502" t="s">
        <v>13</v>
      </c>
      <c r="D502" t="s">
        <v>49</v>
      </c>
      <c r="E502">
        <v>2</v>
      </c>
      <c r="F502" s="3">
        <v>2128.7399999999998</v>
      </c>
      <c r="G502" s="4">
        <v>0.6</v>
      </c>
      <c r="H502" s="3">
        <v>4257.4799999999996</v>
      </c>
      <c r="I502" s="1">
        <v>45588</v>
      </c>
      <c r="J502" t="s">
        <v>18</v>
      </c>
      <c r="K502" t="s">
        <v>23</v>
      </c>
      <c r="L502" s="3">
        <v>1702.992</v>
      </c>
      <c r="M502" t="s">
        <v>11</v>
      </c>
    </row>
    <row r="503" spans="1:13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F503" s="3">
        <v>2487.039615384615</v>
      </c>
      <c r="G503" s="4">
        <v>0.65</v>
      </c>
      <c r="H503" s="3">
        <v>-4974.07923076923</v>
      </c>
      <c r="I503" s="1">
        <v>45782</v>
      </c>
      <c r="J503" t="s">
        <v>40</v>
      </c>
      <c r="K503" t="s">
        <v>23</v>
      </c>
      <c r="L503" s="3">
        <v>-1740.9277307692305</v>
      </c>
      <c r="M503" t="s">
        <v>2518</v>
      </c>
    </row>
    <row r="504" spans="1:13" x14ac:dyDescent="0.3">
      <c r="A504">
        <v>1502</v>
      </c>
      <c r="B504" t="s">
        <v>554</v>
      </c>
      <c r="C504" t="s">
        <v>38</v>
      </c>
      <c r="D504" t="s">
        <v>91</v>
      </c>
      <c r="E504">
        <v>2</v>
      </c>
      <c r="F504" s="3">
        <v>4260.95</v>
      </c>
      <c r="G504" s="4">
        <v>0.6</v>
      </c>
      <c r="H504" s="3">
        <v>8521.9</v>
      </c>
      <c r="I504" s="1">
        <v>45551</v>
      </c>
      <c r="J504" t="s">
        <v>15</v>
      </c>
      <c r="K504" t="s">
        <v>23</v>
      </c>
      <c r="L504" s="3">
        <v>3408.76</v>
      </c>
      <c r="M504" t="s">
        <v>11</v>
      </c>
    </row>
    <row r="505" spans="1:13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 s="3">
        <v>4621.79</v>
      </c>
      <c r="G505" s="4">
        <v>0.32</v>
      </c>
      <c r="H505" s="3">
        <v>9243.58</v>
      </c>
      <c r="I505" s="1">
        <v>45795</v>
      </c>
      <c r="J505" t="s">
        <v>15</v>
      </c>
      <c r="K505" t="s">
        <v>16</v>
      </c>
      <c r="L505" s="3">
        <v>6285.634399999999</v>
      </c>
      <c r="M505" t="s">
        <v>11</v>
      </c>
    </row>
    <row r="506" spans="1:13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 s="3">
        <v>2558.4299999999998</v>
      </c>
      <c r="G506" s="4">
        <v>0.6</v>
      </c>
      <c r="H506" s="3">
        <v>5116.8599999999997</v>
      </c>
      <c r="I506" s="1">
        <v>45604</v>
      </c>
      <c r="J506" t="s">
        <v>40</v>
      </c>
      <c r="K506" t="s">
        <v>23</v>
      </c>
      <c r="L506" s="3">
        <v>2046.7439999999999</v>
      </c>
      <c r="M506" t="s">
        <v>11</v>
      </c>
    </row>
    <row r="507" spans="1:13" x14ac:dyDescent="0.3">
      <c r="A507">
        <v>1048</v>
      </c>
      <c r="B507" t="s">
        <v>557</v>
      </c>
      <c r="C507" t="s">
        <v>29</v>
      </c>
      <c r="D507" t="s">
        <v>120</v>
      </c>
      <c r="E507">
        <v>2</v>
      </c>
      <c r="F507" s="3">
        <v>1316.64</v>
      </c>
      <c r="G507" s="4">
        <v>0.6</v>
      </c>
      <c r="H507" s="3">
        <v>2633.28</v>
      </c>
      <c r="I507" s="1">
        <v>45151</v>
      </c>
      <c r="J507" t="s">
        <v>40</v>
      </c>
      <c r="K507" t="s">
        <v>16</v>
      </c>
      <c r="L507" s="3">
        <v>1053.3120000000001</v>
      </c>
      <c r="M507" t="s">
        <v>11</v>
      </c>
    </row>
    <row r="508" spans="1:13" x14ac:dyDescent="0.3">
      <c r="A508">
        <v>1506</v>
      </c>
      <c r="B508" t="s">
        <v>558</v>
      </c>
      <c r="C508" t="s">
        <v>33</v>
      </c>
      <c r="D508" t="s">
        <v>34</v>
      </c>
      <c r="E508">
        <v>2</v>
      </c>
      <c r="F508" s="3">
        <v>2487.039615384615</v>
      </c>
      <c r="G508" s="4">
        <v>0.6</v>
      </c>
      <c r="H508" s="3">
        <v>4974.07923076923</v>
      </c>
      <c r="I508" s="1">
        <v>45821</v>
      </c>
      <c r="J508" t="s">
        <v>40</v>
      </c>
      <c r="K508" t="s">
        <v>16</v>
      </c>
      <c r="L508" s="3">
        <v>1989.631692307692</v>
      </c>
      <c r="M508" t="s">
        <v>11</v>
      </c>
    </row>
    <row r="509" spans="1:13" x14ac:dyDescent="0.3">
      <c r="A509">
        <v>1507</v>
      </c>
      <c r="B509" t="s">
        <v>559</v>
      </c>
      <c r="C509" t="s">
        <v>20</v>
      </c>
      <c r="D509" t="s">
        <v>21</v>
      </c>
      <c r="E509">
        <v>2</v>
      </c>
      <c r="F509" s="3">
        <v>3597.73</v>
      </c>
      <c r="G509" s="4">
        <v>0.6</v>
      </c>
      <c r="H509" s="3">
        <v>7195.46</v>
      </c>
      <c r="I509" s="1">
        <v>45560</v>
      </c>
      <c r="J509" t="s">
        <v>15</v>
      </c>
      <c r="K509" t="s">
        <v>23</v>
      </c>
      <c r="L509" s="3">
        <v>2878.1840000000002</v>
      </c>
      <c r="M509" t="s">
        <v>11</v>
      </c>
    </row>
    <row r="510" spans="1:13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F510" s="3">
        <v>2868.7768181818178</v>
      </c>
      <c r="G510" s="4">
        <v>0.6</v>
      </c>
      <c r="H510" s="3">
        <v>-2868.7768181818178</v>
      </c>
      <c r="I510" s="1">
        <v>45530</v>
      </c>
      <c r="J510" t="s">
        <v>18</v>
      </c>
      <c r="K510" t="s">
        <v>23</v>
      </c>
      <c r="L510" s="3">
        <v>-1147.5107272727271</v>
      </c>
      <c r="M510" t="s">
        <v>2518</v>
      </c>
    </row>
    <row r="511" spans="1:13" x14ac:dyDescent="0.3">
      <c r="A511">
        <v>1509</v>
      </c>
      <c r="B511" t="s">
        <v>561</v>
      </c>
      <c r="C511" t="s">
        <v>38</v>
      </c>
      <c r="D511" t="s">
        <v>91</v>
      </c>
      <c r="E511">
        <v>2</v>
      </c>
      <c r="F511" s="3">
        <v>2868.7768181818178</v>
      </c>
      <c r="G511" s="4">
        <v>0.28000000000000003</v>
      </c>
      <c r="H511" s="3">
        <v>5737.5536363636356</v>
      </c>
      <c r="I511" s="1">
        <v>45584</v>
      </c>
      <c r="J511" t="s">
        <v>40</v>
      </c>
      <c r="K511" t="s">
        <v>23</v>
      </c>
      <c r="L511" s="3">
        <v>4131.0386181818176</v>
      </c>
      <c r="M511" t="s">
        <v>11</v>
      </c>
    </row>
    <row r="512" spans="1:13" x14ac:dyDescent="0.3">
      <c r="A512">
        <v>1510</v>
      </c>
      <c r="B512" t="s">
        <v>562</v>
      </c>
      <c r="C512" t="s">
        <v>33</v>
      </c>
      <c r="D512" t="s">
        <v>82</v>
      </c>
      <c r="E512">
        <v>2</v>
      </c>
      <c r="F512" s="3">
        <v>1897.11</v>
      </c>
      <c r="G512" s="4">
        <v>0.6</v>
      </c>
      <c r="H512" s="3">
        <v>3794.22</v>
      </c>
      <c r="I512" s="1">
        <v>45781</v>
      </c>
      <c r="J512" t="s">
        <v>15</v>
      </c>
      <c r="K512" t="s">
        <v>16</v>
      </c>
      <c r="L512" s="3">
        <v>1517.6880000000001</v>
      </c>
      <c r="M512" t="s">
        <v>11</v>
      </c>
    </row>
    <row r="513" spans="1:13" x14ac:dyDescent="0.3">
      <c r="A513">
        <v>1511</v>
      </c>
      <c r="B513" t="s">
        <v>563</v>
      </c>
      <c r="C513" t="s">
        <v>20</v>
      </c>
      <c r="D513" t="s">
        <v>21</v>
      </c>
      <c r="E513">
        <v>2</v>
      </c>
      <c r="F513" s="3">
        <v>2681.1743636363635</v>
      </c>
      <c r="G513" s="4">
        <v>0.93</v>
      </c>
      <c r="H513" s="3">
        <v>5362.348727272727</v>
      </c>
      <c r="I513" s="1">
        <v>45606</v>
      </c>
      <c r="J513" t="s">
        <v>56</v>
      </c>
      <c r="K513" t="s">
        <v>23</v>
      </c>
      <c r="L513" s="3">
        <v>375.36441090909062</v>
      </c>
      <c r="M513" t="s">
        <v>2518</v>
      </c>
    </row>
    <row r="514" spans="1:13" x14ac:dyDescent="0.3">
      <c r="A514">
        <v>1512</v>
      </c>
      <c r="B514" t="s">
        <v>564</v>
      </c>
      <c r="C514" t="s">
        <v>29</v>
      </c>
      <c r="D514" t="s">
        <v>42</v>
      </c>
      <c r="E514">
        <v>2</v>
      </c>
      <c r="F514" s="3">
        <v>2559.6667307692314</v>
      </c>
      <c r="G514" s="4">
        <v>0.6</v>
      </c>
      <c r="H514" s="3">
        <v>5119.3334615384629</v>
      </c>
      <c r="I514" s="1">
        <v>45458</v>
      </c>
      <c r="J514" t="s">
        <v>15</v>
      </c>
      <c r="K514" t="s">
        <v>16</v>
      </c>
      <c r="L514" s="3">
        <v>2047.7333846153851</v>
      </c>
      <c r="M514" t="s">
        <v>11</v>
      </c>
    </row>
    <row r="515" spans="1:13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F515" s="3">
        <v>2700.1263043478252</v>
      </c>
      <c r="G515" s="4">
        <v>0.6</v>
      </c>
      <c r="H515" s="3">
        <v>16200.757826086952</v>
      </c>
      <c r="I515" s="1">
        <v>45402</v>
      </c>
      <c r="J515" t="s">
        <v>15</v>
      </c>
      <c r="K515" t="s">
        <v>16</v>
      </c>
      <c r="L515" s="3">
        <v>6480.3031304347815</v>
      </c>
      <c r="M515" t="s">
        <v>11</v>
      </c>
    </row>
    <row r="516" spans="1:13" x14ac:dyDescent="0.3">
      <c r="A516">
        <v>1514</v>
      </c>
      <c r="B516" t="s">
        <v>566</v>
      </c>
      <c r="C516" t="s">
        <v>33</v>
      </c>
      <c r="D516" t="s">
        <v>44</v>
      </c>
      <c r="E516">
        <v>2</v>
      </c>
      <c r="F516" s="3">
        <v>2343.7199999999998</v>
      </c>
      <c r="G516" s="4">
        <v>0.6</v>
      </c>
      <c r="H516" s="3">
        <v>4687.4399999999996</v>
      </c>
      <c r="I516" s="1">
        <v>45810</v>
      </c>
      <c r="J516" t="s">
        <v>22</v>
      </c>
      <c r="K516" t="s">
        <v>23</v>
      </c>
      <c r="L516" s="3">
        <v>1874.9759999999999</v>
      </c>
      <c r="M516" t="s">
        <v>11</v>
      </c>
    </row>
    <row r="517" spans="1:13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 s="3">
        <v>4596.03</v>
      </c>
      <c r="G517" s="4">
        <v>0.6</v>
      </c>
      <c r="H517" s="3">
        <v>13788.09</v>
      </c>
      <c r="I517" s="1">
        <v>45839</v>
      </c>
      <c r="J517" t="s">
        <v>15</v>
      </c>
      <c r="K517" t="s">
        <v>23</v>
      </c>
      <c r="L517" s="3">
        <v>5515.2360000000008</v>
      </c>
      <c r="M517" t="s">
        <v>11</v>
      </c>
    </row>
    <row r="518" spans="1:13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 s="3">
        <v>1039.31</v>
      </c>
      <c r="G518" s="4">
        <v>0.94</v>
      </c>
      <c r="H518" s="3">
        <v>-1039.31</v>
      </c>
      <c r="I518" s="1">
        <v>45782</v>
      </c>
      <c r="J518" t="s">
        <v>18</v>
      </c>
      <c r="K518" t="s">
        <v>23</v>
      </c>
      <c r="L518" s="3">
        <v>-62.358600000000052</v>
      </c>
      <c r="M518" t="s">
        <v>2518</v>
      </c>
    </row>
    <row r="519" spans="1:13" x14ac:dyDescent="0.3">
      <c r="A519">
        <v>1517</v>
      </c>
      <c r="B519" t="s">
        <v>569</v>
      </c>
      <c r="C519" t="s">
        <v>13</v>
      </c>
      <c r="D519" t="s">
        <v>14</v>
      </c>
      <c r="E519">
        <v>2</v>
      </c>
      <c r="F519" s="3">
        <v>4944.25</v>
      </c>
      <c r="G519" s="4">
        <v>0.6</v>
      </c>
      <c r="H519" s="3">
        <v>9888.5</v>
      </c>
      <c r="I519" s="1">
        <v>45570</v>
      </c>
      <c r="J519" t="s">
        <v>18</v>
      </c>
      <c r="K519" t="s">
        <v>23</v>
      </c>
      <c r="L519" s="3">
        <v>3955.4</v>
      </c>
      <c r="M519" t="s">
        <v>11</v>
      </c>
    </row>
    <row r="520" spans="1:13" x14ac:dyDescent="0.3">
      <c r="A520">
        <v>1518</v>
      </c>
      <c r="B520" t="s">
        <v>570</v>
      </c>
      <c r="C520" t="s">
        <v>13</v>
      </c>
      <c r="D520" t="s">
        <v>14</v>
      </c>
      <c r="E520">
        <v>2</v>
      </c>
      <c r="F520" s="3">
        <v>706.71</v>
      </c>
      <c r="G520" s="4">
        <v>0.6</v>
      </c>
      <c r="H520" s="3">
        <v>1413.42</v>
      </c>
      <c r="I520" s="1">
        <v>45831</v>
      </c>
      <c r="J520" t="s">
        <v>15</v>
      </c>
      <c r="K520" t="s">
        <v>23</v>
      </c>
      <c r="L520" s="3">
        <v>565.36800000000005</v>
      </c>
      <c r="M520" t="s">
        <v>11</v>
      </c>
    </row>
    <row r="521" spans="1:13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 s="3">
        <v>3762.86</v>
      </c>
      <c r="G521" s="4">
        <v>0.6</v>
      </c>
      <c r="H521" s="3">
        <v>3762.86</v>
      </c>
      <c r="I521" s="1">
        <v>45582</v>
      </c>
      <c r="J521" t="s">
        <v>22</v>
      </c>
      <c r="K521" t="s">
        <v>23</v>
      </c>
      <c r="L521" s="3">
        <v>1505.1440000000002</v>
      </c>
      <c r="M521" t="s">
        <v>11</v>
      </c>
    </row>
    <row r="522" spans="1:13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F522" s="3">
        <v>2487.039615384615</v>
      </c>
      <c r="G522" s="4">
        <v>0.71</v>
      </c>
      <c r="H522" s="3">
        <v>9948.15846153846</v>
      </c>
      <c r="I522" s="1">
        <v>45777</v>
      </c>
      <c r="J522" t="s">
        <v>22</v>
      </c>
      <c r="K522" t="s">
        <v>23</v>
      </c>
      <c r="L522" s="3">
        <v>2884.9659538461538</v>
      </c>
      <c r="M522" t="s">
        <v>11</v>
      </c>
    </row>
    <row r="523" spans="1:13" x14ac:dyDescent="0.3">
      <c r="A523">
        <v>1521</v>
      </c>
      <c r="B523" t="s">
        <v>573</v>
      </c>
      <c r="C523" t="s">
        <v>13</v>
      </c>
      <c r="D523" t="s">
        <v>49</v>
      </c>
      <c r="E523">
        <v>2</v>
      </c>
      <c r="F523" s="3">
        <v>2362.0300000000002</v>
      </c>
      <c r="G523" s="4">
        <v>1.27</v>
      </c>
      <c r="H523" s="3">
        <v>4724.0600000000004</v>
      </c>
      <c r="I523" s="1">
        <v>45788</v>
      </c>
      <c r="J523" t="s">
        <v>56</v>
      </c>
      <c r="K523" t="s">
        <v>23</v>
      </c>
      <c r="L523" s="3">
        <v>-1275.4962000000003</v>
      </c>
      <c r="M523" t="s">
        <v>2518</v>
      </c>
    </row>
    <row r="524" spans="1:13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F524" s="3">
        <v>2559.6667307692314</v>
      </c>
      <c r="G524" s="4">
        <v>0.44</v>
      </c>
      <c r="H524" s="3">
        <v>15358.000384615389</v>
      </c>
      <c r="I524" s="1">
        <v>45503</v>
      </c>
      <c r="J524" t="s">
        <v>40</v>
      </c>
      <c r="K524" t="s">
        <v>23</v>
      </c>
      <c r="L524" s="3">
        <v>8600.4802153846176</v>
      </c>
      <c r="M524" t="s">
        <v>11</v>
      </c>
    </row>
    <row r="525" spans="1:13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F525" s="3">
        <v>2841.7630612244907</v>
      </c>
      <c r="G525" s="4">
        <v>0.13</v>
      </c>
      <c r="H525" s="3">
        <v>-5683.5261224489814</v>
      </c>
      <c r="I525" s="1">
        <v>45276</v>
      </c>
      <c r="J525" t="s">
        <v>18</v>
      </c>
      <c r="K525" t="s">
        <v>23</v>
      </c>
      <c r="L525" s="3">
        <v>-4944.6677265306134</v>
      </c>
      <c r="M525" t="s">
        <v>2518</v>
      </c>
    </row>
    <row r="526" spans="1:13" x14ac:dyDescent="0.3">
      <c r="A526">
        <v>1524</v>
      </c>
      <c r="B526" t="s">
        <v>576</v>
      </c>
      <c r="C526" t="s">
        <v>38</v>
      </c>
      <c r="D526" t="s">
        <v>63</v>
      </c>
      <c r="E526">
        <v>2</v>
      </c>
      <c r="F526" s="3">
        <v>2845.2419672131159</v>
      </c>
      <c r="G526" s="4">
        <v>0.47</v>
      </c>
      <c r="H526" s="3">
        <v>5690.4839344262318</v>
      </c>
      <c r="I526" s="1">
        <v>45853</v>
      </c>
      <c r="J526" t="s">
        <v>56</v>
      </c>
      <c r="K526" t="s">
        <v>16</v>
      </c>
      <c r="L526" s="3">
        <v>3015.956485245903</v>
      </c>
      <c r="M526" t="s">
        <v>11</v>
      </c>
    </row>
    <row r="527" spans="1:13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 s="3">
        <v>4591.26</v>
      </c>
      <c r="G527" s="4">
        <v>0.6</v>
      </c>
      <c r="H527" s="3">
        <v>22956.300000000003</v>
      </c>
      <c r="I527" s="1">
        <v>45660</v>
      </c>
      <c r="J527" t="s">
        <v>56</v>
      </c>
      <c r="K527" t="s">
        <v>23</v>
      </c>
      <c r="L527" s="3">
        <v>9182.5200000000023</v>
      </c>
      <c r="M527" t="s">
        <v>11</v>
      </c>
    </row>
    <row r="528" spans="1:13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 s="3">
        <v>1884.25</v>
      </c>
      <c r="G528" s="4">
        <v>0.6</v>
      </c>
      <c r="H528" s="3">
        <v>3768.5</v>
      </c>
      <c r="I528" s="1">
        <v>45576</v>
      </c>
      <c r="J528" t="s">
        <v>40</v>
      </c>
      <c r="K528" t="s">
        <v>23</v>
      </c>
      <c r="L528" s="3">
        <v>1507.4</v>
      </c>
      <c r="M528" t="s">
        <v>11</v>
      </c>
    </row>
    <row r="529" spans="1:13" x14ac:dyDescent="0.3">
      <c r="A529">
        <v>1527</v>
      </c>
      <c r="B529" t="s">
        <v>579</v>
      </c>
      <c r="C529" t="s">
        <v>13</v>
      </c>
      <c r="D529" t="s">
        <v>14</v>
      </c>
      <c r="E529">
        <v>2</v>
      </c>
      <c r="F529" s="3">
        <v>3431.26</v>
      </c>
      <c r="G529" s="4">
        <v>0.6</v>
      </c>
      <c r="H529" s="3">
        <v>6862.52</v>
      </c>
      <c r="I529" s="1">
        <v>45153</v>
      </c>
      <c r="J529" t="s">
        <v>40</v>
      </c>
      <c r="K529" t="s">
        <v>16</v>
      </c>
      <c r="L529" s="3">
        <v>2745.0080000000003</v>
      </c>
      <c r="M529" t="s">
        <v>11</v>
      </c>
    </row>
    <row r="530" spans="1:13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F530" s="3">
        <v>2487.039615384615</v>
      </c>
      <c r="G530" s="4">
        <v>0.6</v>
      </c>
      <c r="H530" s="3">
        <v>0</v>
      </c>
      <c r="I530" s="1">
        <v>45230</v>
      </c>
      <c r="J530" t="s">
        <v>15</v>
      </c>
      <c r="K530" t="s">
        <v>23</v>
      </c>
      <c r="L530" s="3">
        <v>0</v>
      </c>
      <c r="M530" t="s">
        <v>2518</v>
      </c>
    </row>
    <row r="531" spans="1:13" x14ac:dyDescent="0.3">
      <c r="A531">
        <v>1529</v>
      </c>
      <c r="B531" t="s">
        <v>581</v>
      </c>
      <c r="C531" t="s">
        <v>33</v>
      </c>
      <c r="D531" t="s">
        <v>72</v>
      </c>
      <c r="E531">
        <v>2</v>
      </c>
      <c r="F531" s="3">
        <v>3381.7</v>
      </c>
      <c r="G531" s="4">
        <v>0.6</v>
      </c>
      <c r="H531" s="3">
        <v>6763.4</v>
      </c>
      <c r="I531" s="1">
        <v>45734</v>
      </c>
      <c r="J531" t="s">
        <v>15</v>
      </c>
      <c r="K531" t="s">
        <v>23</v>
      </c>
      <c r="L531" s="3">
        <v>2705.36</v>
      </c>
      <c r="M531" t="s">
        <v>11</v>
      </c>
    </row>
    <row r="532" spans="1:13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F532" s="3">
        <v>2725.8557142857148</v>
      </c>
      <c r="G532" s="4">
        <v>0.6</v>
      </c>
      <c r="H532" s="3">
        <v>16355.134285714288</v>
      </c>
      <c r="I532" s="1">
        <v>45565</v>
      </c>
      <c r="J532" t="s">
        <v>56</v>
      </c>
      <c r="K532" t="s">
        <v>16</v>
      </c>
      <c r="L532" s="3">
        <v>6542.0537142857156</v>
      </c>
      <c r="M532" t="s">
        <v>11</v>
      </c>
    </row>
    <row r="533" spans="1:13" x14ac:dyDescent="0.3">
      <c r="A533">
        <v>1531</v>
      </c>
      <c r="B533" t="s">
        <v>583</v>
      </c>
      <c r="C533" t="s">
        <v>13</v>
      </c>
      <c r="D533" t="s">
        <v>102</v>
      </c>
      <c r="E533">
        <v>2</v>
      </c>
      <c r="F533" s="3">
        <v>2576.3056896551716</v>
      </c>
      <c r="G533" s="4">
        <v>0.37</v>
      </c>
      <c r="H533" s="3">
        <v>5152.6113793103432</v>
      </c>
      <c r="I533" s="1">
        <v>45819</v>
      </c>
      <c r="J533" t="s">
        <v>18</v>
      </c>
      <c r="K533" t="s">
        <v>23</v>
      </c>
      <c r="L533" s="3">
        <v>3246.1451689655164</v>
      </c>
      <c r="M533" t="s">
        <v>11</v>
      </c>
    </row>
    <row r="534" spans="1:13" x14ac:dyDescent="0.3">
      <c r="A534">
        <v>1532</v>
      </c>
      <c r="B534" t="s">
        <v>584</v>
      </c>
      <c r="C534" t="s">
        <v>33</v>
      </c>
      <c r="D534" t="s">
        <v>44</v>
      </c>
      <c r="E534">
        <v>2</v>
      </c>
      <c r="F534" s="3">
        <v>2841.7630612244907</v>
      </c>
      <c r="G534" s="4">
        <v>0.33</v>
      </c>
      <c r="H534" s="3">
        <v>5683.5261224489814</v>
      </c>
      <c r="I534" s="1">
        <v>45167</v>
      </c>
      <c r="J534" t="s">
        <v>22</v>
      </c>
      <c r="K534" t="s">
        <v>23</v>
      </c>
      <c r="L534" s="3">
        <v>3807.9625020408171</v>
      </c>
      <c r="M534" t="s">
        <v>11</v>
      </c>
    </row>
    <row r="535" spans="1:13" x14ac:dyDescent="0.3">
      <c r="A535">
        <v>1533</v>
      </c>
      <c r="B535" t="s">
        <v>585</v>
      </c>
      <c r="C535" t="s">
        <v>38</v>
      </c>
      <c r="D535" t="s">
        <v>91</v>
      </c>
      <c r="E535">
        <v>2</v>
      </c>
      <c r="F535" s="3">
        <v>3965.94</v>
      </c>
      <c r="G535" s="4">
        <v>0.6</v>
      </c>
      <c r="H535" s="3">
        <v>7931.88</v>
      </c>
      <c r="I535" s="1">
        <v>45637</v>
      </c>
      <c r="J535" t="s">
        <v>22</v>
      </c>
      <c r="K535" t="s">
        <v>23</v>
      </c>
      <c r="L535" s="3">
        <v>3172.7520000000004</v>
      </c>
      <c r="M535" t="s">
        <v>11</v>
      </c>
    </row>
    <row r="536" spans="1:13" x14ac:dyDescent="0.3">
      <c r="A536">
        <v>1534</v>
      </c>
      <c r="B536" t="s">
        <v>586</v>
      </c>
      <c r="C536" t="s">
        <v>33</v>
      </c>
      <c r="D536" t="s">
        <v>82</v>
      </c>
      <c r="E536">
        <v>2</v>
      </c>
      <c r="F536" s="3">
        <v>2776.2202000000002</v>
      </c>
      <c r="G536" s="4">
        <v>0.6</v>
      </c>
      <c r="H536" s="3">
        <v>5552.4404000000004</v>
      </c>
      <c r="I536" s="1">
        <v>45772</v>
      </c>
      <c r="J536" t="s">
        <v>15</v>
      </c>
      <c r="K536" t="s">
        <v>23</v>
      </c>
      <c r="L536" s="3">
        <v>2220.9761600000002</v>
      </c>
      <c r="M536" t="s">
        <v>11</v>
      </c>
    </row>
    <row r="537" spans="1:13" x14ac:dyDescent="0.3">
      <c r="A537">
        <v>1535</v>
      </c>
      <c r="B537" t="s">
        <v>587</v>
      </c>
      <c r="C537" t="s">
        <v>29</v>
      </c>
      <c r="D537" t="s">
        <v>141</v>
      </c>
      <c r="E537">
        <v>2</v>
      </c>
      <c r="F537" s="3">
        <v>720.35</v>
      </c>
      <c r="G537" s="4">
        <v>0.6</v>
      </c>
      <c r="H537" s="3">
        <v>1440.7</v>
      </c>
      <c r="I537" s="1">
        <v>45282</v>
      </c>
      <c r="J537" t="s">
        <v>40</v>
      </c>
      <c r="K537" t="s">
        <v>23</v>
      </c>
      <c r="L537" s="3">
        <v>576.28000000000009</v>
      </c>
      <c r="M537" t="s">
        <v>11</v>
      </c>
    </row>
    <row r="538" spans="1:13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F538" s="3">
        <v>2868.7768181818178</v>
      </c>
      <c r="G538" s="4">
        <v>0.6</v>
      </c>
      <c r="H538" s="3">
        <v>2868.7768181818178</v>
      </c>
      <c r="I538" s="1">
        <v>45790</v>
      </c>
      <c r="J538" t="s">
        <v>15</v>
      </c>
      <c r="K538" t="s">
        <v>23</v>
      </c>
      <c r="L538" s="3">
        <v>1147.5107272727271</v>
      </c>
      <c r="M538" t="s">
        <v>11</v>
      </c>
    </row>
    <row r="539" spans="1:13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F539" s="3">
        <v>2576.3056896551716</v>
      </c>
      <c r="G539" s="4">
        <v>0.9</v>
      </c>
      <c r="H539" s="3">
        <v>-2576.3056896551716</v>
      </c>
      <c r="I539" s="1">
        <v>45782</v>
      </c>
      <c r="J539" t="s">
        <v>40</v>
      </c>
      <c r="K539" t="s">
        <v>23</v>
      </c>
      <c r="L539" s="3">
        <v>-257.63056896551711</v>
      </c>
      <c r="M539" t="s">
        <v>2518</v>
      </c>
    </row>
    <row r="540" spans="1:13" x14ac:dyDescent="0.3">
      <c r="A540">
        <v>1538</v>
      </c>
      <c r="B540" t="s">
        <v>590</v>
      </c>
      <c r="C540" t="s">
        <v>38</v>
      </c>
      <c r="D540" t="s">
        <v>91</v>
      </c>
      <c r="E540">
        <v>2</v>
      </c>
      <c r="F540" s="3">
        <v>4767.6099999999997</v>
      </c>
      <c r="G540" s="4">
        <v>0.01</v>
      </c>
      <c r="H540" s="3">
        <v>9535.2199999999993</v>
      </c>
      <c r="I540" s="1">
        <v>45782</v>
      </c>
      <c r="J540" t="s">
        <v>18</v>
      </c>
      <c r="K540" t="s">
        <v>23</v>
      </c>
      <c r="L540" s="3">
        <v>9439.8678</v>
      </c>
      <c r="M540" t="s">
        <v>11</v>
      </c>
    </row>
    <row r="541" spans="1:13" x14ac:dyDescent="0.3">
      <c r="A541">
        <v>1539</v>
      </c>
      <c r="B541" t="s">
        <v>591</v>
      </c>
      <c r="C541" t="s">
        <v>13</v>
      </c>
      <c r="D541" t="s">
        <v>49</v>
      </c>
      <c r="E541">
        <v>2</v>
      </c>
      <c r="F541" s="3">
        <v>2891.64</v>
      </c>
      <c r="G541" s="4">
        <v>0.6</v>
      </c>
      <c r="H541" s="3">
        <v>5783.28</v>
      </c>
      <c r="I541" s="1">
        <v>45782</v>
      </c>
      <c r="J541" t="s">
        <v>22</v>
      </c>
      <c r="K541" t="s">
        <v>23</v>
      </c>
      <c r="L541" s="3">
        <v>2313.3119999999999</v>
      </c>
      <c r="M541" t="s">
        <v>11</v>
      </c>
    </row>
    <row r="542" spans="1:13" x14ac:dyDescent="0.3">
      <c r="A542">
        <v>1540</v>
      </c>
      <c r="B542" t="s">
        <v>592</v>
      </c>
      <c r="C542" t="s">
        <v>20</v>
      </c>
      <c r="D542" t="s">
        <v>21</v>
      </c>
      <c r="E542">
        <v>2</v>
      </c>
      <c r="F542" s="3">
        <v>2681.1743636363635</v>
      </c>
      <c r="G542" s="4">
        <v>0.6</v>
      </c>
      <c r="H542" s="3">
        <v>5362.348727272727</v>
      </c>
      <c r="I542" s="1">
        <v>45663</v>
      </c>
      <c r="J542" t="s">
        <v>18</v>
      </c>
      <c r="K542" t="s">
        <v>23</v>
      </c>
      <c r="L542" s="3">
        <v>2144.9394909090911</v>
      </c>
      <c r="M542" t="s">
        <v>11</v>
      </c>
    </row>
    <row r="543" spans="1:13" x14ac:dyDescent="0.3">
      <c r="A543">
        <v>1541</v>
      </c>
      <c r="B543" t="s">
        <v>593</v>
      </c>
      <c r="C543" t="s">
        <v>29</v>
      </c>
      <c r="D543" t="s">
        <v>141</v>
      </c>
      <c r="E543">
        <v>2</v>
      </c>
      <c r="F543" s="3">
        <v>2989.4</v>
      </c>
      <c r="G543" s="4">
        <v>0.6</v>
      </c>
      <c r="H543" s="3">
        <v>5978.8</v>
      </c>
      <c r="I543" s="1">
        <v>45745</v>
      </c>
      <c r="J543" t="s">
        <v>22</v>
      </c>
      <c r="K543" t="s">
        <v>16</v>
      </c>
      <c r="L543" s="3">
        <v>2391.52</v>
      </c>
      <c r="M543" t="s">
        <v>11</v>
      </c>
    </row>
    <row r="544" spans="1:13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 s="3">
        <v>2044.17</v>
      </c>
      <c r="G544" s="4">
        <v>0.6</v>
      </c>
      <c r="H544" s="3">
        <v>2044.17</v>
      </c>
      <c r="I544" s="1">
        <v>45782</v>
      </c>
      <c r="J544" t="s">
        <v>46</v>
      </c>
      <c r="K544" t="s">
        <v>23</v>
      </c>
      <c r="L544" s="3">
        <v>817.66800000000012</v>
      </c>
      <c r="M544" t="s">
        <v>11</v>
      </c>
    </row>
    <row r="545" spans="1:13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 s="3">
        <v>4440.24</v>
      </c>
      <c r="G545" s="4">
        <v>0.32</v>
      </c>
      <c r="H545" s="3">
        <v>4440.24</v>
      </c>
      <c r="I545" s="1">
        <v>45782</v>
      </c>
      <c r="J545" t="s">
        <v>18</v>
      </c>
      <c r="K545" t="s">
        <v>23</v>
      </c>
      <c r="L545" s="3">
        <v>3019.3631999999998</v>
      </c>
      <c r="M545" t="s">
        <v>11</v>
      </c>
    </row>
    <row r="546" spans="1:13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F546" s="3">
        <v>2804.2651923076919</v>
      </c>
      <c r="G546" s="4">
        <v>0.6</v>
      </c>
      <c r="H546" s="3">
        <v>16825.591153846151</v>
      </c>
      <c r="I546" s="1">
        <v>45782</v>
      </c>
      <c r="J546" t="s">
        <v>40</v>
      </c>
      <c r="K546" t="s">
        <v>23</v>
      </c>
      <c r="L546" s="3">
        <v>6730.2364615384613</v>
      </c>
      <c r="M546" t="s">
        <v>11</v>
      </c>
    </row>
    <row r="547" spans="1:13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F547" s="3">
        <v>3008.3844444444444</v>
      </c>
      <c r="G547" s="4">
        <v>0.6</v>
      </c>
      <c r="H547" s="3">
        <v>3008.3844444444444</v>
      </c>
      <c r="I547" s="1">
        <v>45827</v>
      </c>
      <c r="J547" t="s">
        <v>56</v>
      </c>
      <c r="K547" t="s">
        <v>23</v>
      </c>
      <c r="L547" s="3">
        <v>1203.3537777777779</v>
      </c>
      <c r="M547" t="s">
        <v>11</v>
      </c>
    </row>
    <row r="548" spans="1:13" x14ac:dyDescent="0.3">
      <c r="A548">
        <v>1546</v>
      </c>
      <c r="B548" t="s">
        <v>598</v>
      </c>
      <c r="C548" t="s">
        <v>33</v>
      </c>
      <c r="D548" t="s">
        <v>44</v>
      </c>
      <c r="E548">
        <v>2</v>
      </c>
      <c r="F548" s="3">
        <v>2841.7630612244907</v>
      </c>
      <c r="G548" s="4">
        <v>0.6</v>
      </c>
      <c r="H548" s="3">
        <v>5683.5261224489814</v>
      </c>
      <c r="I548" s="1">
        <v>45538</v>
      </c>
      <c r="J548" t="s">
        <v>18</v>
      </c>
      <c r="K548" t="s">
        <v>23</v>
      </c>
      <c r="L548" s="3">
        <v>2273.4104489795927</v>
      </c>
      <c r="M548" t="s">
        <v>11</v>
      </c>
    </row>
    <row r="549" spans="1:13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F549" s="3">
        <v>2804.2651923076919</v>
      </c>
      <c r="G549" s="4">
        <v>0.95</v>
      </c>
      <c r="H549" s="3">
        <v>16825.591153846151</v>
      </c>
      <c r="I549" s="1">
        <v>45792</v>
      </c>
      <c r="J549" t="s">
        <v>46</v>
      </c>
      <c r="K549" t="s">
        <v>23</v>
      </c>
      <c r="L549" s="3">
        <v>841.27955769230834</v>
      </c>
      <c r="M549" t="s">
        <v>11</v>
      </c>
    </row>
    <row r="550" spans="1:13" x14ac:dyDescent="0.3">
      <c r="A550">
        <v>1548</v>
      </c>
      <c r="B550" t="s">
        <v>600</v>
      </c>
      <c r="C550" t="s">
        <v>20</v>
      </c>
      <c r="D550" t="s">
        <v>80</v>
      </c>
      <c r="E550">
        <v>2</v>
      </c>
      <c r="F550" s="3">
        <v>2273.15</v>
      </c>
      <c r="G550" s="4">
        <v>0.6</v>
      </c>
      <c r="H550" s="3">
        <v>4546.3</v>
      </c>
      <c r="I550" s="1">
        <v>45782</v>
      </c>
      <c r="J550" t="s">
        <v>18</v>
      </c>
      <c r="K550" t="s">
        <v>16</v>
      </c>
      <c r="L550" s="3">
        <v>1818.5200000000002</v>
      </c>
      <c r="M550" t="s">
        <v>11</v>
      </c>
    </row>
    <row r="551" spans="1:13" x14ac:dyDescent="0.3">
      <c r="A551">
        <v>1549</v>
      </c>
      <c r="B551" t="s">
        <v>601</v>
      </c>
      <c r="C551" t="s">
        <v>29</v>
      </c>
      <c r="D551" t="s">
        <v>42</v>
      </c>
      <c r="E551">
        <v>2</v>
      </c>
      <c r="F551" s="3">
        <v>2465.23</v>
      </c>
      <c r="G551" s="4">
        <v>0.42</v>
      </c>
      <c r="H551" s="3">
        <v>4930.46</v>
      </c>
      <c r="I551" s="1">
        <v>45782</v>
      </c>
      <c r="J551" t="s">
        <v>40</v>
      </c>
      <c r="K551" t="s">
        <v>23</v>
      </c>
      <c r="L551" s="3">
        <v>2859.6668000000004</v>
      </c>
      <c r="M551" t="s">
        <v>11</v>
      </c>
    </row>
    <row r="552" spans="1:13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F552" s="3">
        <v>2700.1263043478252</v>
      </c>
      <c r="G552" s="4">
        <v>0.1</v>
      </c>
      <c r="H552" s="3">
        <v>2700.1263043478252</v>
      </c>
      <c r="I552" s="1">
        <v>45566</v>
      </c>
      <c r="J552" t="s">
        <v>46</v>
      </c>
      <c r="K552" t="s">
        <v>16</v>
      </c>
      <c r="L552" s="3">
        <v>2430.1136739130429</v>
      </c>
      <c r="M552" t="s">
        <v>11</v>
      </c>
    </row>
    <row r="553" spans="1:13" x14ac:dyDescent="0.3">
      <c r="A553">
        <v>1551</v>
      </c>
      <c r="B553" t="s">
        <v>603</v>
      </c>
      <c r="C553" t="s">
        <v>20</v>
      </c>
      <c r="D553" t="s">
        <v>122</v>
      </c>
      <c r="E553">
        <v>2</v>
      </c>
      <c r="F553" s="3">
        <v>2656.77</v>
      </c>
      <c r="G553" s="4">
        <v>1.05</v>
      </c>
      <c r="H553" s="3">
        <v>5313.54</v>
      </c>
      <c r="I553" s="1">
        <v>45782</v>
      </c>
      <c r="J553" t="s">
        <v>22</v>
      </c>
      <c r="K553" t="s">
        <v>16</v>
      </c>
      <c r="L553" s="3">
        <v>-265.67700000000025</v>
      </c>
      <c r="M553" t="s">
        <v>2518</v>
      </c>
    </row>
    <row r="554" spans="1:13" x14ac:dyDescent="0.3">
      <c r="A554">
        <v>1552</v>
      </c>
      <c r="B554" t="s">
        <v>604</v>
      </c>
      <c r="C554" t="s">
        <v>25</v>
      </c>
      <c r="D554" t="s">
        <v>66</v>
      </c>
      <c r="E554">
        <v>2</v>
      </c>
      <c r="F554" s="3">
        <v>883.76</v>
      </c>
      <c r="G554" s="4">
        <v>0.6</v>
      </c>
      <c r="H554" s="3">
        <v>1767.52</v>
      </c>
      <c r="I554" s="1">
        <v>45782</v>
      </c>
      <c r="J554" t="s">
        <v>18</v>
      </c>
      <c r="K554" t="s">
        <v>23</v>
      </c>
      <c r="L554" s="3">
        <v>707.00800000000004</v>
      </c>
      <c r="M554" t="s">
        <v>11</v>
      </c>
    </row>
    <row r="555" spans="1:13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F555" s="3">
        <v>2617.6390384615388</v>
      </c>
      <c r="G555" s="4">
        <v>0.6</v>
      </c>
      <c r="H555" s="3">
        <v>2617.6390384615388</v>
      </c>
      <c r="I555" s="1">
        <v>45782</v>
      </c>
      <c r="J555" t="s">
        <v>56</v>
      </c>
      <c r="K555" t="s">
        <v>16</v>
      </c>
      <c r="L555" s="3">
        <v>1047.0556153846155</v>
      </c>
      <c r="M555" t="s">
        <v>11</v>
      </c>
    </row>
    <row r="556" spans="1:13" x14ac:dyDescent="0.3">
      <c r="A556">
        <v>1554</v>
      </c>
      <c r="B556" t="s">
        <v>606</v>
      </c>
      <c r="C556" t="s">
        <v>25</v>
      </c>
      <c r="D556" t="s">
        <v>26</v>
      </c>
      <c r="E556">
        <v>2</v>
      </c>
      <c r="F556" s="3">
        <v>2345.71</v>
      </c>
      <c r="G556" s="4">
        <v>0.6</v>
      </c>
      <c r="H556" s="3">
        <v>4691.42</v>
      </c>
      <c r="I556" s="1">
        <v>45769</v>
      </c>
      <c r="J556" t="s">
        <v>46</v>
      </c>
      <c r="K556" t="s">
        <v>23</v>
      </c>
      <c r="L556" s="3">
        <v>1876.5680000000002</v>
      </c>
      <c r="M556" t="s">
        <v>11</v>
      </c>
    </row>
    <row r="557" spans="1:13" x14ac:dyDescent="0.3">
      <c r="A557">
        <v>1555</v>
      </c>
      <c r="B557" t="s">
        <v>607</v>
      </c>
      <c r="C557" t="s">
        <v>29</v>
      </c>
      <c r="D557" t="s">
        <v>30</v>
      </c>
      <c r="E557">
        <v>2</v>
      </c>
      <c r="F557" s="3">
        <v>2617.6390384615388</v>
      </c>
      <c r="G557" s="4">
        <v>0.6</v>
      </c>
      <c r="H557" s="3">
        <v>5235.2780769230776</v>
      </c>
      <c r="I557" s="1">
        <v>45782</v>
      </c>
      <c r="J557" t="s">
        <v>40</v>
      </c>
      <c r="K557" t="s">
        <v>16</v>
      </c>
      <c r="L557" s="3">
        <v>2094.111230769231</v>
      </c>
      <c r="M557" t="s">
        <v>11</v>
      </c>
    </row>
    <row r="558" spans="1:13" x14ac:dyDescent="0.3">
      <c r="A558">
        <v>1556</v>
      </c>
      <c r="B558" t="s">
        <v>608</v>
      </c>
      <c r="C558" t="s">
        <v>13</v>
      </c>
      <c r="D558" t="s">
        <v>36</v>
      </c>
      <c r="E558">
        <v>2</v>
      </c>
      <c r="F558" s="3">
        <v>453.92</v>
      </c>
      <c r="G558" s="4">
        <v>0.6</v>
      </c>
      <c r="H558" s="3">
        <v>907.84</v>
      </c>
      <c r="I558" s="1">
        <v>45628</v>
      </c>
      <c r="J558" t="s">
        <v>40</v>
      </c>
      <c r="K558" t="s">
        <v>23</v>
      </c>
      <c r="L558" s="3">
        <v>363.13600000000002</v>
      </c>
      <c r="M558" t="s">
        <v>2518</v>
      </c>
    </row>
    <row r="559" spans="1:13" x14ac:dyDescent="0.3">
      <c r="A559">
        <v>1557</v>
      </c>
      <c r="B559" t="s">
        <v>609</v>
      </c>
      <c r="C559" t="s">
        <v>20</v>
      </c>
      <c r="D559" t="s">
        <v>21</v>
      </c>
      <c r="E559">
        <v>2</v>
      </c>
      <c r="F559" s="3">
        <v>4402.3999999999996</v>
      </c>
      <c r="G559" s="4">
        <v>0.6</v>
      </c>
      <c r="H559" s="3">
        <v>8804.7999999999993</v>
      </c>
      <c r="I559" s="1">
        <v>45669</v>
      </c>
      <c r="J559" t="s">
        <v>56</v>
      </c>
      <c r="K559" t="s">
        <v>16</v>
      </c>
      <c r="L559" s="3">
        <v>3521.92</v>
      </c>
      <c r="M559" t="s">
        <v>11</v>
      </c>
    </row>
    <row r="560" spans="1:13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F560" s="3">
        <v>2776.2202000000002</v>
      </c>
      <c r="G560" s="4">
        <v>0.6</v>
      </c>
      <c r="H560" s="3">
        <v>-5552.4404000000004</v>
      </c>
      <c r="I560" s="1">
        <v>45273</v>
      </c>
      <c r="J560" t="s">
        <v>46</v>
      </c>
      <c r="K560" t="s">
        <v>23</v>
      </c>
      <c r="L560" s="3">
        <v>-2220.9761600000002</v>
      </c>
      <c r="M560" t="s">
        <v>2518</v>
      </c>
    </row>
    <row r="561" spans="1:13" x14ac:dyDescent="0.3">
      <c r="A561">
        <v>1559</v>
      </c>
      <c r="B561" t="s">
        <v>611</v>
      </c>
      <c r="C561" t="s">
        <v>20</v>
      </c>
      <c r="D561" t="s">
        <v>122</v>
      </c>
      <c r="E561">
        <v>2</v>
      </c>
      <c r="F561" s="3">
        <v>2700.1263043478252</v>
      </c>
      <c r="G561" s="4">
        <v>0.09</v>
      </c>
      <c r="H561" s="3">
        <v>5400.2526086956505</v>
      </c>
      <c r="I561" s="1">
        <v>45782</v>
      </c>
      <c r="J561" t="s">
        <v>22</v>
      </c>
      <c r="K561" t="s">
        <v>16</v>
      </c>
      <c r="L561" s="3">
        <v>4914.229873913042</v>
      </c>
      <c r="M561" t="s">
        <v>11</v>
      </c>
    </row>
    <row r="562" spans="1:13" x14ac:dyDescent="0.3">
      <c r="A562">
        <v>1560</v>
      </c>
      <c r="B562" t="s">
        <v>612</v>
      </c>
      <c r="C562" t="s">
        <v>29</v>
      </c>
      <c r="D562" t="s">
        <v>141</v>
      </c>
      <c r="E562">
        <v>2</v>
      </c>
      <c r="F562" s="3">
        <v>2462.79</v>
      </c>
      <c r="G562" s="4">
        <v>0.71</v>
      </c>
      <c r="H562" s="3">
        <v>4925.58</v>
      </c>
      <c r="I562" s="1">
        <v>45671</v>
      </c>
      <c r="J562" t="s">
        <v>56</v>
      </c>
      <c r="K562" t="s">
        <v>23</v>
      </c>
      <c r="L562" s="3">
        <v>1428.4182000000001</v>
      </c>
      <c r="M562" t="s">
        <v>11</v>
      </c>
    </row>
    <row r="563" spans="1:13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F563" s="3">
        <v>2530.3836538461546</v>
      </c>
      <c r="G563" s="4">
        <v>0.6</v>
      </c>
      <c r="H563" s="3">
        <v>10121.534615384619</v>
      </c>
      <c r="I563" s="1">
        <v>45668</v>
      </c>
      <c r="J563" t="s">
        <v>15</v>
      </c>
      <c r="K563" t="s">
        <v>23</v>
      </c>
      <c r="L563" s="3">
        <v>4048.6138461538476</v>
      </c>
      <c r="M563" t="s">
        <v>11</v>
      </c>
    </row>
    <row r="564" spans="1:13" x14ac:dyDescent="0.3">
      <c r="A564">
        <v>1562</v>
      </c>
      <c r="B564" t="s">
        <v>614</v>
      </c>
      <c r="C564" t="s">
        <v>29</v>
      </c>
      <c r="D564" t="s">
        <v>141</v>
      </c>
      <c r="E564">
        <v>2</v>
      </c>
      <c r="F564" s="3">
        <v>2462.79</v>
      </c>
      <c r="G564" s="4">
        <v>0.6</v>
      </c>
      <c r="H564" s="3">
        <v>4925.58</v>
      </c>
      <c r="I564" s="1">
        <v>45782</v>
      </c>
      <c r="J564" t="s">
        <v>56</v>
      </c>
      <c r="K564" t="s">
        <v>23</v>
      </c>
      <c r="L564" s="3">
        <v>1970.232</v>
      </c>
      <c r="M564" t="s">
        <v>11</v>
      </c>
    </row>
    <row r="565" spans="1:13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 s="3">
        <v>1571.12</v>
      </c>
      <c r="G565" s="4">
        <v>0.65</v>
      </c>
      <c r="H565" s="3">
        <v>7855.5999999999995</v>
      </c>
      <c r="I565" s="1">
        <v>45782</v>
      </c>
      <c r="J565" t="s">
        <v>18</v>
      </c>
      <c r="K565" t="s">
        <v>23</v>
      </c>
      <c r="L565" s="3">
        <v>2749.4599999999996</v>
      </c>
      <c r="M565" t="s">
        <v>11</v>
      </c>
    </row>
    <row r="566" spans="1:13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F566" s="3">
        <v>2882.5046551724135</v>
      </c>
      <c r="G566" s="4">
        <v>0.67</v>
      </c>
      <c r="H566" s="3">
        <v>5765.0093103448271</v>
      </c>
      <c r="I566" s="1">
        <v>45782</v>
      </c>
      <c r="J566" t="s">
        <v>46</v>
      </c>
      <c r="K566" t="s">
        <v>16</v>
      </c>
      <c r="L566" s="3">
        <v>1902.4530724137928</v>
      </c>
      <c r="M566" t="s">
        <v>11</v>
      </c>
    </row>
    <row r="567" spans="1:13" x14ac:dyDescent="0.3">
      <c r="A567">
        <v>1565</v>
      </c>
      <c r="B567" t="s">
        <v>617</v>
      </c>
      <c r="C567" t="s">
        <v>29</v>
      </c>
      <c r="D567" t="s">
        <v>141</v>
      </c>
      <c r="E567">
        <v>2</v>
      </c>
      <c r="F567" s="3">
        <v>1867.24</v>
      </c>
      <c r="G567" s="4">
        <v>0.19</v>
      </c>
      <c r="H567" s="3">
        <v>3734.48</v>
      </c>
      <c r="I567" s="1">
        <v>45781</v>
      </c>
      <c r="J567" t="s">
        <v>46</v>
      </c>
      <c r="K567" t="s">
        <v>23</v>
      </c>
      <c r="L567" s="3">
        <v>3024.9288000000001</v>
      </c>
      <c r="M567" t="s">
        <v>11</v>
      </c>
    </row>
    <row r="568" spans="1:13" x14ac:dyDescent="0.3">
      <c r="A568">
        <v>1566</v>
      </c>
      <c r="B568" t="s">
        <v>618</v>
      </c>
      <c r="C568" t="s">
        <v>20</v>
      </c>
      <c r="D568" t="s">
        <v>21</v>
      </c>
      <c r="E568">
        <v>2</v>
      </c>
      <c r="F568" s="3">
        <v>1696.72</v>
      </c>
      <c r="G568" s="4">
        <v>0.6</v>
      </c>
      <c r="H568" s="3">
        <v>3393.44</v>
      </c>
      <c r="I568" s="1">
        <v>45516</v>
      </c>
      <c r="J568" t="s">
        <v>18</v>
      </c>
      <c r="K568" t="s">
        <v>23</v>
      </c>
      <c r="L568" s="3">
        <v>1357.3760000000002</v>
      </c>
      <c r="M568" t="s">
        <v>11</v>
      </c>
    </row>
    <row r="569" spans="1:13" x14ac:dyDescent="0.3">
      <c r="A569">
        <v>1567</v>
      </c>
      <c r="B569" t="s">
        <v>619</v>
      </c>
      <c r="C569" t="s">
        <v>29</v>
      </c>
      <c r="D569" t="s">
        <v>30</v>
      </c>
      <c r="E569">
        <v>2</v>
      </c>
      <c r="F569" s="3">
        <v>2617.6390384615388</v>
      </c>
      <c r="G569" s="4">
        <v>0.6</v>
      </c>
      <c r="H569" s="3">
        <v>5235.2780769230776</v>
      </c>
      <c r="I569" s="1">
        <v>45782</v>
      </c>
      <c r="J569" t="s">
        <v>56</v>
      </c>
      <c r="K569" t="s">
        <v>23</v>
      </c>
      <c r="L569" s="3">
        <v>2094.111230769231</v>
      </c>
      <c r="M569" t="s">
        <v>11</v>
      </c>
    </row>
    <row r="570" spans="1:13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F570" s="3">
        <v>2576.3056896551716</v>
      </c>
      <c r="G570" s="4">
        <v>0.6</v>
      </c>
      <c r="H570" s="3">
        <v>15457.83413793103</v>
      </c>
      <c r="I570" s="1">
        <v>45782</v>
      </c>
      <c r="J570" t="s">
        <v>15</v>
      </c>
      <c r="K570" t="s">
        <v>16</v>
      </c>
      <c r="L570" s="3">
        <v>6183.1336551724125</v>
      </c>
      <c r="M570" t="s">
        <v>11</v>
      </c>
    </row>
    <row r="571" spans="1:13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F571" s="3">
        <v>2804.2651923076919</v>
      </c>
      <c r="G571" s="4">
        <v>0.02</v>
      </c>
      <c r="H571" s="3">
        <v>2804.2651923076919</v>
      </c>
      <c r="I571" s="1">
        <v>45773</v>
      </c>
      <c r="J571" t="s">
        <v>18</v>
      </c>
      <c r="K571" t="s">
        <v>23</v>
      </c>
      <c r="L571" s="3">
        <v>2748.1798884615382</v>
      </c>
      <c r="M571" t="s">
        <v>11</v>
      </c>
    </row>
    <row r="572" spans="1:13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 s="3">
        <v>4774.7700000000004</v>
      </c>
      <c r="G572" s="4">
        <v>0.96</v>
      </c>
      <c r="H572" s="3">
        <v>4774.7700000000004</v>
      </c>
      <c r="I572" s="1">
        <v>45755</v>
      </c>
      <c r="J572" t="s">
        <v>22</v>
      </c>
      <c r="K572" t="s">
        <v>16</v>
      </c>
      <c r="L572" s="3">
        <v>190.99080000000018</v>
      </c>
      <c r="M572" t="s">
        <v>2518</v>
      </c>
    </row>
    <row r="573" spans="1:13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 s="3">
        <v>1308.06</v>
      </c>
      <c r="G573" s="4">
        <v>0.6</v>
      </c>
      <c r="H573" s="3">
        <v>3924.18</v>
      </c>
      <c r="I573" s="1">
        <v>45782</v>
      </c>
      <c r="J573" t="s">
        <v>46</v>
      </c>
      <c r="K573" t="s">
        <v>16</v>
      </c>
      <c r="L573" s="3">
        <v>1569.672</v>
      </c>
      <c r="M573" t="s">
        <v>11</v>
      </c>
    </row>
    <row r="574" spans="1:13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F574" s="3">
        <v>2700.1263043478252</v>
      </c>
      <c r="G574" s="4">
        <v>0.82</v>
      </c>
      <c r="H574" s="3">
        <v>10800.505217391301</v>
      </c>
      <c r="I574" s="1">
        <v>45707</v>
      </c>
      <c r="J574" t="s">
        <v>15</v>
      </c>
      <c r="K574" t="s">
        <v>23</v>
      </c>
      <c r="L574" s="3">
        <v>1944.0909391304347</v>
      </c>
      <c r="M574" t="s">
        <v>11</v>
      </c>
    </row>
    <row r="575" spans="1:13" x14ac:dyDescent="0.3">
      <c r="A575">
        <v>1573</v>
      </c>
      <c r="B575" t="s">
        <v>625</v>
      </c>
      <c r="C575" t="s">
        <v>13</v>
      </c>
      <c r="D575" t="s">
        <v>102</v>
      </c>
      <c r="E575">
        <v>2</v>
      </c>
      <c r="F575" s="3">
        <v>3972.78</v>
      </c>
      <c r="G575" s="4">
        <v>0.6</v>
      </c>
      <c r="H575" s="3">
        <v>7945.56</v>
      </c>
      <c r="I575" s="1">
        <v>45627</v>
      </c>
      <c r="J575" t="s">
        <v>56</v>
      </c>
      <c r="K575" t="s">
        <v>23</v>
      </c>
      <c r="L575" s="3">
        <v>3178.2240000000002</v>
      </c>
      <c r="M575" t="s">
        <v>11</v>
      </c>
    </row>
    <row r="576" spans="1:13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F576" s="3">
        <v>2617.6390384615388</v>
      </c>
      <c r="G576" s="4">
        <v>0.6</v>
      </c>
      <c r="H576" s="3">
        <v>-2617.6390384615388</v>
      </c>
      <c r="I576" s="1">
        <v>45729</v>
      </c>
      <c r="J576" t="s">
        <v>18</v>
      </c>
      <c r="K576" t="s">
        <v>23</v>
      </c>
      <c r="L576" s="3">
        <v>-1047.0556153846155</v>
      </c>
      <c r="M576" t="s">
        <v>2518</v>
      </c>
    </row>
    <row r="577" spans="1:13" x14ac:dyDescent="0.3">
      <c r="A577">
        <v>1575</v>
      </c>
      <c r="B577" t="s">
        <v>627</v>
      </c>
      <c r="C577" t="s">
        <v>33</v>
      </c>
      <c r="D577" t="s">
        <v>82</v>
      </c>
      <c r="E577">
        <v>2</v>
      </c>
      <c r="F577" s="3">
        <v>615.07000000000005</v>
      </c>
      <c r="G577" s="4">
        <v>0.6</v>
      </c>
      <c r="H577" s="3">
        <v>1230.1400000000001</v>
      </c>
      <c r="I577" s="1">
        <v>45566</v>
      </c>
      <c r="J577" t="s">
        <v>18</v>
      </c>
      <c r="K577" t="s">
        <v>23</v>
      </c>
      <c r="L577" s="3">
        <v>492.05600000000004</v>
      </c>
      <c r="M577" t="s">
        <v>2518</v>
      </c>
    </row>
    <row r="578" spans="1:13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 s="3">
        <v>1882.14</v>
      </c>
      <c r="G578" s="4">
        <v>0.6</v>
      </c>
      <c r="H578" s="3">
        <v>1882.14</v>
      </c>
      <c r="I578" s="1">
        <v>45662</v>
      </c>
      <c r="J578" t="s">
        <v>18</v>
      </c>
      <c r="K578" t="s">
        <v>23</v>
      </c>
      <c r="L578" s="3">
        <v>752.85600000000011</v>
      </c>
      <c r="M578" t="s">
        <v>11</v>
      </c>
    </row>
    <row r="579" spans="1:13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 s="3">
        <v>3134.69</v>
      </c>
      <c r="G579" s="4">
        <v>7.0000000000000007E-2</v>
      </c>
      <c r="H579" s="3">
        <v>6269.38</v>
      </c>
      <c r="I579" s="1">
        <v>45782</v>
      </c>
      <c r="J579" t="s">
        <v>15</v>
      </c>
      <c r="K579" t="s">
        <v>23</v>
      </c>
      <c r="L579" s="3">
        <v>5830.5234</v>
      </c>
      <c r="M579" t="s">
        <v>11</v>
      </c>
    </row>
    <row r="580" spans="1:13" x14ac:dyDescent="0.3">
      <c r="A580">
        <v>1578</v>
      </c>
      <c r="B580" t="s">
        <v>630</v>
      </c>
      <c r="C580" t="s">
        <v>38</v>
      </c>
      <c r="D580" t="s">
        <v>59</v>
      </c>
      <c r="E580">
        <v>2</v>
      </c>
      <c r="F580" s="3">
        <v>2804.2651923076919</v>
      </c>
      <c r="G580" s="4">
        <v>0.6</v>
      </c>
      <c r="H580" s="3">
        <v>5608.5303846153838</v>
      </c>
      <c r="I580" s="1">
        <v>45499</v>
      </c>
      <c r="J580" t="s">
        <v>40</v>
      </c>
      <c r="K580" t="s">
        <v>16</v>
      </c>
      <c r="L580" s="3">
        <v>2243.4121538461536</v>
      </c>
      <c r="M580" t="s">
        <v>11</v>
      </c>
    </row>
    <row r="581" spans="1:13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F581" s="3">
        <v>2501.5309999999999</v>
      </c>
      <c r="G581" s="4">
        <v>0.6</v>
      </c>
      <c r="H581" s="3">
        <v>7504.5929999999998</v>
      </c>
      <c r="I581" s="1">
        <v>45706</v>
      </c>
      <c r="J581" t="s">
        <v>56</v>
      </c>
      <c r="K581" t="s">
        <v>23</v>
      </c>
      <c r="L581" s="3">
        <v>3001.8371999999999</v>
      </c>
      <c r="M581" t="s">
        <v>11</v>
      </c>
    </row>
    <row r="582" spans="1:13" x14ac:dyDescent="0.3">
      <c r="A582">
        <v>1580</v>
      </c>
      <c r="B582" t="s">
        <v>632</v>
      </c>
      <c r="C582" t="s">
        <v>38</v>
      </c>
      <c r="D582" t="s">
        <v>63</v>
      </c>
      <c r="E582">
        <v>2</v>
      </c>
      <c r="F582" s="3">
        <v>2845.2419672131159</v>
      </c>
      <c r="G582" s="4">
        <v>0.6</v>
      </c>
      <c r="H582" s="3">
        <v>5690.4839344262318</v>
      </c>
      <c r="I582" s="1">
        <v>45830</v>
      </c>
      <c r="J582" t="s">
        <v>56</v>
      </c>
      <c r="K582" t="s">
        <v>23</v>
      </c>
      <c r="L582" s="3">
        <v>2276.193573770493</v>
      </c>
      <c r="M582" t="s">
        <v>11</v>
      </c>
    </row>
    <row r="583" spans="1:13" x14ac:dyDescent="0.3">
      <c r="A583">
        <v>1581</v>
      </c>
      <c r="B583" t="s">
        <v>633</v>
      </c>
      <c r="C583" t="s">
        <v>13</v>
      </c>
      <c r="D583" t="s">
        <v>49</v>
      </c>
      <c r="E583">
        <v>2</v>
      </c>
      <c r="F583" s="3">
        <v>2785.0877966101693</v>
      </c>
      <c r="G583" s="4">
        <v>0.6</v>
      </c>
      <c r="H583" s="3">
        <v>5570.1755932203387</v>
      </c>
      <c r="I583" s="1">
        <v>45834</v>
      </c>
      <c r="J583" t="s">
        <v>15</v>
      </c>
      <c r="K583" t="s">
        <v>23</v>
      </c>
      <c r="L583" s="3">
        <v>2228.0702372881356</v>
      </c>
      <c r="M583" t="s">
        <v>11</v>
      </c>
    </row>
    <row r="584" spans="1:13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 s="3">
        <v>4809.8999999999996</v>
      </c>
      <c r="G584" s="4">
        <v>0.92</v>
      </c>
      <c r="H584" s="3">
        <v>4809.8999999999996</v>
      </c>
      <c r="I584" s="1">
        <v>45563</v>
      </c>
      <c r="J584" t="s">
        <v>22</v>
      </c>
      <c r="K584" t="s">
        <v>23</v>
      </c>
      <c r="L584" s="3">
        <v>384.7919999999998</v>
      </c>
      <c r="M584" t="s">
        <v>2518</v>
      </c>
    </row>
    <row r="585" spans="1:13" x14ac:dyDescent="0.3">
      <c r="A585">
        <v>1583</v>
      </c>
      <c r="B585" t="s">
        <v>635</v>
      </c>
      <c r="C585" t="s">
        <v>38</v>
      </c>
      <c r="D585" t="s">
        <v>39</v>
      </c>
      <c r="E585">
        <v>2</v>
      </c>
      <c r="F585" s="3">
        <v>3008.3844444444444</v>
      </c>
      <c r="G585" s="4">
        <v>0.6</v>
      </c>
      <c r="H585" s="3">
        <v>6016.7688888888888</v>
      </c>
      <c r="I585" s="1">
        <v>45380</v>
      </c>
      <c r="J585" t="s">
        <v>46</v>
      </c>
      <c r="K585" t="s">
        <v>23</v>
      </c>
      <c r="L585" s="3">
        <v>2406.7075555555557</v>
      </c>
      <c r="M585" t="s">
        <v>11</v>
      </c>
    </row>
    <row r="586" spans="1:13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F586" s="3">
        <v>2868.7768181818178</v>
      </c>
      <c r="G586" s="4">
        <v>0.15</v>
      </c>
      <c r="H586" s="3">
        <v>14343.884090909089</v>
      </c>
      <c r="I586" s="1">
        <v>45531</v>
      </c>
      <c r="J586" t="s">
        <v>18</v>
      </c>
      <c r="K586" t="s">
        <v>23</v>
      </c>
      <c r="L586" s="3">
        <v>12192.301477272726</v>
      </c>
      <c r="M586" t="s">
        <v>11</v>
      </c>
    </row>
    <row r="587" spans="1:13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 s="3">
        <v>2738.72</v>
      </c>
      <c r="G587" s="4">
        <v>0.89</v>
      </c>
      <c r="H587" s="3">
        <v>-5477.44</v>
      </c>
      <c r="I587" s="1">
        <v>45607</v>
      </c>
      <c r="J587" t="s">
        <v>15</v>
      </c>
      <c r="K587" t="s">
        <v>23</v>
      </c>
      <c r="L587" s="3">
        <v>-602.51839999999993</v>
      </c>
      <c r="M587" t="s">
        <v>2518</v>
      </c>
    </row>
    <row r="588" spans="1:13" x14ac:dyDescent="0.3">
      <c r="A588">
        <v>1586</v>
      </c>
      <c r="B588" t="s">
        <v>638</v>
      </c>
      <c r="C588" t="s">
        <v>25</v>
      </c>
      <c r="D588" t="s">
        <v>26</v>
      </c>
      <c r="E588">
        <v>2</v>
      </c>
      <c r="F588" s="3">
        <v>2888.8714285714286</v>
      </c>
      <c r="G588" s="4">
        <v>0.78</v>
      </c>
      <c r="H588" s="3">
        <v>5777.7428571428572</v>
      </c>
      <c r="I588" s="1">
        <v>45508</v>
      </c>
      <c r="J588" t="s">
        <v>46</v>
      </c>
      <c r="K588" t="s">
        <v>23</v>
      </c>
      <c r="L588" s="3">
        <v>1271.1034285714284</v>
      </c>
      <c r="M588" t="s">
        <v>11</v>
      </c>
    </row>
    <row r="589" spans="1:13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F589" s="3">
        <v>2888.8714285714286</v>
      </c>
      <c r="G589" s="4">
        <v>0.6</v>
      </c>
      <c r="H589" s="3">
        <v>-2888.8714285714286</v>
      </c>
      <c r="I589" s="1">
        <v>45782</v>
      </c>
      <c r="J589" t="s">
        <v>22</v>
      </c>
      <c r="K589" t="s">
        <v>16</v>
      </c>
      <c r="L589" s="3">
        <v>-1155.5485714285714</v>
      </c>
      <c r="M589" t="s">
        <v>2518</v>
      </c>
    </row>
    <row r="590" spans="1:13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F590" s="3">
        <v>2559.6667307692314</v>
      </c>
      <c r="G590" s="4">
        <v>0.6</v>
      </c>
      <c r="H590" s="3">
        <v>2559.6667307692314</v>
      </c>
      <c r="I590" s="1">
        <v>45780</v>
      </c>
      <c r="J590" t="s">
        <v>15</v>
      </c>
      <c r="K590" t="s">
        <v>23</v>
      </c>
      <c r="L590" s="3">
        <v>1023.8666923076926</v>
      </c>
      <c r="M590" t="s">
        <v>11</v>
      </c>
    </row>
    <row r="591" spans="1:13" x14ac:dyDescent="0.3">
      <c r="A591">
        <v>1589</v>
      </c>
      <c r="B591" t="s">
        <v>641</v>
      </c>
      <c r="C591" t="s">
        <v>25</v>
      </c>
      <c r="D591" t="s">
        <v>26</v>
      </c>
      <c r="E591">
        <v>2</v>
      </c>
      <c r="F591" s="3">
        <v>527.07000000000005</v>
      </c>
      <c r="G591" s="4">
        <v>0.45</v>
      </c>
      <c r="H591" s="3">
        <v>1054.1400000000001</v>
      </c>
      <c r="I591" s="1">
        <v>45782</v>
      </c>
      <c r="J591" t="s">
        <v>22</v>
      </c>
      <c r="K591" t="s">
        <v>16</v>
      </c>
      <c r="L591" s="3">
        <v>579.77700000000016</v>
      </c>
      <c r="M591" t="s">
        <v>11</v>
      </c>
    </row>
    <row r="592" spans="1:13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F592" s="3">
        <v>2804.2651923076919</v>
      </c>
      <c r="G592" s="4">
        <v>0.67</v>
      </c>
      <c r="H592" s="3">
        <v>16825.591153846151</v>
      </c>
      <c r="I592" s="1">
        <v>45782</v>
      </c>
      <c r="J592" t="s">
        <v>40</v>
      </c>
      <c r="K592" t="s">
        <v>23</v>
      </c>
      <c r="L592" s="3">
        <v>5552.4450807692292</v>
      </c>
      <c r="M592" t="s">
        <v>11</v>
      </c>
    </row>
    <row r="593" spans="1:13" x14ac:dyDescent="0.3">
      <c r="A593">
        <v>1591</v>
      </c>
      <c r="B593" t="s">
        <v>643</v>
      </c>
      <c r="C593" t="s">
        <v>33</v>
      </c>
      <c r="D593" t="s">
        <v>82</v>
      </c>
      <c r="E593">
        <v>2</v>
      </c>
      <c r="F593" s="3">
        <v>2776.2202000000002</v>
      </c>
      <c r="G593" s="4">
        <v>0.6</v>
      </c>
      <c r="H593" s="3">
        <v>5552.4404000000004</v>
      </c>
      <c r="I593" s="1">
        <v>45808</v>
      </c>
      <c r="J593" t="s">
        <v>22</v>
      </c>
      <c r="K593" t="s">
        <v>23</v>
      </c>
      <c r="L593" s="3">
        <v>2220.9761600000002</v>
      </c>
      <c r="M593" t="s">
        <v>11</v>
      </c>
    </row>
    <row r="594" spans="1:13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F594" s="3">
        <v>2530.3836538461546</v>
      </c>
      <c r="G594" s="4">
        <v>0.52</v>
      </c>
      <c r="H594" s="3">
        <v>12651.918269230773</v>
      </c>
      <c r="I594" s="1">
        <v>45657</v>
      </c>
      <c r="J594" t="s">
        <v>22</v>
      </c>
      <c r="K594" t="s">
        <v>23</v>
      </c>
      <c r="L594" s="3">
        <v>6072.9207692307709</v>
      </c>
      <c r="M594" t="s">
        <v>11</v>
      </c>
    </row>
    <row r="595" spans="1:13" x14ac:dyDescent="0.3">
      <c r="A595">
        <v>1593</v>
      </c>
      <c r="B595" t="s">
        <v>645</v>
      </c>
      <c r="C595" t="s">
        <v>33</v>
      </c>
      <c r="D595" t="s">
        <v>82</v>
      </c>
      <c r="E595">
        <v>2</v>
      </c>
      <c r="F595" s="3">
        <v>2776.2202000000002</v>
      </c>
      <c r="G595" s="4">
        <v>0.6</v>
      </c>
      <c r="H595" s="3">
        <v>5552.4404000000004</v>
      </c>
      <c r="I595" s="1">
        <v>45721</v>
      </c>
      <c r="J595" t="s">
        <v>22</v>
      </c>
      <c r="K595" t="s">
        <v>23</v>
      </c>
      <c r="L595" s="3">
        <v>2220.9761600000002</v>
      </c>
      <c r="M595" t="s">
        <v>11</v>
      </c>
    </row>
    <row r="596" spans="1:13" x14ac:dyDescent="0.3">
      <c r="A596">
        <v>1594</v>
      </c>
      <c r="B596" t="s">
        <v>646</v>
      </c>
      <c r="C596" t="s">
        <v>13</v>
      </c>
      <c r="D596" t="s">
        <v>49</v>
      </c>
      <c r="E596">
        <v>2</v>
      </c>
      <c r="F596" s="3">
        <v>3784.99</v>
      </c>
      <c r="G596" s="4">
        <v>0.6</v>
      </c>
      <c r="H596" s="3">
        <v>7569.98</v>
      </c>
      <c r="I596" s="1">
        <v>45782</v>
      </c>
      <c r="J596" t="s">
        <v>40</v>
      </c>
      <c r="K596" t="s">
        <v>23</v>
      </c>
      <c r="L596" s="3">
        <v>3027.9920000000002</v>
      </c>
      <c r="M596" t="s">
        <v>11</v>
      </c>
    </row>
    <row r="597" spans="1:13" x14ac:dyDescent="0.3">
      <c r="A597">
        <v>1595</v>
      </c>
      <c r="B597" t="s">
        <v>647</v>
      </c>
      <c r="C597" t="s">
        <v>38</v>
      </c>
      <c r="D597" t="s">
        <v>91</v>
      </c>
      <c r="E597">
        <v>2</v>
      </c>
      <c r="F597" s="3">
        <v>2868.7768181818178</v>
      </c>
      <c r="G597" s="4">
        <v>0.6</v>
      </c>
      <c r="H597" s="3">
        <v>5737.5536363636356</v>
      </c>
      <c r="I597" s="1">
        <v>45858</v>
      </c>
      <c r="J597" t="s">
        <v>22</v>
      </c>
      <c r="K597" t="s">
        <v>16</v>
      </c>
      <c r="L597" s="3">
        <v>2295.0214545454542</v>
      </c>
      <c r="M597" t="s">
        <v>11</v>
      </c>
    </row>
    <row r="598" spans="1:13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 s="3">
        <v>738.29</v>
      </c>
      <c r="G598" s="4">
        <v>0.6</v>
      </c>
      <c r="H598" s="3">
        <v>2214.87</v>
      </c>
      <c r="I598" s="1">
        <v>45558</v>
      </c>
      <c r="J598" t="s">
        <v>18</v>
      </c>
      <c r="K598" t="s">
        <v>23</v>
      </c>
      <c r="L598" s="3">
        <v>885.94799999999998</v>
      </c>
      <c r="M598" t="s">
        <v>11</v>
      </c>
    </row>
    <row r="599" spans="1:13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 s="3">
        <v>657.51</v>
      </c>
      <c r="G599" s="4">
        <v>0.77</v>
      </c>
      <c r="H599" s="3">
        <v>657.51</v>
      </c>
      <c r="I599" s="1">
        <v>45508</v>
      </c>
      <c r="J599" t="s">
        <v>15</v>
      </c>
      <c r="K599" t="s">
        <v>16</v>
      </c>
      <c r="L599" s="3">
        <v>151.22729999999999</v>
      </c>
      <c r="M599" t="s">
        <v>2518</v>
      </c>
    </row>
    <row r="600" spans="1:13" x14ac:dyDescent="0.3">
      <c r="A600">
        <v>1598</v>
      </c>
      <c r="B600" t="s">
        <v>650</v>
      </c>
      <c r="C600" t="s">
        <v>20</v>
      </c>
      <c r="D600" t="s">
        <v>88</v>
      </c>
      <c r="E600">
        <v>2</v>
      </c>
      <c r="F600" s="3">
        <v>3311.31</v>
      </c>
      <c r="G600" s="4">
        <v>0.6</v>
      </c>
      <c r="H600" s="3">
        <v>6622.62</v>
      </c>
      <c r="I600" s="1">
        <v>45782</v>
      </c>
      <c r="J600" t="s">
        <v>46</v>
      </c>
      <c r="K600" t="s">
        <v>23</v>
      </c>
      <c r="L600" s="3">
        <v>2649.0480000000002</v>
      </c>
      <c r="M600" t="s">
        <v>11</v>
      </c>
    </row>
    <row r="601" spans="1:13" x14ac:dyDescent="0.3">
      <c r="A601">
        <v>1599</v>
      </c>
      <c r="B601" t="s">
        <v>651</v>
      </c>
      <c r="C601" t="s">
        <v>20</v>
      </c>
      <c r="D601" t="s">
        <v>80</v>
      </c>
      <c r="E601">
        <v>2</v>
      </c>
      <c r="F601" s="3">
        <v>2483.5844000000002</v>
      </c>
      <c r="G601" s="4">
        <v>0.6</v>
      </c>
      <c r="H601" s="3">
        <v>4967.1688000000004</v>
      </c>
      <c r="I601" s="1">
        <v>45750</v>
      </c>
      <c r="J601" t="s">
        <v>22</v>
      </c>
      <c r="K601" t="s">
        <v>23</v>
      </c>
      <c r="L601" s="3">
        <v>1986.8675200000002</v>
      </c>
      <c r="M601" t="s">
        <v>11</v>
      </c>
    </row>
    <row r="602" spans="1:13" x14ac:dyDescent="0.3">
      <c r="A602">
        <v>1600</v>
      </c>
      <c r="B602" t="s">
        <v>652</v>
      </c>
      <c r="C602" t="s">
        <v>29</v>
      </c>
      <c r="D602" t="s">
        <v>120</v>
      </c>
      <c r="E602">
        <v>2</v>
      </c>
      <c r="F602" s="3">
        <v>2830.1325714285731</v>
      </c>
      <c r="G602" s="4">
        <v>0.6</v>
      </c>
      <c r="H602" s="3">
        <v>5660.2651428571462</v>
      </c>
      <c r="I602" s="1">
        <v>45156</v>
      </c>
      <c r="J602" t="s">
        <v>18</v>
      </c>
      <c r="K602" t="s">
        <v>23</v>
      </c>
      <c r="L602" s="3">
        <v>2264.1060571428584</v>
      </c>
      <c r="M602" t="s">
        <v>11</v>
      </c>
    </row>
    <row r="603" spans="1:13" x14ac:dyDescent="0.3">
      <c r="A603">
        <v>1601</v>
      </c>
      <c r="B603" t="s">
        <v>653</v>
      </c>
      <c r="C603" t="s">
        <v>29</v>
      </c>
      <c r="D603" t="s">
        <v>30</v>
      </c>
      <c r="E603">
        <v>2</v>
      </c>
      <c r="F603" s="3">
        <v>2617.6390384615388</v>
      </c>
      <c r="G603" s="4">
        <v>0.6</v>
      </c>
      <c r="H603" s="3">
        <v>5235.2780769230776</v>
      </c>
      <c r="I603" s="1">
        <v>45511</v>
      </c>
      <c r="J603" t="s">
        <v>22</v>
      </c>
      <c r="K603" t="s">
        <v>23</v>
      </c>
      <c r="L603" s="3">
        <v>2094.111230769231</v>
      </c>
      <c r="M603" t="s">
        <v>11</v>
      </c>
    </row>
    <row r="604" spans="1:13" x14ac:dyDescent="0.3">
      <c r="A604">
        <v>1602</v>
      </c>
      <c r="B604" t="s">
        <v>654</v>
      </c>
      <c r="C604" t="s">
        <v>38</v>
      </c>
      <c r="D604" t="s">
        <v>63</v>
      </c>
      <c r="E604">
        <v>2</v>
      </c>
      <c r="F604" s="3">
        <v>4256.43</v>
      </c>
      <c r="G604" s="4">
        <v>0.6</v>
      </c>
      <c r="H604" s="3">
        <v>8512.86</v>
      </c>
      <c r="I604" s="1">
        <v>45804</v>
      </c>
      <c r="J604" t="s">
        <v>40</v>
      </c>
      <c r="K604" t="s">
        <v>23</v>
      </c>
      <c r="L604" s="3">
        <v>3405.1440000000002</v>
      </c>
      <c r="M604" t="s">
        <v>11</v>
      </c>
    </row>
    <row r="605" spans="1:13" x14ac:dyDescent="0.3">
      <c r="A605">
        <v>1603</v>
      </c>
      <c r="B605" t="s">
        <v>655</v>
      </c>
      <c r="C605" t="s">
        <v>20</v>
      </c>
      <c r="D605" t="s">
        <v>80</v>
      </c>
      <c r="E605">
        <v>2</v>
      </c>
      <c r="F605" s="3">
        <v>2483.5844000000002</v>
      </c>
      <c r="G605" s="4">
        <v>1.05</v>
      </c>
      <c r="H605" s="3">
        <v>4967.1688000000004</v>
      </c>
      <c r="I605" s="1">
        <v>45782</v>
      </c>
      <c r="J605" t="s">
        <v>18</v>
      </c>
      <c r="K605" t="s">
        <v>23</v>
      </c>
      <c r="L605" s="3">
        <v>-248.35844000000023</v>
      </c>
      <c r="M605" t="s">
        <v>2518</v>
      </c>
    </row>
    <row r="606" spans="1:13" x14ac:dyDescent="0.3">
      <c r="A606">
        <v>1604</v>
      </c>
      <c r="B606" t="s">
        <v>656</v>
      </c>
      <c r="C606" t="s">
        <v>33</v>
      </c>
      <c r="D606" t="s">
        <v>82</v>
      </c>
      <c r="E606">
        <v>2</v>
      </c>
      <c r="F606" s="3">
        <v>2776.2202000000002</v>
      </c>
      <c r="G606" s="4">
        <v>0.6</v>
      </c>
      <c r="H606" s="3">
        <v>5552.4404000000004</v>
      </c>
      <c r="I606" s="1">
        <v>45552</v>
      </c>
      <c r="J606" t="s">
        <v>40</v>
      </c>
      <c r="K606" t="s">
        <v>23</v>
      </c>
      <c r="L606" s="3">
        <v>2220.9761600000002</v>
      </c>
      <c r="M606" t="s">
        <v>11</v>
      </c>
    </row>
    <row r="607" spans="1:13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F607" s="3">
        <v>2830.1325714285731</v>
      </c>
      <c r="G607" s="4">
        <v>0.47</v>
      </c>
      <c r="H607" s="3">
        <v>0</v>
      </c>
      <c r="I607" s="1">
        <v>45661</v>
      </c>
      <c r="J607" t="s">
        <v>56</v>
      </c>
      <c r="K607" t="s">
        <v>16</v>
      </c>
      <c r="L607" s="3">
        <v>0</v>
      </c>
      <c r="M607" t="s">
        <v>2518</v>
      </c>
    </row>
    <row r="608" spans="1:13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F608" s="3">
        <v>2776.2202000000002</v>
      </c>
      <c r="G608" s="4">
        <v>0.6</v>
      </c>
      <c r="H608" s="3">
        <v>16657.321200000002</v>
      </c>
      <c r="I608" s="1">
        <v>45694</v>
      </c>
      <c r="J608" t="s">
        <v>15</v>
      </c>
      <c r="K608" t="s">
        <v>23</v>
      </c>
      <c r="L608" s="3">
        <v>6662.9284800000014</v>
      </c>
      <c r="M608" t="s">
        <v>11</v>
      </c>
    </row>
    <row r="609" spans="1:13" x14ac:dyDescent="0.3">
      <c r="A609">
        <v>1607</v>
      </c>
      <c r="B609" t="s">
        <v>659</v>
      </c>
      <c r="C609" t="s">
        <v>25</v>
      </c>
      <c r="D609" t="s">
        <v>26</v>
      </c>
      <c r="E609">
        <v>2</v>
      </c>
      <c r="F609" s="3">
        <v>4941.2700000000004</v>
      </c>
      <c r="G609" s="4">
        <v>0.6</v>
      </c>
      <c r="H609" s="3">
        <v>9882.5400000000009</v>
      </c>
      <c r="I609" s="1">
        <v>45207</v>
      </c>
      <c r="J609" t="s">
        <v>15</v>
      </c>
      <c r="K609" t="s">
        <v>16</v>
      </c>
      <c r="L609" s="3">
        <v>3953.0160000000005</v>
      </c>
      <c r="M609" t="s">
        <v>11</v>
      </c>
    </row>
    <row r="610" spans="1:13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 s="3">
        <v>3536.61</v>
      </c>
      <c r="G610" s="4">
        <v>0.79</v>
      </c>
      <c r="H610" s="3">
        <v>10609.83</v>
      </c>
      <c r="I610" s="1">
        <v>45708</v>
      </c>
      <c r="J610" t="s">
        <v>22</v>
      </c>
      <c r="K610" t="s">
        <v>16</v>
      </c>
      <c r="L610" s="3">
        <v>2228.0642999999995</v>
      </c>
      <c r="M610" t="s">
        <v>11</v>
      </c>
    </row>
    <row r="611" spans="1:13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F611" s="3">
        <v>2888.8714285714286</v>
      </c>
      <c r="G611" s="4">
        <v>0.6</v>
      </c>
      <c r="H611" s="3">
        <v>11555.485714285714</v>
      </c>
      <c r="I611" s="1">
        <v>45855</v>
      </c>
      <c r="J611" t="s">
        <v>56</v>
      </c>
      <c r="K611" t="s">
        <v>16</v>
      </c>
      <c r="L611" s="3">
        <v>4622.1942857142858</v>
      </c>
      <c r="M611" t="s">
        <v>11</v>
      </c>
    </row>
    <row r="612" spans="1:13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F612" s="3">
        <v>2785.0877966101693</v>
      </c>
      <c r="G612" s="4">
        <v>0.6</v>
      </c>
      <c r="H612" s="3">
        <v>13925.438983050846</v>
      </c>
      <c r="I612" s="1">
        <v>45806</v>
      </c>
      <c r="J612" t="s">
        <v>56</v>
      </c>
      <c r="K612" t="s">
        <v>23</v>
      </c>
      <c r="L612" s="3">
        <v>5570.1755932203387</v>
      </c>
      <c r="M612" t="s">
        <v>11</v>
      </c>
    </row>
    <row r="613" spans="1:13" x14ac:dyDescent="0.3">
      <c r="A613">
        <v>1611</v>
      </c>
      <c r="B613" t="s">
        <v>663</v>
      </c>
      <c r="C613" t="s">
        <v>33</v>
      </c>
      <c r="D613" t="s">
        <v>82</v>
      </c>
      <c r="E613">
        <v>2</v>
      </c>
      <c r="F613" s="3">
        <v>2776.2202000000002</v>
      </c>
      <c r="G613" s="4">
        <v>1.07</v>
      </c>
      <c r="H613" s="3">
        <v>5552.4404000000004</v>
      </c>
      <c r="I613" s="1">
        <v>45604</v>
      </c>
      <c r="J613" t="s">
        <v>15</v>
      </c>
      <c r="K613" t="s">
        <v>23</v>
      </c>
      <c r="L613" s="3">
        <v>-388.67082800000037</v>
      </c>
      <c r="M613" t="s">
        <v>2518</v>
      </c>
    </row>
    <row r="614" spans="1:13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 s="3">
        <v>1010.24</v>
      </c>
      <c r="G614" s="4">
        <v>0.6</v>
      </c>
      <c r="H614" s="3">
        <v>5051.2</v>
      </c>
      <c r="I614" s="1">
        <v>45714</v>
      </c>
      <c r="J614" t="s">
        <v>46</v>
      </c>
      <c r="K614" t="s">
        <v>23</v>
      </c>
      <c r="L614" s="3">
        <v>2020.48</v>
      </c>
      <c r="M614" t="s">
        <v>11</v>
      </c>
    </row>
    <row r="615" spans="1:13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 s="3">
        <v>1575.26</v>
      </c>
      <c r="G615" s="4">
        <v>0.6</v>
      </c>
      <c r="H615" s="3">
        <v>1575.26</v>
      </c>
      <c r="I615" s="1">
        <v>45665</v>
      </c>
      <c r="J615" t="s">
        <v>15</v>
      </c>
      <c r="K615" t="s">
        <v>16</v>
      </c>
      <c r="L615" s="3">
        <v>630.10400000000004</v>
      </c>
      <c r="M615" t="s">
        <v>11</v>
      </c>
    </row>
    <row r="616" spans="1:13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F616" s="3">
        <v>2559.6667307692314</v>
      </c>
      <c r="G616" s="4">
        <v>0.6</v>
      </c>
      <c r="H616" s="3">
        <v>-2559.6667307692314</v>
      </c>
      <c r="I616" s="1">
        <v>45764</v>
      </c>
      <c r="J616" t="s">
        <v>22</v>
      </c>
      <c r="K616" t="s">
        <v>23</v>
      </c>
      <c r="L616" s="3">
        <v>-1023.8666923076926</v>
      </c>
      <c r="M616" t="s">
        <v>2518</v>
      </c>
    </row>
    <row r="617" spans="1:13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 s="3">
        <v>4962.7</v>
      </c>
      <c r="G617" s="4">
        <v>0.02</v>
      </c>
      <c r="H617" s="3">
        <v>29776.199999999997</v>
      </c>
      <c r="I617" s="1">
        <v>45142</v>
      </c>
      <c r="J617" t="s">
        <v>56</v>
      </c>
      <c r="K617" t="s">
        <v>16</v>
      </c>
      <c r="L617" s="3">
        <v>29180.675999999996</v>
      </c>
      <c r="M617" t="s">
        <v>11</v>
      </c>
    </row>
    <row r="618" spans="1:13" x14ac:dyDescent="0.3">
      <c r="A618">
        <v>1616</v>
      </c>
      <c r="B618" t="s">
        <v>668</v>
      </c>
      <c r="C618" t="s">
        <v>25</v>
      </c>
      <c r="D618" t="s">
        <v>26</v>
      </c>
      <c r="E618">
        <v>2</v>
      </c>
      <c r="F618" s="3">
        <v>4443.82</v>
      </c>
      <c r="G618" s="4">
        <v>0.6</v>
      </c>
      <c r="H618" s="3">
        <v>8887.64</v>
      </c>
      <c r="I618" s="1">
        <v>45212</v>
      </c>
      <c r="J618" t="s">
        <v>40</v>
      </c>
      <c r="K618" t="s">
        <v>16</v>
      </c>
      <c r="L618" s="3">
        <v>3555.056</v>
      </c>
      <c r="M618" t="s">
        <v>11</v>
      </c>
    </row>
    <row r="619" spans="1:13" x14ac:dyDescent="0.3">
      <c r="A619">
        <v>1617</v>
      </c>
      <c r="B619" t="s">
        <v>669</v>
      </c>
      <c r="C619" t="s">
        <v>13</v>
      </c>
      <c r="D619" t="s">
        <v>36</v>
      </c>
      <c r="E619">
        <v>2</v>
      </c>
      <c r="F619" s="3">
        <v>1144.47</v>
      </c>
      <c r="G619" s="4">
        <v>0.6</v>
      </c>
      <c r="H619" s="3">
        <v>2288.94</v>
      </c>
      <c r="I619" s="1">
        <v>45361</v>
      </c>
      <c r="J619" t="s">
        <v>46</v>
      </c>
      <c r="K619" t="s">
        <v>16</v>
      </c>
      <c r="L619" s="3">
        <v>915.57600000000002</v>
      </c>
      <c r="M619" t="s">
        <v>11</v>
      </c>
    </row>
    <row r="620" spans="1:13" x14ac:dyDescent="0.3">
      <c r="A620">
        <v>1618</v>
      </c>
      <c r="B620" t="s">
        <v>670</v>
      </c>
      <c r="C620" t="s">
        <v>38</v>
      </c>
      <c r="D620" t="s">
        <v>63</v>
      </c>
      <c r="E620">
        <v>2</v>
      </c>
      <c r="F620" s="3">
        <v>2845.2419672131159</v>
      </c>
      <c r="G620" s="4">
        <v>0.85</v>
      </c>
      <c r="H620" s="3">
        <v>5690.4839344262318</v>
      </c>
      <c r="I620" s="1">
        <v>45162</v>
      </c>
      <c r="J620" t="s">
        <v>22</v>
      </c>
      <c r="K620" t="s">
        <v>23</v>
      </c>
      <c r="L620" s="3">
        <v>853.57259016393493</v>
      </c>
      <c r="M620" t="s">
        <v>11</v>
      </c>
    </row>
    <row r="621" spans="1:13" x14ac:dyDescent="0.3">
      <c r="A621">
        <v>1619</v>
      </c>
      <c r="B621" t="s">
        <v>671</v>
      </c>
      <c r="C621" t="s">
        <v>13</v>
      </c>
      <c r="D621" t="s">
        <v>49</v>
      </c>
      <c r="E621">
        <v>2</v>
      </c>
      <c r="F621" s="3">
        <v>1470.99</v>
      </c>
      <c r="G621" s="4">
        <v>0.7</v>
      </c>
      <c r="H621" s="3">
        <v>2941.98</v>
      </c>
      <c r="I621" s="1">
        <v>45640</v>
      </c>
      <c r="J621" t="s">
        <v>40</v>
      </c>
      <c r="K621" t="s">
        <v>23</v>
      </c>
      <c r="L621" s="3">
        <v>882.59400000000016</v>
      </c>
      <c r="M621" t="s">
        <v>11</v>
      </c>
    </row>
    <row r="622" spans="1:13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F622" s="3">
        <v>2804.2651923076919</v>
      </c>
      <c r="G622" s="4">
        <v>1.17</v>
      </c>
      <c r="H622" s="3">
        <v>16825.591153846151</v>
      </c>
      <c r="I622" s="1">
        <v>45551</v>
      </c>
      <c r="J622" t="s">
        <v>15</v>
      </c>
      <c r="K622" t="s">
        <v>23</v>
      </c>
      <c r="L622" s="3">
        <v>-2860.3504961538447</v>
      </c>
      <c r="M622" t="s">
        <v>2518</v>
      </c>
    </row>
    <row r="623" spans="1:13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 s="3">
        <v>639.66999999999996</v>
      </c>
      <c r="G623" s="4">
        <v>0.6</v>
      </c>
      <c r="H623" s="3">
        <v>3838.0199999999995</v>
      </c>
      <c r="I623" s="1">
        <v>45563</v>
      </c>
      <c r="J623" t="s">
        <v>56</v>
      </c>
      <c r="K623" t="s">
        <v>23</v>
      </c>
      <c r="L623" s="3">
        <v>1535.2079999999999</v>
      </c>
      <c r="M623" t="s">
        <v>11</v>
      </c>
    </row>
    <row r="624" spans="1:13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F624" s="3">
        <v>2572.7764000000006</v>
      </c>
      <c r="G624" s="4">
        <v>0.6</v>
      </c>
      <c r="H624" s="3">
        <v>2572.7764000000006</v>
      </c>
      <c r="I624" s="1">
        <v>45782</v>
      </c>
      <c r="J624" t="s">
        <v>40</v>
      </c>
      <c r="K624" t="s">
        <v>16</v>
      </c>
      <c r="L624" s="3">
        <v>1029.1105600000003</v>
      </c>
      <c r="M624" t="s">
        <v>11</v>
      </c>
    </row>
    <row r="625" spans="1:13" x14ac:dyDescent="0.3">
      <c r="A625">
        <v>1033</v>
      </c>
      <c r="B625" t="s">
        <v>675</v>
      </c>
      <c r="C625" t="s">
        <v>33</v>
      </c>
      <c r="D625" t="s">
        <v>72</v>
      </c>
      <c r="E625">
        <v>2</v>
      </c>
      <c r="F625" s="3">
        <v>3369.55</v>
      </c>
      <c r="G625" s="4">
        <v>0.6</v>
      </c>
      <c r="H625" s="3">
        <v>6739.1</v>
      </c>
      <c r="I625" s="1">
        <v>45664</v>
      </c>
      <c r="J625" t="s">
        <v>46</v>
      </c>
      <c r="K625" t="s">
        <v>16</v>
      </c>
      <c r="L625" s="3">
        <v>2695.6400000000003</v>
      </c>
      <c r="M625" t="s">
        <v>11</v>
      </c>
    </row>
    <row r="626" spans="1:13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 s="3">
        <v>977.2</v>
      </c>
      <c r="G626" s="4">
        <v>0.6</v>
      </c>
      <c r="H626" s="3">
        <v>4886</v>
      </c>
      <c r="I626" s="1">
        <v>45782</v>
      </c>
      <c r="J626" t="s">
        <v>46</v>
      </c>
      <c r="K626" t="s">
        <v>23</v>
      </c>
      <c r="L626" s="3">
        <v>1954.4</v>
      </c>
      <c r="M626" t="s">
        <v>11</v>
      </c>
    </row>
    <row r="627" spans="1:13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 s="3">
        <v>735.97</v>
      </c>
      <c r="G627" s="4">
        <v>0.26</v>
      </c>
      <c r="H627" s="3">
        <v>0</v>
      </c>
      <c r="I627" s="1">
        <v>45651</v>
      </c>
      <c r="J627" t="s">
        <v>15</v>
      </c>
      <c r="K627" t="s">
        <v>23</v>
      </c>
      <c r="L627" s="3">
        <v>0</v>
      </c>
      <c r="M627" t="s">
        <v>2518</v>
      </c>
    </row>
    <row r="628" spans="1:13" x14ac:dyDescent="0.3">
      <c r="A628">
        <v>1626</v>
      </c>
      <c r="B628" t="s">
        <v>678</v>
      </c>
      <c r="C628" t="s">
        <v>38</v>
      </c>
      <c r="D628" t="s">
        <v>59</v>
      </c>
      <c r="E628">
        <v>2</v>
      </c>
      <c r="F628" s="3">
        <v>4695.1499999999996</v>
      </c>
      <c r="G628" s="4">
        <v>0.6</v>
      </c>
      <c r="H628" s="3">
        <v>9390.2999999999993</v>
      </c>
      <c r="I628" s="1">
        <v>45782</v>
      </c>
      <c r="J628" t="s">
        <v>46</v>
      </c>
      <c r="K628" t="s">
        <v>16</v>
      </c>
      <c r="L628" s="3">
        <v>3756.12</v>
      </c>
      <c r="M628" t="s">
        <v>11</v>
      </c>
    </row>
    <row r="629" spans="1:13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 s="3">
        <v>987.35</v>
      </c>
      <c r="G629" s="4">
        <v>0.6</v>
      </c>
      <c r="H629" s="3">
        <v>5924.1</v>
      </c>
      <c r="I629" s="1">
        <v>45692</v>
      </c>
      <c r="J629" t="s">
        <v>22</v>
      </c>
      <c r="K629" t="s">
        <v>23</v>
      </c>
      <c r="L629" s="3">
        <v>2369.6400000000003</v>
      </c>
      <c r="M629" t="s">
        <v>11</v>
      </c>
    </row>
    <row r="630" spans="1:13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 s="3">
        <v>3345.58</v>
      </c>
      <c r="G630" s="4">
        <v>0.26</v>
      </c>
      <c r="H630" s="3">
        <v>3345.58</v>
      </c>
      <c r="I630" s="1">
        <v>45397</v>
      </c>
      <c r="J630" t="s">
        <v>56</v>
      </c>
      <c r="K630" t="s">
        <v>23</v>
      </c>
      <c r="L630" s="3">
        <v>2475.7291999999998</v>
      </c>
      <c r="M630" t="s">
        <v>11</v>
      </c>
    </row>
    <row r="631" spans="1:13" x14ac:dyDescent="0.3">
      <c r="A631">
        <v>1629</v>
      </c>
      <c r="B631" t="s">
        <v>681</v>
      </c>
      <c r="C631" t="s">
        <v>25</v>
      </c>
      <c r="D631" t="s">
        <v>86</v>
      </c>
      <c r="E631">
        <v>2</v>
      </c>
      <c r="F631" s="3">
        <v>829.14</v>
      </c>
      <c r="G631" s="4">
        <v>0.6</v>
      </c>
      <c r="H631" s="3">
        <v>1658.28</v>
      </c>
      <c r="I631" s="1">
        <v>45782</v>
      </c>
      <c r="J631" t="s">
        <v>18</v>
      </c>
      <c r="K631" t="s">
        <v>16</v>
      </c>
      <c r="L631" s="3">
        <v>663.31200000000001</v>
      </c>
      <c r="M631" t="s">
        <v>11</v>
      </c>
    </row>
    <row r="632" spans="1:13" x14ac:dyDescent="0.3">
      <c r="A632">
        <v>1630</v>
      </c>
      <c r="B632" t="s">
        <v>682</v>
      </c>
      <c r="C632" t="s">
        <v>13</v>
      </c>
      <c r="D632" t="s">
        <v>102</v>
      </c>
      <c r="E632">
        <v>2</v>
      </c>
      <c r="F632" s="3">
        <v>2393.14</v>
      </c>
      <c r="G632" s="4">
        <v>1</v>
      </c>
      <c r="H632" s="3">
        <v>4786.28</v>
      </c>
      <c r="I632" s="1">
        <v>45178</v>
      </c>
      <c r="J632" t="s">
        <v>40</v>
      </c>
      <c r="K632" t="s">
        <v>23</v>
      </c>
      <c r="L632" s="3">
        <v>0</v>
      </c>
      <c r="M632" t="s">
        <v>2518</v>
      </c>
    </row>
    <row r="633" spans="1:13" x14ac:dyDescent="0.3">
      <c r="A633">
        <v>1631</v>
      </c>
      <c r="B633" t="s">
        <v>683</v>
      </c>
      <c r="C633" t="s">
        <v>38</v>
      </c>
      <c r="D633" t="s">
        <v>39</v>
      </c>
      <c r="E633">
        <v>2</v>
      </c>
      <c r="F633" s="3">
        <v>3008.3844444444444</v>
      </c>
      <c r="G633" s="4">
        <v>0.6</v>
      </c>
      <c r="H633" s="3">
        <v>6016.7688888888888</v>
      </c>
      <c r="I633" s="1">
        <v>45821</v>
      </c>
      <c r="J633" t="s">
        <v>56</v>
      </c>
      <c r="K633" t="s">
        <v>16</v>
      </c>
      <c r="L633" s="3">
        <v>2406.7075555555557</v>
      </c>
      <c r="M633" t="s">
        <v>11</v>
      </c>
    </row>
    <row r="634" spans="1:13" x14ac:dyDescent="0.3">
      <c r="A634">
        <v>1632</v>
      </c>
      <c r="B634" t="s">
        <v>684</v>
      </c>
      <c r="C634" t="s">
        <v>20</v>
      </c>
      <c r="D634" t="s">
        <v>80</v>
      </c>
      <c r="E634">
        <v>2</v>
      </c>
      <c r="F634" s="3">
        <v>2618.69</v>
      </c>
      <c r="G634" s="4">
        <v>0.11</v>
      </c>
      <c r="H634" s="3">
        <v>5237.38</v>
      </c>
      <c r="I634" s="1">
        <v>45621</v>
      </c>
      <c r="J634" t="s">
        <v>46</v>
      </c>
      <c r="K634" t="s">
        <v>16</v>
      </c>
      <c r="L634" s="3">
        <v>4661.2682000000004</v>
      </c>
      <c r="M634" t="s">
        <v>11</v>
      </c>
    </row>
    <row r="635" spans="1:13" x14ac:dyDescent="0.3">
      <c r="A635">
        <v>1633</v>
      </c>
      <c r="B635" t="s">
        <v>685</v>
      </c>
      <c r="C635" t="s">
        <v>20</v>
      </c>
      <c r="D635" t="s">
        <v>80</v>
      </c>
      <c r="E635">
        <v>2</v>
      </c>
      <c r="F635" s="3">
        <v>4599.41</v>
      </c>
      <c r="G635" s="4">
        <v>0.6</v>
      </c>
      <c r="H635" s="3">
        <v>9198.82</v>
      </c>
      <c r="I635" s="1">
        <v>45651</v>
      </c>
      <c r="J635" t="s">
        <v>15</v>
      </c>
      <c r="K635" t="s">
        <v>23</v>
      </c>
      <c r="L635" s="3">
        <v>3679.5280000000002</v>
      </c>
      <c r="M635" t="s">
        <v>11</v>
      </c>
    </row>
    <row r="636" spans="1:13" x14ac:dyDescent="0.3">
      <c r="A636">
        <v>1634</v>
      </c>
      <c r="B636" t="s">
        <v>686</v>
      </c>
      <c r="C636" t="s">
        <v>20</v>
      </c>
      <c r="D636" t="s">
        <v>21</v>
      </c>
      <c r="E636">
        <v>2</v>
      </c>
      <c r="F636" s="3">
        <v>2681.1743636363635</v>
      </c>
      <c r="G636" s="4">
        <v>0.6</v>
      </c>
      <c r="H636" s="3">
        <v>5362.348727272727</v>
      </c>
      <c r="I636" s="1">
        <v>45748</v>
      </c>
      <c r="J636" t="s">
        <v>18</v>
      </c>
      <c r="K636" t="s">
        <v>23</v>
      </c>
      <c r="L636" s="3">
        <v>2144.9394909090911</v>
      </c>
      <c r="M636" t="s">
        <v>11</v>
      </c>
    </row>
    <row r="637" spans="1:13" x14ac:dyDescent="0.3">
      <c r="A637">
        <v>1635</v>
      </c>
      <c r="B637" t="s">
        <v>687</v>
      </c>
      <c r="C637" t="s">
        <v>29</v>
      </c>
      <c r="D637" t="s">
        <v>141</v>
      </c>
      <c r="E637">
        <v>2</v>
      </c>
      <c r="F637" s="3">
        <v>2462.79</v>
      </c>
      <c r="G637" s="4">
        <v>0.6</v>
      </c>
      <c r="H637" s="3">
        <v>4925.58</v>
      </c>
      <c r="I637" s="1">
        <v>45520</v>
      </c>
      <c r="J637" t="s">
        <v>15</v>
      </c>
      <c r="K637" t="s">
        <v>16</v>
      </c>
      <c r="L637" s="3">
        <v>1970.232</v>
      </c>
      <c r="M637" t="s">
        <v>11</v>
      </c>
    </row>
    <row r="638" spans="1:13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F638" s="3">
        <v>2725.8557142857148</v>
      </c>
      <c r="G638" s="4">
        <v>0.6</v>
      </c>
      <c r="H638" s="3">
        <v>-5451.7114285714297</v>
      </c>
      <c r="I638" s="1">
        <v>45817</v>
      </c>
      <c r="J638" t="s">
        <v>46</v>
      </c>
      <c r="K638" t="s">
        <v>16</v>
      </c>
      <c r="L638" s="3">
        <v>-2180.6845714285719</v>
      </c>
      <c r="M638" t="s">
        <v>2518</v>
      </c>
    </row>
    <row r="639" spans="1:13" x14ac:dyDescent="0.3">
      <c r="A639">
        <v>1637</v>
      </c>
      <c r="B639" t="s">
        <v>689</v>
      </c>
      <c r="C639" t="s">
        <v>25</v>
      </c>
      <c r="D639" t="s">
        <v>66</v>
      </c>
      <c r="E639">
        <v>2</v>
      </c>
      <c r="F639" s="3">
        <v>2644.73</v>
      </c>
      <c r="G639" s="4">
        <v>0.6</v>
      </c>
      <c r="H639" s="3">
        <v>5289.46</v>
      </c>
      <c r="I639" s="1">
        <v>45782</v>
      </c>
      <c r="J639" t="s">
        <v>15</v>
      </c>
      <c r="K639" t="s">
        <v>23</v>
      </c>
      <c r="L639" s="3">
        <v>2115.7840000000001</v>
      </c>
      <c r="M639" t="s">
        <v>11</v>
      </c>
    </row>
    <row r="640" spans="1:13" x14ac:dyDescent="0.3">
      <c r="A640">
        <v>1638</v>
      </c>
      <c r="B640" t="s">
        <v>559</v>
      </c>
      <c r="C640" t="s">
        <v>13</v>
      </c>
      <c r="D640" t="s">
        <v>36</v>
      </c>
      <c r="E640">
        <v>2</v>
      </c>
      <c r="F640" s="3">
        <v>2882.5046551724135</v>
      </c>
      <c r="G640" s="4">
        <v>0.54</v>
      </c>
      <c r="H640" s="3">
        <v>5765.0093103448271</v>
      </c>
      <c r="I640" s="1">
        <v>45758</v>
      </c>
      <c r="J640" t="s">
        <v>22</v>
      </c>
      <c r="K640" t="s">
        <v>23</v>
      </c>
      <c r="L640" s="3">
        <v>2651.9042827586204</v>
      </c>
      <c r="M640" t="s">
        <v>11</v>
      </c>
    </row>
    <row r="641" spans="1:13" x14ac:dyDescent="0.3">
      <c r="A641">
        <v>1639</v>
      </c>
      <c r="B641" t="s">
        <v>690</v>
      </c>
      <c r="C641" t="s">
        <v>13</v>
      </c>
      <c r="D641" t="s">
        <v>36</v>
      </c>
      <c r="E641">
        <v>2</v>
      </c>
      <c r="F641" s="3">
        <v>4183.22</v>
      </c>
      <c r="G641" s="4">
        <v>0.6</v>
      </c>
      <c r="H641" s="3">
        <v>8366.44</v>
      </c>
      <c r="I641" s="1">
        <v>45840</v>
      </c>
      <c r="J641" t="s">
        <v>40</v>
      </c>
      <c r="K641" t="s">
        <v>23</v>
      </c>
      <c r="L641" s="3">
        <v>3346.5760000000005</v>
      </c>
      <c r="M641" t="s">
        <v>11</v>
      </c>
    </row>
    <row r="642" spans="1:13" x14ac:dyDescent="0.3">
      <c r="A642">
        <v>1640</v>
      </c>
      <c r="B642" t="s">
        <v>691</v>
      </c>
      <c r="C642" t="s">
        <v>29</v>
      </c>
      <c r="D642" t="s">
        <v>30</v>
      </c>
      <c r="E642">
        <v>2</v>
      </c>
      <c r="F642" s="3">
        <v>2617.6390384615388</v>
      </c>
      <c r="G642" s="4">
        <v>0.6</v>
      </c>
      <c r="H642" s="3">
        <v>5235.2780769230776</v>
      </c>
      <c r="I642" s="1">
        <v>45629</v>
      </c>
      <c r="J642" t="s">
        <v>46</v>
      </c>
      <c r="K642" t="s">
        <v>16</v>
      </c>
      <c r="L642" s="3">
        <v>2094.111230769231</v>
      </c>
      <c r="M642" t="s">
        <v>11</v>
      </c>
    </row>
    <row r="643" spans="1:13" x14ac:dyDescent="0.3">
      <c r="A643">
        <v>1641</v>
      </c>
      <c r="B643" t="s">
        <v>692</v>
      </c>
      <c r="C643" t="s">
        <v>29</v>
      </c>
      <c r="D643" t="s">
        <v>141</v>
      </c>
      <c r="E643">
        <v>2</v>
      </c>
      <c r="F643" s="3">
        <v>1278.98</v>
      </c>
      <c r="G643" s="4">
        <v>0.54</v>
      </c>
      <c r="H643" s="3">
        <v>2557.96</v>
      </c>
      <c r="I643" s="1">
        <v>45830</v>
      </c>
      <c r="J643" t="s">
        <v>18</v>
      </c>
      <c r="K643" t="s">
        <v>16</v>
      </c>
      <c r="L643" s="3">
        <v>1176.6615999999999</v>
      </c>
      <c r="M643" t="s">
        <v>11</v>
      </c>
    </row>
    <row r="644" spans="1:13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F644" s="3">
        <v>2725.8557142857148</v>
      </c>
      <c r="G644" s="4">
        <v>0.6</v>
      </c>
      <c r="H644" s="3">
        <v>8177.5671428571441</v>
      </c>
      <c r="I644" s="1">
        <v>45545</v>
      </c>
      <c r="J644" t="s">
        <v>56</v>
      </c>
      <c r="K644" t="s">
        <v>16</v>
      </c>
      <c r="L644" s="3">
        <v>3271.0268571428578</v>
      </c>
      <c r="M644" t="s">
        <v>11</v>
      </c>
    </row>
    <row r="645" spans="1:13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F645" s="3">
        <v>2501.5309999999999</v>
      </c>
      <c r="G645" s="4">
        <v>0.35</v>
      </c>
      <c r="H645" s="3">
        <v>-2501.5309999999999</v>
      </c>
      <c r="I645" s="1">
        <v>45559</v>
      </c>
      <c r="J645" t="s">
        <v>40</v>
      </c>
      <c r="K645" t="s">
        <v>23</v>
      </c>
      <c r="L645" s="3">
        <v>-1625.99515</v>
      </c>
      <c r="M645" t="s">
        <v>2518</v>
      </c>
    </row>
    <row r="646" spans="1:13" x14ac:dyDescent="0.3">
      <c r="A646">
        <v>1644</v>
      </c>
      <c r="B646" t="s">
        <v>695</v>
      </c>
      <c r="C646" t="s">
        <v>38</v>
      </c>
      <c r="D646" t="s">
        <v>63</v>
      </c>
      <c r="E646">
        <v>2</v>
      </c>
      <c r="F646" s="3">
        <v>2845.2419672131159</v>
      </c>
      <c r="G646" s="4">
        <v>0.6</v>
      </c>
      <c r="H646" s="3">
        <v>5690.4839344262318</v>
      </c>
      <c r="I646" s="1">
        <v>45782</v>
      </c>
      <c r="J646" t="s">
        <v>56</v>
      </c>
      <c r="K646" t="s">
        <v>16</v>
      </c>
      <c r="L646" s="3">
        <v>2276.193573770493</v>
      </c>
      <c r="M646" t="s">
        <v>11</v>
      </c>
    </row>
    <row r="647" spans="1:13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 s="3">
        <v>2660.45</v>
      </c>
      <c r="G647" s="4">
        <v>0.22</v>
      </c>
      <c r="H647" s="3">
        <v>-5320.9</v>
      </c>
      <c r="I647" s="1">
        <v>45207</v>
      </c>
      <c r="J647" t="s">
        <v>40</v>
      </c>
      <c r="K647" t="s">
        <v>23</v>
      </c>
      <c r="L647" s="3">
        <v>-4150.3019999999997</v>
      </c>
      <c r="M647" t="s">
        <v>2518</v>
      </c>
    </row>
    <row r="648" spans="1:13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 s="3">
        <v>3393.47</v>
      </c>
      <c r="G648" s="4">
        <v>0.38</v>
      </c>
      <c r="H648" s="3">
        <v>0</v>
      </c>
      <c r="I648" s="1">
        <v>45695</v>
      </c>
      <c r="J648" t="s">
        <v>18</v>
      </c>
      <c r="K648" t="s">
        <v>23</v>
      </c>
      <c r="L648" s="3">
        <v>0</v>
      </c>
      <c r="M648" t="s">
        <v>2518</v>
      </c>
    </row>
    <row r="649" spans="1:13" x14ac:dyDescent="0.3">
      <c r="A649">
        <v>1647</v>
      </c>
      <c r="B649" t="s">
        <v>698</v>
      </c>
      <c r="C649" t="s">
        <v>25</v>
      </c>
      <c r="D649" t="s">
        <v>86</v>
      </c>
      <c r="E649">
        <v>2</v>
      </c>
      <c r="F649" s="3">
        <v>498.95</v>
      </c>
      <c r="G649" s="4">
        <v>1.19</v>
      </c>
      <c r="H649" s="3">
        <v>997.9</v>
      </c>
      <c r="I649" s="1">
        <v>45837</v>
      </c>
      <c r="J649" t="s">
        <v>22</v>
      </c>
      <c r="K649" t="s">
        <v>16</v>
      </c>
      <c r="L649" s="3">
        <v>-189.60099999999994</v>
      </c>
      <c r="M649" t="s">
        <v>2518</v>
      </c>
    </row>
    <row r="650" spans="1:13" x14ac:dyDescent="0.3">
      <c r="A650">
        <v>1648</v>
      </c>
      <c r="B650" t="s">
        <v>699</v>
      </c>
      <c r="C650" t="s">
        <v>20</v>
      </c>
      <c r="D650" t="s">
        <v>80</v>
      </c>
      <c r="E650">
        <v>2</v>
      </c>
      <c r="F650" s="3">
        <v>2483.5844000000002</v>
      </c>
      <c r="G650" s="4">
        <v>0.6</v>
      </c>
      <c r="H650" s="3">
        <v>4967.1688000000004</v>
      </c>
      <c r="I650" s="1">
        <v>45746</v>
      </c>
      <c r="J650" t="s">
        <v>22</v>
      </c>
      <c r="K650" t="s">
        <v>23</v>
      </c>
      <c r="L650" s="3">
        <v>1986.8675200000002</v>
      </c>
      <c r="M650" t="s">
        <v>11</v>
      </c>
    </row>
    <row r="651" spans="1:13" x14ac:dyDescent="0.3">
      <c r="A651">
        <v>1649</v>
      </c>
      <c r="B651" t="s">
        <v>700</v>
      </c>
      <c r="C651" t="s">
        <v>25</v>
      </c>
      <c r="D651" t="s">
        <v>86</v>
      </c>
      <c r="E651">
        <v>2</v>
      </c>
      <c r="F651" s="3">
        <v>2501.5309999999999</v>
      </c>
      <c r="G651" s="4">
        <v>0.06</v>
      </c>
      <c r="H651" s="3">
        <v>5003.0619999999999</v>
      </c>
      <c r="I651" s="1">
        <v>45666</v>
      </c>
      <c r="J651" t="s">
        <v>56</v>
      </c>
      <c r="K651" t="s">
        <v>23</v>
      </c>
      <c r="L651" s="3">
        <v>4702.8782799999999</v>
      </c>
      <c r="M651" t="s">
        <v>11</v>
      </c>
    </row>
    <row r="652" spans="1:13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F652" s="3">
        <v>2845.2419672131159</v>
      </c>
      <c r="G652" s="4">
        <v>0.96</v>
      </c>
      <c r="H652" s="3">
        <v>5690.4839344262318</v>
      </c>
      <c r="I652" s="1">
        <v>45617</v>
      </c>
      <c r="J652" t="s">
        <v>22</v>
      </c>
      <c r="K652" t="s">
        <v>23</v>
      </c>
      <c r="L652" s="3">
        <v>227.61935737704948</v>
      </c>
      <c r="M652" t="s">
        <v>2518</v>
      </c>
    </row>
    <row r="653" spans="1:13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F653" s="3">
        <v>2530.3836538461546</v>
      </c>
      <c r="G653" s="4">
        <v>0.05</v>
      </c>
      <c r="H653" s="3">
        <v>7591.1509615384639</v>
      </c>
      <c r="I653" s="1">
        <v>45782</v>
      </c>
      <c r="J653" t="s">
        <v>22</v>
      </c>
      <c r="K653" t="s">
        <v>23</v>
      </c>
      <c r="L653" s="3">
        <v>7211.59341346154</v>
      </c>
      <c r="M653" t="s">
        <v>11</v>
      </c>
    </row>
    <row r="654" spans="1:13" x14ac:dyDescent="0.3">
      <c r="A654">
        <v>1652</v>
      </c>
      <c r="B654" t="s">
        <v>703</v>
      </c>
      <c r="C654" t="s">
        <v>38</v>
      </c>
      <c r="D654" t="s">
        <v>59</v>
      </c>
      <c r="E654">
        <v>2</v>
      </c>
      <c r="F654" s="3">
        <v>2375.56</v>
      </c>
      <c r="G654" s="4">
        <v>0.59</v>
      </c>
      <c r="H654" s="3">
        <v>4751.12</v>
      </c>
      <c r="I654" s="1">
        <v>45782</v>
      </c>
      <c r="J654" t="s">
        <v>56</v>
      </c>
      <c r="K654" t="s">
        <v>23</v>
      </c>
      <c r="L654" s="3">
        <v>1947.9592</v>
      </c>
      <c r="M654" t="s">
        <v>11</v>
      </c>
    </row>
    <row r="655" spans="1:13" x14ac:dyDescent="0.3">
      <c r="A655">
        <v>1653</v>
      </c>
      <c r="B655" t="s">
        <v>704</v>
      </c>
      <c r="C655" t="s">
        <v>20</v>
      </c>
      <c r="D655" t="s">
        <v>88</v>
      </c>
      <c r="E655">
        <v>2</v>
      </c>
      <c r="F655" s="3">
        <v>2563.6</v>
      </c>
      <c r="G655" s="4">
        <v>0.88</v>
      </c>
      <c r="H655" s="3">
        <v>5127.2</v>
      </c>
      <c r="I655" s="1">
        <v>45822</v>
      </c>
      <c r="J655" t="s">
        <v>22</v>
      </c>
      <c r="K655" t="s">
        <v>23</v>
      </c>
      <c r="L655" s="3">
        <v>615.26400000000001</v>
      </c>
      <c r="M655" t="s">
        <v>11</v>
      </c>
    </row>
    <row r="656" spans="1:13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F656" s="3">
        <v>2462.79</v>
      </c>
      <c r="G656" s="4">
        <v>0.6</v>
      </c>
      <c r="H656" s="3">
        <v>2462.79</v>
      </c>
      <c r="I656" s="1">
        <v>45523</v>
      </c>
      <c r="J656" t="s">
        <v>18</v>
      </c>
      <c r="K656" t="s">
        <v>23</v>
      </c>
      <c r="L656" s="3">
        <v>985.11599999999999</v>
      </c>
      <c r="M656" t="s">
        <v>11</v>
      </c>
    </row>
    <row r="657" spans="1:13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 s="3">
        <v>1385.86</v>
      </c>
      <c r="G657" s="4">
        <v>0.71</v>
      </c>
      <c r="H657" s="3">
        <v>6929.2999999999993</v>
      </c>
      <c r="I657" s="1">
        <v>45809</v>
      </c>
      <c r="J657" t="s">
        <v>22</v>
      </c>
      <c r="K657" t="s">
        <v>16</v>
      </c>
      <c r="L657" s="3">
        <v>2009.4970000000001</v>
      </c>
      <c r="M657" t="s">
        <v>11</v>
      </c>
    </row>
    <row r="658" spans="1:13" x14ac:dyDescent="0.3">
      <c r="A658">
        <v>1656</v>
      </c>
      <c r="B658" t="s">
        <v>707</v>
      </c>
      <c r="C658" t="s">
        <v>25</v>
      </c>
      <c r="D658" t="s">
        <v>66</v>
      </c>
      <c r="E658">
        <v>2</v>
      </c>
      <c r="F658" s="3">
        <v>2572.7764000000006</v>
      </c>
      <c r="G658" s="4">
        <v>0.6</v>
      </c>
      <c r="H658" s="3">
        <v>5145.5528000000013</v>
      </c>
      <c r="I658" s="1">
        <v>45647</v>
      </c>
      <c r="J658" t="s">
        <v>15</v>
      </c>
      <c r="K658" t="s">
        <v>23</v>
      </c>
      <c r="L658" s="3">
        <v>2058.2211200000006</v>
      </c>
      <c r="M658" t="s">
        <v>11</v>
      </c>
    </row>
    <row r="659" spans="1:13" x14ac:dyDescent="0.3">
      <c r="A659">
        <v>1657</v>
      </c>
      <c r="B659" t="s">
        <v>708</v>
      </c>
      <c r="C659" t="s">
        <v>13</v>
      </c>
      <c r="D659" t="s">
        <v>102</v>
      </c>
      <c r="E659">
        <v>2</v>
      </c>
      <c r="F659" s="3">
        <v>2576.3056896551716</v>
      </c>
      <c r="G659" s="4">
        <v>0.6</v>
      </c>
      <c r="H659" s="3">
        <v>5152.6113793103432</v>
      </c>
      <c r="I659" s="1">
        <v>45520</v>
      </c>
      <c r="J659" t="s">
        <v>40</v>
      </c>
      <c r="K659" t="s">
        <v>23</v>
      </c>
      <c r="L659" s="3">
        <v>2061.0445517241374</v>
      </c>
      <c r="M659" t="s">
        <v>11</v>
      </c>
    </row>
    <row r="660" spans="1:13" x14ac:dyDescent="0.3">
      <c r="A660">
        <v>1658</v>
      </c>
      <c r="B660" t="s">
        <v>709</v>
      </c>
      <c r="C660" t="s">
        <v>20</v>
      </c>
      <c r="D660" t="s">
        <v>21</v>
      </c>
      <c r="E660">
        <v>2</v>
      </c>
      <c r="F660" s="3">
        <v>2681.1743636363635</v>
      </c>
      <c r="G660" s="4">
        <v>0.6</v>
      </c>
      <c r="H660" s="3">
        <v>5362.348727272727</v>
      </c>
      <c r="I660" s="1">
        <v>45750</v>
      </c>
      <c r="J660" t="s">
        <v>40</v>
      </c>
      <c r="K660" t="s">
        <v>23</v>
      </c>
      <c r="L660" s="3">
        <v>2144.9394909090911</v>
      </c>
      <c r="M660" t="s">
        <v>11</v>
      </c>
    </row>
    <row r="661" spans="1:13" x14ac:dyDescent="0.3">
      <c r="A661">
        <v>1659</v>
      </c>
      <c r="B661" t="s">
        <v>710</v>
      </c>
      <c r="C661" t="s">
        <v>25</v>
      </c>
      <c r="D661" t="s">
        <v>54</v>
      </c>
      <c r="E661">
        <v>2</v>
      </c>
      <c r="F661" s="3">
        <v>1014.86</v>
      </c>
      <c r="G661" s="4">
        <v>0.31</v>
      </c>
      <c r="H661" s="3">
        <v>2029.72</v>
      </c>
      <c r="I661" s="1">
        <v>45782</v>
      </c>
      <c r="J661" t="s">
        <v>46</v>
      </c>
      <c r="K661" t="s">
        <v>16</v>
      </c>
      <c r="L661" s="3">
        <v>1400.5067999999999</v>
      </c>
      <c r="M661" t="s">
        <v>11</v>
      </c>
    </row>
    <row r="662" spans="1:13" x14ac:dyDescent="0.3">
      <c r="A662">
        <v>1660</v>
      </c>
      <c r="B662" t="s">
        <v>711</v>
      </c>
      <c r="C662" t="s">
        <v>13</v>
      </c>
      <c r="D662" t="s">
        <v>14</v>
      </c>
      <c r="E662">
        <v>2</v>
      </c>
      <c r="F662" s="3">
        <v>2381.2677586206896</v>
      </c>
      <c r="G662" s="4">
        <v>1.1000000000000001</v>
      </c>
      <c r="H662" s="3">
        <v>4762.5355172413792</v>
      </c>
      <c r="I662" s="1">
        <v>45737</v>
      </c>
      <c r="J662" t="s">
        <v>22</v>
      </c>
      <c r="K662" t="s">
        <v>23</v>
      </c>
      <c r="L662" s="3">
        <v>-476.25355172413833</v>
      </c>
      <c r="M662" t="s">
        <v>2518</v>
      </c>
    </row>
    <row r="663" spans="1:13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F663" s="3">
        <v>2501.5309999999999</v>
      </c>
      <c r="G663" s="4">
        <v>0.6</v>
      </c>
      <c r="H663" s="3">
        <v>-5003.0619999999999</v>
      </c>
      <c r="I663" s="1">
        <v>45633</v>
      </c>
      <c r="J663" t="s">
        <v>40</v>
      </c>
      <c r="K663" t="s">
        <v>23</v>
      </c>
      <c r="L663" s="3">
        <v>-2001.2248</v>
      </c>
      <c r="M663" t="s">
        <v>2518</v>
      </c>
    </row>
    <row r="664" spans="1:13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F664" s="3">
        <v>2617.6390384615388</v>
      </c>
      <c r="G664" s="4">
        <v>0.96</v>
      </c>
      <c r="H664" s="3">
        <v>15705.834230769233</v>
      </c>
      <c r="I664" s="1">
        <v>45782</v>
      </c>
      <c r="J664" t="s">
        <v>18</v>
      </c>
      <c r="K664" t="s">
        <v>16</v>
      </c>
      <c r="L664" s="3">
        <v>628.23336923076988</v>
      </c>
      <c r="M664" t="s">
        <v>11</v>
      </c>
    </row>
    <row r="665" spans="1:13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F665" s="3">
        <v>2888.8714285714286</v>
      </c>
      <c r="G665" s="4">
        <v>0.6</v>
      </c>
      <c r="H665" s="3">
        <v>8666.6142857142859</v>
      </c>
      <c r="I665" s="1">
        <v>45514</v>
      </c>
      <c r="J665" t="s">
        <v>40</v>
      </c>
      <c r="K665" t="s">
        <v>23</v>
      </c>
      <c r="L665" s="3">
        <v>3466.6457142857143</v>
      </c>
      <c r="M665" t="s">
        <v>11</v>
      </c>
    </row>
    <row r="666" spans="1:13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F666" s="3">
        <v>2501.5309999999999</v>
      </c>
      <c r="G666" s="4">
        <v>0.6</v>
      </c>
      <c r="H666" s="3">
        <v>-2501.5309999999999</v>
      </c>
      <c r="I666" s="1">
        <v>45797</v>
      </c>
      <c r="J666" t="s">
        <v>56</v>
      </c>
      <c r="K666" t="s">
        <v>23</v>
      </c>
      <c r="L666" s="3">
        <v>-1000.6124</v>
      </c>
      <c r="M666" t="s">
        <v>2518</v>
      </c>
    </row>
    <row r="667" spans="1:13" x14ac:dyDescent="0.3">
      <c r="A667">
        <v>1665</v>
      </c>
      <c r="B667" t="s">
        <v>716</v>
      </c>
      <c r="C667" t="s">
        <v>33</v>
      </c>
      <c r="D667" t="s">
        <v>34</v>
      </c>
      <c r="E667">
        <v>2</v>
      </c>
      <c r="F667" s="3">
        <v>4504.03</v>
      </c>
      <c r="G667" s="4">
        <v>0.6</v>
      </c>
      <c r="H667" s="3">
        <v>9008.06</v>
      </c>
      <c r="I667" s="1">
        <v>45739</v>
      </c>
      <c r="J667" t="s">
        <v>15</v>
      </c>
      <c r="K667" t="s">
        <v>16</v>
      </c>
      <c r="L667" s="3">
        <v>3603.2240000000002</v>
      </c>
      <c r="M667" t="s">
        <v>11</v>
      </c>
    </row>
    <row r="668" spans="1:13" x14ac:dyDescent="0.3">
      <c r="A668">
        <v>1666</v>
      </c>
      <c r="B668" t="s">
        <v>717</v>
      </c>
      <c r="C668" t="s">
        <v>13</v>
      </c>
      <c r="D668" t="s">
        <v>49</v>
      </c>
      <c r="E668">
        <v>2</v>
      </c>
      <c r="F668" s="3">
        <v>973.63</v>
      </c>
      <c r="G668" s="4">
        <v>0.6</v>
      </c>
      <c r="H668" s="3">
        <v>1947.26</v>
      </c>
      <c r="I668" s="1">
        <v>45609</v>
      </c>
      <c r="J668" t="s">
        <v>15</v>
      </c>
      <c r="K668" t="s">
        <v>16</v>
      </c>
      <c r="L668" s="3">
        <v>778.904</v>
      </c>
      <c r="M668" t="s">
        <v>11</v>
      </c>
    </row>
    <row r="669" spans="1:13" x14ac:dyDescent="0.3">
      <c r="A669">
        <v>1667</v>
      </c>
      <c r="B669" t="s">
        <v>718</v>
      </c>
      <c r="C669" t="s">
        <v>25</v>
      </c>
      <c r="D669" t="s">
        <v>54</v>
      </c>
      <c r="E669">
        <v>2</v>
      </c>
      <c r="F669" s="3">
        <v>4021</v>
      </c>
      <c r="G669" s="4">
        <v>0.6</v>
      </c>
      <c r="H669" s="3">
        <v>8042</v>
      </c>
      <c r="I669" s="1">
        <v>45598</v>
      </c>
      <c r="J669" t="s">
        <v>22</v>
      </c>
      <c r="K669" t="s">
        <v>23</v>
      </c>
      <c r="L669" s="3">
        <v>3216.8</v>
      </c>
      <c r="M669" t="s">
        <v>11</v>
      </c>
    </row>
    <row r="670" spans="1:13" x14ac:dyDescent="0.3">
      <c r="A670">
        <v>1668</v>
      </c>
      <c r="B670" t="s">
        <v>719</v>
      </c>
      <c r="C670" t="s">
        <v>13</v>
      </c>
      <c r="D670" t="s">
        <v>36</v>
      </c>
      <c r="E670">
        <v>2</v>
      </c>
      <c r="F670" s="3">
        <v>2534.08</v>
      </c>
      <c r="G670" s="4">
        <v>0.6</v>
      </c>
      <c r="H670" s="3">
        <v>5068.16</v>
      </c>
      <c r="I670" s="1">
        <v>45587</v>
      </c>
      <c r="J670" t="s">
        <v>56</v>
      </c>
      <c r="K670" t="s">
        <v>23</v>
      </c>
      <c r="L670" s="3">
        <v>2027.2640000000001</v>
      </c>
      <c r="M670" t="s">
        <v>11</v>
      </c>
    </row>
    <row r="671" spans="1:13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 s="3">
        <v>1838.63</v>
      </c>
      <c r="G671" s="4">
        <v>0.6</v>
      </c>
      <c r="H671" s="3">
        <v>0</v>
      </c>
      <c r="I671" s="1">
        <v>45782</v>
      </c>
      <c r="J671" t="s">
        <v>46</v>
      </c>
      <c r="K671" t="s">
        <v>16</v>
      </c>
      <c r="L671" s="3">
        <v>0</v>
      </c>
      <c r="M671" t="s">
        <v>2518</v>
      </c>
    </row>
    <row r="672" spans="1:13" x14ac:dyDescent="0.3">
      <c r="A672">
        <v>1670</v>
      </c>
      <c r="B672" t="s">
        <v>721</v>
      </c>
      <c r="C672" t="s">
        <v>33</v>
      </c>
      <c r="D672" t="s">
        <v>72</v>
      </c>
      <c r="E672">
        <v>2</v>
      </c>
      <c r="F672" s="3">
        <v>2715.5458490566025</v>
      </c>
      <c r="G672" s="4">
        <v>0.69</v>
      </c>
      <c r="H672" s="3">
        <v>5431.091698113205</v>
      </c>
      <c r="I672" s="1">
        <v>45518</v>
      </c>
      <c r="J672" t="s">
        <v>56</v>
      </c>
      <c r="K672" t="s">
        <v>23</v>
      </c>
      <c r="L672" s="3">
        <v>1683.6384264150938</v>
      </c>
      <c r="M672" t="s">
        <v>11</v>
      </c>
    </row>
    <row r="673" spans="1:13" x14ac:dyDescent="0.3">
      <c r="A673">
        <v>1671</v>
      </c>
      <c r="B673" t="s">
        <v>722</v>
      </c>
      <c r="C673" t="s">
        <v>13</v>
      </c>
      <c r="D673" t="s">
        <v>14</v>
      </c>
      <c r="E673">
        <v>2</v>
      </c>
      <c r="F673" s="3">
        <v>4417.34</v>
      </c>
      <c r="G673" s="4">
        <v>0.6</v>
      </c>
      <c r="H673" s="3">
        <v>8834.68</v>
      </c>
      <c r="I673" s="1">
        <v>45626</v>
      </c>
      <c r="J673" t="s">
        <v>18</v>
      </c>
      <c r="K673" t="s">
        <v>23</v>
      </c>
      <c r="L673" s="3">
        <v>3533.8720000000003</v>
      </c>
      <c r="M673" t="s">
        <v>11</v>
      </c>
    </row>
    <row r="674" spans="1:13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F674" s="3">
        <v>2617.6390384615388</v>
      </c>
      <c r="G674" s="4">
        <v>0.6</v>
      </c>
      <c r="H674" s="3">
        <v>13088.195192307694</v>
      </c>
      <c r="I674" s="1">
        <v>45782</v>
      </c>
      <c r="J674" t="s">
        <v>15</v>
      </c>
      <c r="K674" t="s">
        <v>23</v>
      </c>
      <c r="L674" s="3">
        <v>5235.2780769230776</v>
      </c>
      <c r="M674" t="s">
        <v>11</v>
      </c>
    </row>
    <row r="675" spans="1:13" x14ac:dyDescent="0.3">
      <c r="A675">
        <v>1673</v>
      </c>
      <c r="B675" t="s">
        <v>724</v>
      </c>
      <c r="C675" t="s">
        <v>29</v>
      </c>
      <c r="D675" t="s">
        <v>120</v>
      </c>
      <c r="E675">
        <v>2</v>
      </c>
      <c r="F675" s="3">
        <v>3992.21</v>
      </c>
      <c r="G675" s="4">
        <v>0.67</v>
      </c>
      <c r="H675" s="3">
        <v>7984.42</v>
      </c>
      <c r="I675" s="1">
        <v>45782</v>
      </c>
      <c r="J675" t="s">
        <v>22</v>
      </c>
      <c r="K675" t="s">
        <v>23</v>
      </c>
      <c r="L675" s="3">
        <v>2634.8585999999996</v>
      </c>
      <c r="M675" t="s">
        <v>11</v>
      </c>
    </row>
    <row r="676" spans="1:13" x14ac:dyDescent="0.3">
      <c r="A676">
        <v>1674</v>
      </c>
      <c r="B676" t="s">
        <v>725</v>
      </c>
      <c r="C676" t="s">
        <v>13</v>
      </c>
      <c r="D676" t="s">
        <v>49</v>
      </c>
      <c r="E676">
        <v>2</v>
      </c>
      <c r="F676" s="3">
        <v>2785.0877966101693</v>
      </c>
      <c r="G676" s="4">
        <v>0.19</v>
      </c>
      <c r="H676" s="3">
        <v>5570.1755932203387</v>
      </c>
      <c r="I676" s="1">
        <v>45781</v>
      </c>
      <c r="J676" t="s">
        <v>40</v>
      </c>
      <c r="K676" t="s">
        <v>23</v>
      </c>
      <c r="L676" s="3">
        <v>4511.842230508475</v>
      </c>
      <c r="M676" t="s">
        <v>11</v>
      </c>
    </row>
    <row r="677" spans="1:13" x14ac:dyDescent="0.3">
      <c r="A677">
        <v>1675</v>
      </c>
      <c r="B677" t="s">
        <v>726</v>
      </c>
      <c r="C677" t="s">
        <v>38</v>
      </c>
      <c r="D677" t="s">
        <v>39</v>
      </c>
      <c r="E677">
        <v>2</v>
      </c>
      <c r="F677" s="3">
        <v>3008.3844444444444</v>
      </c>
      <c r="G677" s="4">
        <v>0.6</v>
      </c>
      <c r="H677" s="3">
        <v>6016.7688888888888</v>
      </c>
      <c r="I677" s="1">
        <v>45778</v>
      </c>
      <c r="J677" t="s">
        <v>22</v>
      </c>
      <c r="K677" t="s">
        <v>16</v>
      </c>
      <c r="L677" s="3">
        <v>2406.7075555555557</v>
      </c>
      <c r="M677" t="s">
        <v>11</v>
      </c>
    </row>
    <row r="678" spans="1:13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 s="3">
        <v>4351.82</v>
      </c>
      <c r="G678" s="4">
        <v>0.6</v>
      </c>
      <c r="H678" s="3">
        <v>0</v>
      </c>
      <c r="I678" s="1">
        <v>45782</v>
      </c>
      <c r="J678" t="s">
        <v>40</v>
      </c>
      <c r="K678" t="s">
        <v>23</v>
      </c>
      <c r="L678" s="3">
        <v>0</v>
      </c>
      <c r="M678" t="s">
        <v>2518</v>
      </c>
    </row>
    <row r="679" spans="1:13" x14ac:dyDescent="0.3">
      <c r="A679">
        <v>1677</v>
      </c>
      <c r="B679" t="s">
        <v>728</v>
      </c>
      <c r="C679" t="s">
        <v>20</v>
      </c>
      <c r="D679" t="s">
        <v>80</v>
      </c>
      <c r="E679">
        <v>2</v>
      </c>
      <c r="F679" s="3">
        <v>4639.8599999999997</v>
      </c>
      <c r="G679" s="4">
        <v>0.69</v>
      </c>
      <c r="H679" s="3">
        <v>9279.7199999999993</v>
      </c>
      <c r="I679" s="1">
        <v>45209</v>
      </c>
      <c r="J679" t="s">
        <v>56</v>
      </c>
      <c r="K679" t="s">
        <v>23</v>
      </c>
      <c r="L679" s="3">
        <v>2876.7132000000001</v>
      </c>
      <c r="M679" t="s">
        <v>11</v>
      </c>
    </row>
    <row r="680" spans="1:13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 s="3">
        <v>1429.93</v>
      </c>
      <c r="G680" s="4">
        <v>0.6</v>
      </c>
      <c r="H680" s="3">
        <v>5719.72</v>
      </c>
      <c r="I680" s="1">
        <v>45610</v>
      </c>
      <c r="J680" t="s">
        <v>18</v>
      </c>
      <c r="K680" t="s">
        <v>23</v>
      </c>
      <c r="L680" s="3">
        <v>2287.8880000000004</v>
      </c>
      <c r="M680" t="s">
        <v>11</v>
      </c>
    </row>
    <row r="681" spans="1:13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 s="3">
        <v>4198.5</v>
      </c>
      <c r="G681" s="4">
        <v>0.6</v>
      </c>
      <c r="H681" s="3">
        <v>4198.5</v>
      </c>
      <c r="I681" s="1">
        <v>45494</v>
      </c>
      <c r="J681" t="s">
        <v>46</v>
      </c>
      <c r="K681" t="s">
        <v>23</v>
      </c>
      <c r="L681" s="3">
        <v>1679.4</v>
      </c>
      <c r="M681" t="s">
        <v>11</v>
      </c>
    </row>
    <row r="682" spans="1:13" x14ac:dyDescent="0.3">
      <c r="A682">
        <v>1680</v>
      </c>
      <c r="B682" t="s">
        <v>731</v>
      </c>
      <c r="C682" t="s">
        <v>13</v>
      </c>
      <c r="D682" t="s">
        <v>49</v>
      </c>
      <c r="E682">
        <v>2</v>
      </c>
      <c r="F682" s="3">
        <v>2785.0877966101693</v>
      </c>
      <c r="G682" s="4">
        <v>0.6</v>
      </c>
      <c r="H682" s="3">
        <v>5570.1755932203387</v>
      </c>
      <c r="I682" s="1">
        <v>45561</v>
      </c>
      <c r="J682" t="s">
        <v>18</v>
      </c>
      <c r="K682" t="s">
        <v>23</v>
      </c>
      <c r="L682" s="3">
        <v>2228.0702372881356</v>
      </c>
      <c r="M682" t="s">
        <v>11</v>
      </c>
    </row>
    <row r="683" spans="1:13" x14ac:dyDescent="0.3">
      <c r="A683">
        <v>1681</v>
      </c>
      <c r="B683" t="s">
        <v>732</v>
      </c>
      <c r="C683" t="s">
        <v>38</v>
      </c>
      <c r="D683" t="s">
        <v>59</v>
      </c>
      <c r="E683">
        <v>2</v>
      </c>
      <c r="F683" s="3">
        <v>2804.2651923076919</v>
      </c>
      <c r="G683" s="4">
        <v>0.26</v>
      </c>
      <c r="H683" s="3">
        <v>5608.5303846153838</v>
      </c>
      <c r="I683" s="1">
        <v>45337</v>
      </c>
      <c r="J683" t="s">
        <v>18</v>
      </c>
      <c r="K683" t="s">
        <v>23</v>
      </c>
      <c r="L683" s="3">
        <v>4150.3124846153842</v>
      </c>
      <c r="M683" t="s">
        <v>11</v>
      </c>
    </row>
    <row r="684" spans="1:13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 s="3">
        <v>4307.08</v>
      </c>
      <c r="G684" s="4">
        <v>1.26</v>
      </c>
      <c r="H684" s="3">
        <v>21535.4</v>
      </c>
      <c r="I684" s="1">
        <v>45654</v>
      </c>
      <c r="J684" t="s">
        <v>15</v>
      </c>
      <c r="K684" t="s">
        <v>16</v>
      </c>
      <c r="L684" s="3">
        <v>-5599.2040000000006</v>
      </c>
      <c r="M684" t="s">
        <v>2518</v>
      </c>
    </row>
    <row r="685" spans="1:13" x14ac:dyDescent="0.3">
      <c r="A685">
        <v>1683</v>
      </c>
      <c r="B685" t="s">
        <v>734</v>
      </c>
      <c r="C685" t="s">
        <v>13</v>
      </c>
      <c r="D685" t="s">
        <v>102</v>
      </c>
      <c r="E685">
        <v>2</v>
      </c>
      <c r="F685" s="3">
        <v>1743.64</v>
      </c>
      <c r="G685" s="4">
        <v>0.6</v>
      </c>
      <c r="H685" s="3">
        <v>3487.28</v>
      </c>
      <c r="I685" s="1">
        <v>45782</v>
      </c>
      <c r="J685" t="s">
        <v>46</v>
      </c>
      <c r="K685" t="s">
        <v>16</v>
      </c>
      <c r="L685" s="3">
        <v>1394.9120000000003</v>
      </c>
      <c r="M685" t="s">
        <v>11</v>
      </c>
    </row>
    <row r="686" spans="1:13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 s="3">
        <v>3537.97</v>
      </c>
      <c r="G686" s="4">
        <v>0.26</v>
      </c>
      <c r="H686" s="3">
        <v>-7075.94</v>
      </c>
      <c r="I686" s="1">
        <v>45509</v>
      </c>
      <c r="J686" t="s">
        <v>40</v>
      </c>
      <c r="K686" t="s">
        <v>23</v>
      </c>
      <c r="L686" s="3">
        <v>-5236.1956</v>
      </c>
      <c r="M686" t="s">
        <v>2518</v>
      </c>
    </row>
    <row r="687" spans="1:13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F687" s="3">
        <v>2868.7768181818178</v>
      </c>
      <c r="G687" s="4">
        <v>0.6</v>
      </c>
      <c r="H687" s="3">
        <v>11475.107272727271</v>
      </c>
      <c r="I687" s="1">
        <v>45782</v>
      </c>
      <c r="J687" t="s">
        <v>56</v>
      </c>
      <c r="K687" t="s">
        <v>23</v>
      </c>
      <c r="L687" s="3">
        <v>4590.0429090909083</v>
      </c>
      <c r="M687" t="s">
        <v>11</v>
      </c>
    </row>
    <row r="688" spans="1:13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F688" s="3">
        <v>2882.5046551724135</v>
      </c>
      <c r="G688" s="4">
        <v>0.06</v>
      </c>
      <c r="H688" s="3">
        <v>2882.5046551724135</v>
      </c>
      <c r="I688" s="1">
        <v>45782</v>
      </c>
      <c r="J688" t="s">
        <v>46</v>
      </c>
      <c r="K688" t="s">
        <v>23</v>
      </c>
      <c r="L688" s="3">
        <v>2709.5543758620688</v>
      </c>
      <c r="M688" t="s">
        <v>11</v>
      </c>
    </row>
    <row r="689" spans="1:13" x14ac:dyDescent="0.3">
      <c r="A689">
        <v>1687</v>
      </c>
      <c r="B689" t="s">
        <v>738</v>
      </c>
      <c r="C689" t="s">
        <v>20</v>
      </c>
      <c r="D689" t="s">
        <v>88</v>
      </c>
      <c r="E689">
        <v>2</v>
      </c>
      <c r="F689" s="3">
        <v>2725.8557142857148</v>
      </c>
      <c r="G689" s="4">
        <v>0.6</v>
      </c>
      <c r="H689" s="3">
        <v>5451.7114285714297</v>
      </c>
      <c r="I689" s="1">
        <v>45850</v>
      </c>
      <c r="J689" t="s">
        <v>56</v>
      </c>
      <c r="K689" t="s">
        <v>23</v>
      </c>
      <c r="L689" s="3">
        <v>2180.6845714285719</v>
      </c>
      <c r="M689" t="s">
        <v>11</v>
      </c>
    </row>
    <row r="690" spans="1:13" x14ac:dyDescent="0.3">
      <c r="A690">
        <v>1688</v>
      </c>
      <c r="B690" t="s">
        <v>739</v>
      </c>
      <c r="C690" t="s">
        <v>29</v>
      </c>
      <c r="D690" t="s">
        <v>120</v>
      </c>
      <c r="E690">
        <v>2</v>
      </c>
      <c r="F690" s="3">
        <v>4177.8599999999997</v>
      </c>
      <c r="G690" s="4">
        <v>0.6</v>
      </c>
      <c r="H690" s="3">
        <v>8355.7199999999993</v>
      </c>
      <c r="I690" s="1">
        <v>45782</v>
      </c>
      <c r="J690" t="s">
        <v>56</v>
      </c>
      <c r="K690" t="s">
        <v>23</v>
      </c>
      <c r="L690" s="3">
        <v>3342.288</v>
      </c>
      <c r="M690" t="s">
        <v>11</v>
      </c>
    </row>
    <row r="691" spans="1:13" x14ac:dyDescent="0.3">
      <c r="A691">
        <v>1689</v>
      </c>
      <c r="B691" t="s">
        <v>740</v>
      </c>
      <c r="C691" t="s">
        <v>33</v>
      </c>
      <c r="D691" t="s">
        <v>44</v>
      </c>
      <c r="E691">
        <v>2</v>
      </c>
      <c r="F691" s="3">
        <v>1193.48</v>
      </c>
      <c r="G691" s="4">
        <v>0.6</v>
      </c>
      <c r="H691" s="3">
        <v>2386.96</v>
      </c>
      <c r="I691" s="1">
        <v>45782</v>
      </c>
      <c r="J691" t="s">
        <v>46</v>
      </c>
      <c r="K691" t="s">
        <v>23</v>
      </c>
      <c r="L691" s="3">
        <v>954.78400000000011</v>
      </c>
      <c r="M691" t="s">
        <v>11</v>
      </c>
    </row>
    <row r="692" spans="1:13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 s="3">
        <v>1941.39</v>
      </c>
      <c r="G692" s="4">
        <v>0.54</v>
      </c>
      <c r="H692" s="3">
        <v>9706.9500000000007</v>
      </c>
      <c r="I692" s="1">
        <v>45720</v>
      </c>
      <c r="J692" t="s">
        <v>15</v>
      </c>
      <c r="K692" t="s">
        <v>16</v>
      </c>
      <c r="L692" s="3">
        <v>4465.1970000000001</v>
      </c>
      <c r="M692" t="s">
        <v>11</v>
      </c>
    </row>
    <row r="693" spans="1:13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 s="3">
        <v>2878.51</v>
      </c>
      <c r="G693" s="4">
        <v>0.6</v>
      </c>
      <c r="H693" s="3">
        <v>17271.060000000001</v>
      </c>
      <c r="I693" s="1">
        <v>45765</v>
      </c>
      <c r="J693" t="s">
        <v>22</v>
      </c>
      <c r="K693" t="s">
        <v>23</v>
      </c>
      <c r="L693" s="3">
        <v>6908.4240000000009</v>
      </c>
      <c r="M693" t="s">
        <v>11</v>
      </c>
    </row>
    <row r="694" spans="1:13" x14ac:dyDescent="0.3">
      <c r="A694">
        <v>1692</v>
      </c>
      <c r="B694" t="s">
        <v>743</v>
      </c>
      <c r="C694" t="s">
        <v>33</v>
      </c>
      <c r="D694" t="s">
        <v>44</v>
      </c>
      <c r="E694">
        <v>2</v>
      </c>
      <c r="F694" s="3">
        <v>2509.38</v>
      </c>
      <c r="G694" s="4">
        <v>0.67</v>
      </c>
      <c r="H694" s="3">
        <v>5018.76</v>
      </c>
      <c r="I694" s="1">
        <v>45567</v>
      </c>
      <c r="J694" t="s">
        <v>18</v>
      </c>
      <c r="K694" t="s">
        <v>16</v>
      </c>
      <c r="L694" s="3">
        <v>1656.1907999999999</v>
      </c>
      <c r="M694" t="s">
        <v>11</v>
      </c>
    </row>
    <row r="695" spans="1:13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F695" s="3">
        <v>2700.1263043478252</v>
      </c>
      <c r="G695" s="4">
        <v>0.6</v>
      </c>
      <c r="H695" s="3">
        <v>2700.1263043478252</v>
      </c>
      <c r="I695" s="1">
        <v>45562</v>
      </c>
      <c r="J695" t="s">
        <v>40</v>
      </c>
      <c r="K695" t="s">
        <v>16</v>
      </c>
      <c r="L695" s="3">
        <v>1080.0505217391301</v>
      </c>
      <c r="M695" t="s">
        <v>11</v>
      </c>
    </row>
    <row r="696" spans="1:13" x14ac:dyDescent="0.3">
      <c r="A696">
        <v>1694</v>
      </c>
      <c r="B696" t="s">
        <v>745</v>
      </c>
      <c r="C696" t="s">
        <v>13</v>
      </c>
      <c r="D696" t="s">
        <v>36</v>
      </c>
      <c r="E696">
        <v>2</v>
      </c>
      <c r="F696" s="3">
        <v>2882.5046551724135</v>
      </c>
      <c r="G696" s="4">
        <v>0.6</v>
      </c>
      <c r="H696" s="3">
        <v>5765.0093103448271</v>
      </c>
      <c r="I696" s="1">
        <v>45693</v>
      </c>
      <c r="J696" t="s">
        <v>56</v>
      </c>
      <c r="K696" t="s">
        <v>23</v>
      </c>
      <c r="L696" s="3">
        <v>2306.0037241379309</v>
      </c>
      <c r="M696" t="s">
        <v>11</v>
      </c>
    </row>
    <row r="697" spans="1:13" x14ac:dyDescent="0.3">
      <c r="A697">
        <v>1695</v>
      </c>
      <c r="B697" t="s">
        <v>746</v>
      </c>
      <c r="C697" t="s">
        <v>20</v>
      </c>
      <c r="D697" t="s">
        <v>122</v>
      </c>
      <c r="E697">
        <v>2</v>
      </c>
      <c r="F697" s="3">
        <v>3785.14</v>
      </c>
      <c r="G697" s="4">
        <v>0.6</v>
      </c>
      <c r="H697" s="3">
        <v>7570.28</v>
      </c>
      <c r="I697" s="1">
        <v>45782</v>
      </c>
      <c r="J697" t="s">
        <v>22</v>
      </c>
      <c r="K697" t="s">
        <v>16</v>
      </c>
      <c r="L697" s="3">
        <v>3028.1120000000001</v>
      </c>
      <c r="M697" t="s">
        <v>11</v>
      </c>
    </row>
    <row r="698" spans="1:13" x14ac:dyDescent="0.3">
      <c r="A698">
        <v>1696</v>
      </c>
      <c r="B698" t="s">
        <v>747</v>
      </c>
      <c r="C698" t="s">
        <v>25</v>
      </c>
      <c r="D698" t="s">
        <v>54</v>
      </c>
      <c r="E698">
        <v>2</v>
      </c>
      <c r="F698" s="3">
        <v>532.47</v>
      </c>
      <c r="G698" s="4">
        <v>0.6</v>
      </c>
      <c r="H698" s="3">
        <v>1064.94</v>
      </c>
      <c r="I698" s="1">
        <v>45782</v>
      </c>
      <c r="J698" t="s">
        <v>22</v>
      </c>
      <c r="K698" t="s">
        <v>23</v>
      </c>
      <c r="L698" s="3">
        <v>425.97600000000006</v>
      </c>
      <c r="M698" t="s">
        <v>2518</v>
      </c>
    </row>
    <row r="699" spans="1:13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 s="3">
        <v>1758.97</v>
      </c>
      <c r="G699" s="4">
        <v>0.6</v>
      </c>
      <c r="H699" s="3">
        <v>3517.94</v>
      </c>
      <c r="I699" s="1">
        <v>45700</v>
      </c>
      <c r="J699" t="s">
        <v>15</v>
      </c>
      <c r="K699" t="s">
        <v>23</v>
      </c>
      <c r="L699" s="3">
        <v>1407.1760000000002</v>
      </c>
      <c r="M699" t="s">
        <v>11</v>
      </c>
    </row>
    <row r="700" spans="1:13" x14ac:dyDescent="0.3">
      <c r="A700">
        <v>1698</v>
      </c>
      <c r="B700" t="s">
        <v>749</v>
      </c>
      <c r="C700" t="s">
        <v>25</v>
      </c>
      <c r="D700" t="s">
        <v>26</v>
      </c>
      <c r="E700">
        <v>2</v>
      </c>
      <c r="F700" s="3">
        <v>2111.87</v>
      </c>
      <c r="G700" s="4">
        <v>0.6</v>
      </c>
      <c r="H700" s="3">
        <v>4223.74</v>
      </c>
      <c r="I700" s="1">
        <v>45502</v>
      </c>
      <c r="J700" t="s">
        <v>56</v>
      </c>
      <c r="K700" t="s">
        <v>16</v>
      </c>
      <c r="L700" s="3">
        <v>1689.4960000000001</v>
      </c>
      <c r="M700" t="s">
        <v>11</v>
      </c>
    </row>
    <row r="701" spans="1:13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 s="3">
        <v>701.16</v>
      </c>
      <c r="G701" s="4">
        <v>0.6</v>
      </c>
      <c r="H701" s="3">
        <v>4206.96</v>
      </c>
      <c r="I701" s="1">
        <v>45697</v>
      </c>
      <c r="J701" t="s">
        <v>15</v>
      </c>
      <c r="K701" t="s">
        <v>16</v>
      </c>
      <c r="L701" s="3">
        <v>1682.7840000000001</v>
      </c>
      <c r="M701" t="s">
        <v>11</v>
      </c>
    </row>
    <row r="702" spans="1:13" x14ac:dyDescent="0.3">
      <c r="A702">
        <v>1700</v>
      </c>
      <c r="B702" t="s">
        <v>751</v>
      </c>
      <c r="C702" t="s">
        <v>33</v>
      </c>
      <c r="D702" t="s">
        <v>44</v>
      </c>
      <c r="E702">
        <v>2</v>
      </c>
      <c r="F702" s="3">
        <v>3332.06</v>
      </c>
      <c r="G702" s="4">
        <v>0.47</v>
      </c>
      <c r="H702" s="3">
        <v>6664.12</v>
      </c>
      <c r="I702" s="1">
        <v>45593</v>
      </c>
      <c r="J702" t="s">
        <v>22</v>
      </c>
      <c r="K702" t="s">
        <v>23</v>
      </c>
      <c r="L702" s="3">
        <v>3531.9836</v>
      </c>
      <c r="M702" t="s">
        <v>11</v>
      </c>
    </row>
    <row r="703" spans="1:13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 s="3">
        <v>3402.47</v>
      </c>
      <c r="G703" s="4">
        <v>1.05</v>
      </c>
      <c r="H703" s="3">
        <v>6804.94</v>
      </c>
      <c r="I703" s="1">
        <v>45782</v>
      </c>
      <c r="J703" t="s">
        <v>18</v>
      </c>
      <c r="K703" t="s">
        <v>23</v>
      </c>
      <c r="L703" s="3">
        <v>-340.2470000000003</v>
      </c>
      <c r="M703" t="s">
        <v>2518</v>
      </c>
    </row>
    <row r="704" spans="1:13" x14ac:dyDescent="0.3">
      <c r="A704">
        <v>1702</v>
      </c>
      <c r="B704" t="s">
        <v>753</v>
      </c>
      <c r="C704" t="s">
        <v>25</v>
      </c>
      <c r="D704" t="s">
        <v>54</v>
      </c>
      <c r="E704">
        <v>2</v>
      </c>
      <c r="F704" s="3">
        <v>792.36</v>
      </c>
      <c r="G704" s="4">
        <v>0.6</v>
      </c>
      <c r="H704" s="3">
        <v>1584.72</v>
      </c>
      <c r="I704" s="1">
        <v>45745</v>
      </c>
      <c r="J704" t="s">
        <v>18</v>
      </c>
      <c r="K704" t="s">
        <v>23</v>
      </c>
      <c r="L704" s="3">
        <v>633.88800000000003</v>
      </c>
      <c r="M704" t="s">
        <v>11</v>
      </c>
    </row>
    <row r="705" spans="1:13" x14ac:dyDescent="0.3">
      <c r="A705">
        <v>1703</v>
      </c>
      <c r="B705" t="s">
        <v>754</v>
      </c>
      <c r="C705" t="s">
        <v>13</v>
      </c>
      <c r="D705" t="s">
        <v>14</v>
      </c>
      <c r="E705">
        <v>2</v>
      </c>
      <c r="F705" s="3">
        <v>2381.2677586206896</v>
      </c>
      <c r="G705" s="4">
        <v>0.92</v>
      </c>
      <c r="H705" s="3">
        <v>4762.5355172413792</v>
      </c>
      <c r="I705" s="1">
        <v>45687</v>
      </c>
      <c r="J705" t="s">
        <v>46</v>
      </c>
      <c r="K705" t="s">
        <v>23</v>
      </c>
      <c r="L705" s="3">
        <v>381.00284137931015</v>
      </c>
      <c r="M705" t="s">
        <v>2518</v>
      </c>
    </row>
    <row r="706" spans="1:13" x14ac:dyDescent="0.3">
      <c r="A706">
        <v>1704</v>
      </c>
      <c r="B706" t="s">
        <v>755</v>
      </c>
      <c r="C706" t="s">
        <v>33</v>
      </c>
      <c r="D706" t="s">
        <v>72</v>
      </c>
      <c r="E706">
        <v>2</v>
      </c>
      <c r="F706" s="3">
        <v>2715.5458490566025</v>
      </c>
      <c r="G706" s="4">
        <v>0.47</v>
      </c>
      <c r="H706" s="3">
        <v>5431.091698113205</v>
      </c>
      <c r="I706" s="1">
        <v>45556</v>
      </c>
      <c r="J706" t="s">
        <v>40</v>
      </c>
      <c r="K706" t="s">
        <v>23</v>
      </c>
      <c r="L706" s="3">
        <v>2878.478599999999</v>
      </c>
      <c r="M706" t="s">
        <v>11</v>
      </c>
    </row>
    <row r="707" spans="1:13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 s="3">
        <v>4170.76</v>
      </c>
      <c r="G707" s="4">
        <v>0.6</v>
      </c>
      <c r="H707" s="3">
        <v>-8341.52</v>
      </c>
      <c r="I707" s="1">
        <v>45789</v>
      </c>
      <c r="J707" t="s">
        <v>40</v>
      </c>
      <c r="K707" t="s">
        <v>23</v>
      </c>
      <c r="L707" s="3">
        <v>-3336.6080000000002</v>
      </c>
      <c r="M707" t="s">
        <v>2518</v>
      </c>
    </row>
    <row r="708" spans="1:13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 s="3">
        <v>4827.8900000000003</v>
      </c>
      <c r="G708" s="4">
        <v>0.84</v>
      </c>
      <c r="H708" s="3">
        <v>24139.45</v>
      </c>
      <c r="I708" s="1">
        <v>45782</v>
      </c>
      <c r="J708" t="s">
        <v>18</v>
      </c>
      <c r="K708" t="s">
        <v>16</v>
      </c>
      <c r="L708" s="3">
        <v>3862.3120000000008</v>
      </c>
      <c r="M708" t="s">
        <v>11</v>
      </c>
    </row>
    <row r="709" spans="1:13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F709" s="3">
        <v>2681.1743636363635</v>
      </c>
      <c r="G709" s="4">
        <v>0.6</v>
      </c>
      <c r="H709" s="3">
        <v>16087.046181818181</v>
      </c>
      <c r="I709" s="1">
        <v>45782</v>
      </c>
      <c r="J709" t="s">
        <v>22</v>
      </c>
      <c r="K709" t="s">
        <v>23</v>
      </c>
      <c r="L709" s="3">
        <v>6434.8184727272728</v>
      </c>
      <c r="M709" t="s">
        <v>11</v>
      </c>
    </row>
    <row r="710" spans="1:13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F710" s="3">
        <v>2559.6667307692314</v>
      </c>
      <c r="G710" s="4">
        <v>0.55000000000000004</v>
      </c>
      <c r="H710" s="3">
        <v>0</v>
      </c>
      <c r="I710" s="1">
        <v>45813</v>
      </c>
      <c r="J710" t="s">
        <v>15</v>
      </c>
      <c r="K710" t="s">
        <v>23</v>
      </c>
      <c r="L710" s="3">
        <v>0</v>
      </c>
      <c r="M710" t="s">
        <v>2518</v>
      </c>
    </row>
    <row r="711" spans="1:13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 s="3">
        <v>1717.79</v>
      </c>
      <c r="G711" s="4">
        <v>0.6</v>
      </c>
      <c r="H711" s="3">
        <v>8588.9500000000007</v>
      </c>
      <c r="I711" s="1">
        <v>45563</v>
      </c>
      <c r="J711" t="s">
        <v>18</v>
      </c>
      <c r="K711" t="s">
        <v>23</v>
      </c>
      <c r="L711" s="3">
        <v>3435.5800000000004</v>
      </c>
      <c r="M711" t="s">
        <v>11</v>
      </c>
    </row>
    <row r="712" spans="1:13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F712" s="3">
        <v>2830.1325714285731</v>
      </c>
      <c r="G712" s="4">
        <v>0.45</v>
      </c>
      <c r="H712" s="3">
        <v>-2830.1325714285731</v>
      </c>
      <c r="I712" s="1">
        <v>45576</v>
      </c>
      <c r="J712" t="s">
        <v>18</v>
      </c>
      <c r="K712" t="s">
        <v>16</v>
      </c>
      <c r="L712" s="3">
        <v>-1556.5729142857153</v>
      </c>
      <c r="M712" t="s">
        <v>2518</v>
      </c>
    </row>
    <row r="713" spans="1:13" x14ac:dyDescent="0.3">
      <c r="A713">
        <v>1711</v>
      </c>
      <c r="B713" t="s">
        <v>762</v>
      </c>
      <c r="C713" t="s">
        <v>29</v>
      </c>
      <c r="D713" t="s">
        <v>120</v>
      </c>
      <c r="E713">
        <v>2</v>
      </c>
      <c r="F713" s="3">
        <v>2685.92</v>
      </c>
      <c r="G713" s="4">
        <v>0.6</v>
      </c>
      <c r="H713" s="3">
        <v>5371.84</v>
      </c>
      <c r="I713" s="1">
        <v>45585</v>
      </c>
      <c r="J713" t="s">
        <v>46</v>
      </c>
      <c r="K713" t="s">
        <v>23</v>
      </c>
      <c r="L713" s="3">
        <v>2148.7360000000003</v>
      </c>
      <c r="M713" t="s">
        <v>11</v>
      </c>
    </row>
    <row r="714" spans="1:13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 s="3">
        <v>2386.58</v>
      </c>
      <c r="G714" s="4">
        <v>0.6</v>
      </c>
      <c r="H714" s="3">
        <v>-2386.58</v>
      </c>
      <c r="I714" s="1">
        <v>45518</v>
      </c>
      <c r="J714" t="s">
        <v>46</v>
      </c>
      <c r="K714" t="s">
        <v>23</v>
      </c>
      <c r="L714" s="3">
        <v>-954.63200000000006</v>
      </c>
      <c r="M714" t="s">
        <v>2518</v>
      </c>
    </row>
    <row r="715" spans="1:13" x14ac:dyDescent="0.3">
      <c r="A715">
        <v>1713</v>
      </c>
      <c r="B715" t="s">
        <v>764</v>
      </c>
      <c r="C715" t="s">
        <v>33</v>
      </c>
      <c r="D715" t="s">
        <v>82</v>
      </c>
      <c r="E715">
        <v>2</v>
      </c>
      <c r="F715" s="3">
        <v>2776.2202000000002</v>
      </c>
      <c r="G715" s="4">
        <v>0.6</v>
      </c>
      <c r="H715" s="3">
        <v>5552.4404000000004</v>
      </c>
      <c r="I715" s="1">
        <v>45597</v>
      </c>
      <c r="J715" t="s">
        <v>46</v>
      </c>
      <c r="K715" t="s">
        <v>16</v>
      </c>
      <c r="L715" s="3">
        <v>2220.9761600000002</v>
      </c>
      <c r="M715" t="s">
        <v>11</v>
      </c>
    </row>
    <row r="716" spans="1:13" x14ac:dyDescent="0.3">
      <c r="A716">
        <v>1714</v>
      </c>
      <c r="B716" t="s">
        <v>765</v>
      </c>
      <c r="C716" t="s">
        <v>33</v>
      </c>
      <c r="D716" t="s">
        <v>82</v>
      </c>
      <c r="E716">
        <v>2</v>
      </c>
      <c r="F716" s="3">
        <v>2776.2202000000002</v>
      </c>
      <c r="G716" s="4">
        <v>0.6</v>
      </c>
      <c r="H716" s="3">
        <v>5552.4404000000004</v>
      </c>
      <c r="I716" s="1">
        <v>45782</v>
      </c>
      <c r="J716" t="s">
        <v>56</v>
      </c>
      <c r="K716" t="s">
        <v>16</v>
      </c>
      <c r="L716" s="3">
        <v>2220.9761600000002</v>
      </c>
      <c r="M716" t="s">
        <v>11</v>
      </c>
    </row>
    <row r="717" spans="1:13" x14ac:dyDescent="0.3">
      <c r="A717">
        <v>1715</v>
      </c>
      <c r="B717" t="s">
        <v>766</v>
      </c>
      <c r="C717" t="s">
        <v>29</v>
      </c>
      <c r="D717" t="s">
        <v>120</v>
      </c>
      <c r="E717">
        <v>2</v>
      </c>
      <c r="F717" s="3">
        <v>3863.51</v>
      </c>
      <c r="G717" s="4">
        <v>0.6</v>
      </c>
      <c r="H717" s="3">
        <v>7727.02</v>
      </c>
      <c r="I717" s="1">
        <v>45796</v>
      </c>
      <c r="J717" t="s">
        <v>22</v>
      </c>
      <c r="K717" t="s">
        <v>16</v>
      </c>
      <c r="L717" s="3">
        <v>3090.8080000000004</v>
      </c>
      <c r="M717" t="s">
        <v>11</v>
      </c>
    </row>
    <row r="718" spans="1:13" x14ac:dyDescent="0.3">
      <c r="A718">
        <v>1716</v>
      </c>
      <c r="B718" t="s">
        <v>767</v>
      </c>
      <c r="C718" t="s">
        <v>38</v>
      </c>
      <c r="D718" t="s">
        <v>39</v>
      </c>
      <c r="E718">
        <v>2</v>
      </c>
      <c r="F718" s="3">
        <v>980.17</v>
      </c>
      <c r="G718" s="4">
        <v>0.6</v>
      </c>
      <c r="H718" s="3">
        <v>1960.34</v>
      </c>
      <c r="I718" s="1">
        <v>45496</v>
      </c>
      <c r="J718" t="s">
        <v>22</v>
      </c>
      <c r="K718" t="s">
        <v>23</v>
      </c>
      <c r="L718" s="3">
        <v>784.13599999999997</v>
      </c>
      <c r="M718" t="s">
        <v>11</v>
      </c>
    </row>
    <row r="719" spans="1:13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 s="3">
        <v>1279.2</v>
      </c>
      <c r="G719" s="4">
        <v>0.27</v>
      </c>
      <c r="H719" s="3">
        <v>5116.8</v>
      </c>
      <c r="I719" s="1">
        <v>45611</v>
      </c>
      <c r="J719" t="s">
        <v>15</v>
      </c>
      <c r="K719" t="s">
        <v>16</v>
      </c>
      <c r="L719" s="3">
        <v>3735.2640000000001</v>
      </c>
      <c r="M719" t="s">
        <v>11</v>
      </c>
    </row>
    <row r="720" spans="1:13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 s="3">
        <v>3988.99</v>
      </c>
      <c r="G720" s="4">
        <v>0.6</v>
      </c>
      <c r="H720" s="3">
        <v>19944.949999999997</v>
      </c>
      <c r="I720" s="1">
        <v>45802</v>
      </c>
      <c r="J720" t="s">
        <v>56</v>
      </c>
      <c r="K720" t="s">
        <v>16</v>
      </c>
      <c r="L720" s="3">
        <v>7977.98</v>
      </c>
      <c r="M720" t="s">
        <v>11</v>
      </c>
    </row>
    <row r="721" spans="1:13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 s="3">
        <v>4407.79</v>
      </c>
      <c r="G721" s="4">
        <v>0.64</v>
      </c>
      <c r="H721" s="3">
        <v>13223.369999999999</v>
      </c>
      <c r="I721" s="1">
        <v>45731</v>
      </c>
      <c r="J721" t="s">
        <v>15</v>
      </c>
      <c r="K721" t="s">
        <v>23</v>
      </c>
      <c r="L721" s="3">
        <v>4760.4131999999991</v>
      </c>
      <c r="M721" t="s">
        <v>11</v>
      </c>
    </row>
    <row r="722" spans="1:13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 s="3">
        <v>3667.54</v>
      </c>
      <c r="G722" s="4">
        <v>0.56999999999999995</v>
      </c>
      <c r="H722" s="3">
        <v>11002.619999999999</v>
      </c>
      <c r="I722" s="1">
        <v>45138</v>
      </c>
      <c r="J722" t="s">
        <v>18</v>
      </c>
      <c r="K722" t="s">
        <v>23</v>
      </c>
      <c r="L722" s="3">
        <v>4731.1266000000005</v>
      </c>
      <c r="M722" t="s">
        <v>11</v>
      </c>
    </row>
    <row r="723" spans="1:13" x14ac:dyDescent="0.3">
      <c r="A723">
        <v>1721</v>
      </c>
      <c r="B723" t="s">
        <v>772</v>
      </c>
      <c r="C723" t="s">
        <v>38</v>
      </c>
      <c r="D723" t="s">
        <v>63</v>
      </c>
      <c r="E723">
        <v>2</v>
      </c>
      <c r="F723" s="3">
        <v>2845.2419672131159</v>
      </c>
      <c r="G723" s="4">
        <v>0.6</v>
      </c>
      <c r="H723" s="3">
        <v>5690.4839344262318</v>
      </c>
      <c r="I723" s="1">
        <v>45575</v>
      </c>
      <c r="J723" t="s">
        <v>15</v>
      </c>
      <c r="K723" t="s">
        <v>16</v>
      </c>
      <c r="L723" s="3">
        <v>2276.193573770493</v>
      </c>
      <c r="M723" t="s">
        <v>11</v>
      </c>
    </row>
    <row r="724" spans="1:13" x14ac:dyDescent="0.3">
      <c r="A724">
        <v>1722</v>
      </c>
      <c r="B724" t="s">
        <v>773</v>
      </c>
      <c r="C724" t="s">
        <v>20</v>
      </c>
      <c r="D724" t="s">
        <v>80</v>
      </c>
      <c r="E724">
        <v>2</v>
      </c>
      <c r="F724" s="3">
        <v>2483.5844000000002</v>
      </c>
      <c r="G724" s="4">
        <v>0.85</v>
      </c>
      <c r="H724" s="3">
        <v>4967.1688000000004</v>
      </c>
      <c r="I724" s="1">
        <v>45782</v>
      </c>
      <c r="J724" t="s">
        <v>22</v>
      </c>
      <c r="K724" t="s">
        <v>16</v>
      </c>
      <c r="L724" s="3">
        <v>745.07532000000015</v>
      </c>
      <c r="M724" t="s">
        <v>11</v>
      </c>
    </row>
    <row r="725" spans="1:13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F725" s="3">
        <v>2868.7768181818178</v>
      </c>
      <c r="G725" s="4">
        <v>0.2</v>
      </c>
      <c r="H725" s="3">
        <v>11475.107272727271</v>
      </c>
      <c r="I725" s="1">
        <v>45827</v>
      </c>
      <c r="J725" t="s">
        <v>18</v>
      </c>
      <c r="K725" t="s">
        <v>23</v>
      </c>
      <c r="L725" s="3">
        <v>9180.0858181818166</v>
      </c>
      <c r="M725" t="s">
        <v>11</v>
      </c>
    </row>
    <row r="726" spans="1:13" x14ac:dyDescent="0.3">
      <c r="A726">
        <v>1724</v>
      </c>
      <c r="B726" t="s">
        <v>775</v>
      </c>
      <c r="C726" t="s">
        <v>13</v>
      </c>
      <c r="D726" t="s">
        <v>102</v>
      </c>
      <c r="E726">
        <v>2</v>
      </c>
      <c r="F726" s="3">
        <v>2047.6</v>
      </c>
      <c r="G726" s="4">
        <v>0.92</v>
      </c>
      <c r="H726" s="3">
        <v>4095.2</v>
      </c>
      <c r="I726" s="1">
        <v>45556</v>
      </c>
      <c r="J726" t="s">
        <v>40</v>
      </c>
      <c r="K726" t="s">
        <v>23</v>
      </c>
      <c r="L726" s="3">
        <v>327.61599999999981</v>
      </c>
      <c r="M726" t="s">
        <v>2518</v>
      </c>
    </row>
    <row r="727" spans="1:13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 s="3">
        <v>671.5</v>
      </c>
      <c r="G727" s="4">
        <v>0.6</v>
      </c>
      <c r="H727" s="3">
        <v>2014.5</v>
      </c>
      <c r="I727" s="1">
        <v>45517</v>
      </c>
      <c r="J727" t="s">
        <v>56</v>
      </c>
      <c r="K727" t="s">
        <v>23</v>
      </c>
      <c r="L727" s="3">
        <v>805.80000000000007</v>
      </c>
      <c r="M727" t="s">
        <v>11</v>
      </c>
    </row>
    <row r="728" spans="1:13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 s="3">
        <v>1363.51</v>
      </c>
      <c r="G728" s="4">
        <v>1.26</v>
      </c>
      <c r="H728" s="3">
        <v>6817.55</v>
      </c>
      <c r="I728" s="1">
        <v>45691</v>
      </c>
      <c r="J728" t="s">
        <v>40</v>
      </c>
      <c r="K728" t="s">
        <v>16</v>
      </c>
      <c r="L728" s="3">
        <v>-1772.5630000000001</v>
      </c>
      <c r="M728" t="s">
        <v>2518</v>
      </c>
    </row>
    <row r="729" spans="1:13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F729" s="3">
        <v>2830.1325714285731</v>
      </c>
      <c r="G729" s="4">
        <v>0.76</v>
      </c>
      <c r="H729" s="3">
        <v>14150.662857142866</v>
      </c>
      <c r="I729" s="1">
        <v>45782</v>
      </c>
      <c r="J729" t="s">
        <v>22</v>
      </c>
      <c r="K729" t="s">
        <v>23</v>
      </c>
      <c r="L729" s="3">
        <v>3396.1590857142878</v>
      </c>
      <c r="M729" t="s">
        <v>11</v>
      </c>
    </row>
    <row r="730" spans="1:13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 s="3">
        <v>733.15</v>
      </c>
      <c r="G730" s="4">
        <v>0.27</v>
      </c>
      <c r="H730" s="3">
        <v>733.15</v>
      </c>
      <c r="I730" s="1">
        <v>45682</v>
      </c>
      <c r="J730" t="s">
        <v>18</v>
      </c>
      <c r="K730" t="s">
        <v>23</v>
      </c>
      <c r="L730" s="3">
        <v>535.19949999999994</v>
      </c>
      <c r="M730" t="s">
        <v>11</v>
      </c>
    </row>
    <row r="731" spans="1:13" x14ac:dyDescent="0.3">
      <c r="A731">
        <v>1729</v>
      </c>
      <c r="B731" t="s">
        <v>780</v>
      </c>
      <c r="C731" t="s">
        <v>13</v>
      </c>
      <c r="D731" t="s">
        <v>36</v>
      </c>
      <c r="E731">
        <v>2</v>
      </c>
      <c r="F731" s="3">
        <v>416.58</v>
      </c>
      <c r="G731" s="4">
        <v>0.6</v>
      </c>
      <c r="H731" s="3">
        <v>833.16</v>
      </c>
      <c r="I731" s="1">
        <v>45782</v>
      </c>
      <c r="J731" t="s">
        <v>40</v>
      </c>
      <c r="K731" t="s">
        <v>23</v>
      </c>
      <c r="L731" s="3">
        <v>333.26400000000001</v>
      </c>
      <c r="M731" t="s">
        <v>2518</v>
      </c>
    </row>
    <row r="732" spans="1:13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 s="3">
        <v>3933.55</v>
      </c>
      <c r="G732" s="4">
        <v>0.6</v>
      </c>
      <c r="H732" s="3">
        <v>0</v>
      </c>
      <c r="I732" s="1">
        <v>45666</v>
      </c>
      <c r="J732" t="s">
        <v>40</v>
      </c>
      <c r="K732" t="s">
        <v>16</v>
      </c>
      <c r="L732" s="3">
        <v>0</v>
      </c>
      <c r="M732" t="s">
        <v>2518</v>
      </c>
    </row>
    <row r="733" spans="1:13" x14ac:dyDescent="0.3">
      <c r="A733">
        <v>1731</v>
      </c>
      <c r="B733" t="s">
        <v>782</v>
      </c>
      <c r="C733" t="s">
        <v>20</v>
      </c>
      <c r="D733" t="s">
        <v>122</v>
      </c>
      <c r="E733">
        <v>2</v>
      </c>
      <c r="F733" s="3">
        <v>2700.1263043478252</v>
      </c>
      <c r="G733" s="4">
        <v>1</v>
      </c>
      <c r="H733" s="3">
        <v>5400.2526086956505</v>
      </c>
      <c r="I733" s="1">
        <v>45532</v>
      </c>
      <c r="J733" t="s">
        <v>22</v>
      </c>
      <c r="K733" t="s">
        <v>23</v>
      </c>
      <c r="L733" s="3">
        <v>0</v>
      </c>
      <c r="M733" t="s">
        <v>2518</v>
      </c>
    </row>
    <row r="734" spans="1:13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 s="3">
        <v>4982.68</v>
      </c>
      <c r="G734" s="4">
        <v>0.6</v>
      </c>
      <c r="H734" s="3">
        <v>24913.4</v>
      </c>
      <c r="I734" s="1">
        <v>45236</v>
      </c>
      <c r="J734" t="s">
        <v>22</v>
      </c>
      <c r="K734" t="s">
        <v>23</v>
      </c>
      <c r="L734" s="3">
        <v>9965.36</v>
      </c>
      <c r="M734" t="s">
        <v>11</v>
      </c>
    </row>
    <row r="735" spans="1:13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 s="3">
        <v>721.25</v>
      </c>
      <c r="G735" s="4">
        <v>0.6</v>
      </c>
      <c r="H735" s="3">
        <v>-1442.5</v>
      </c>
      <c r="I735" s="1">
        <v>45686</v>
      </c>
      <c r="J735" t="s">
        <v>15</v>
      </c>
      <c r="K735" t="s">
        <v>23</v>
      </c>
      <c r="L735" s="3">
        <v>-577</v>
      </c>
      <c r="M735" t="s">
        <v>2518</v>
      </c>
    </row>
    <row r="736" spans="1:13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F736" s="3">
        <v>2700.1263043478252</v>
      </c>
      <c r="G736" s="4">
        <v>0.6</v>
      </c>
      <c r="H736" s="3">
        <v>0</v>
      </c>
      <c r="I736" s="1">
        <v>45687</v>
      </c>
      <c r="J736" t="s">
        <v>56</v>
      </c>
      <c r="K736" t="s">
        <v>23</v>
      </c>
      <c r="L736" s="3">
        <v>0</v>
      </c>
      <c r="M736" t="s">
        <v>2518</v>
      </c>
    </row>
    <row r="737" spans="1:13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F737" s="3">
        <v>2681.1743636363635</v>
      </c>
      <c r="G737" s="4">
        <v>1.06</v>
      </c>
      <c r="H737" s="3">
        <v>10724.697454545454</v>
      </c>
      <c r="I737" s="1">
        <v>45654</v>
      </c>
      <c r="J737" t="s">
        <v>22</v>
      </c>
      <c r="K737" t="s">
        <v>23</v>
      </c>
      <c r="L737" s="3">
        <v>-643.4818472727278</v>
      </c>
      <c r="M737" t="s">
        <v>2518</v>
      </c>
    </row>
    <row r="738" spans="1:13" x14ac:dyDescent="0.3">
      <c r="A738">
        <v>1736</v>
      </c>
      <c r="B738" t="s">
        <v>787</v>
      </c>
      <c r="C738" t="s">
        <v>20</v>
      </c>
      <c r="D738" t="s">
        <v>21</v>
      </c>
      <c r="E738">
        <v>2</v>
      </c>
      <c r="F738" s="3">
        <v>1144.47</v>
      </c>
      <c r="G738" s="4">
        <v>0.09</v>
      </c>
      <c r="H738" s="3">
        <v>2288.94</v>
      </c>
      <c r="I738" s="1">
        <v>45511</v>
      </c>
      <c r="J738" t="s">
        <v>40</v>
      </c>
      <c r="K738" t="s">
        <v>23</v>
      </c>
      <c r="L738" s="3">
        <v>2082.9354000000003</v>
      </c>
      <c r="M738" t="s">
        <v>11</v>
      </c>
    </row>
    <row r="739" spans="1:13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 s="3">
        <v>2220.4699999999998</v>
      </c>
      <c r="G739" s="4">
        <v>0.6</v>
      </c>
      <c r="H739" s="3">
        <v>11102.349999999999</v>
      </c>
      <c r="I739" s="1">
        <v>45782</v>
      </c>
      <c r="J739" t="s">
        <v>46</v>
      </c>
      <c r="K739" t="s">
        <v>16</v>
      </c>
      <c r="L739" s="3">
        <v>4440.9399999999996</v>
      </c>
      <c r="M739" t="s">
        <v>11</v>
      </c>
    </row>
    <row r="740" spans="1:13" x14ac:dyDescent="0.3">
      <c r="A740">
        <v>1738</v>
      </c>
      <c r="B740" t="s">
        <v>789</v>
      </c>
      <c r="C740" t="s">
        <v>33</v>
      </c>
      <c r="D740" t="s">
        <v>72</v>
      </c>
      <c r="E740">
        <v>2</v>
      </c>
      <c r="F740" s="3">
        <v>1171.19</v>
      </c>
      <c r="G740" s="4">
        <v>0.6</v>
      </c>
      <c r="H740" s="3">
        <v>2342.38</v>
      </c>
      <c r="I740" s="1">
        <v>45698</v>
      </c>
      <c r="J740" t="s">
        <v>18</v>
      </c>
      <c r="K740" t="s">
        <v>16</v>
      </c>
      <c r="L740" s="3">
        <v>936.95200000000011</v>
      </c>
      <c r="M740" t="s">
        <v>11</v>
      </c>
    </row>
    <row r="741" spans="1:13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 s="3">
        <v>963.18</v>
      </c>
      <c r="G741" s="4">
        <v>0.6</v>
      </c>
      <c r="H741" s="3">
        <v>2889.54</v>
      </c>
      <c r="I741" s="1">
        <v>45658</v>
      </c>
      <c r="J741" t="s">
        <v>22</v>
      </c>
      <c r="K741" t="s">
        <v>23</v>
      </c>
      <c r="L741" s="3">
        <v>1155.816</v>
      </c>
      <c r="M741" t="s">
        <v>11</v>
      </c>
    </row>
    <row r="742" spans="1:13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F742" s="3">
        <v>2381.2677586206896</v>
      </c>
      <c r="G742" s="4">
        <v>0.6</v>
      </c>
      <c r="H742" s="3">
        <v>4762.5355172413792</v>
      </c>
      <c r="I742" s="1">
        <v>45832</v>
      </c>
      <c r="J742" t="s">
        <v>18</v>
      </c>
      <c r="K742" t="s">
        <v>23</v>
      </c>
      <c r="L742" s="3">
        <v>1905.0142068965517</v>
      </c>
      <c r="M742" t="s">
        <v>11</v>
      </c>
    </row>
    <row r="743" spans="1:13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 s="3">
        <v>1762.56</v>
      </c>
      <c r="G743" s="4">
        <v>0.98</v>
      </c>
      <c r="H743" s="3">
        <v>1762.56</v>
      </c>
      <c r="I743" s="1">
        <v>45304</v>
      </c>
      <c r="J743" t="s">
        <v>18</v>
      </c>
      <c r="K743" t="s">
        <v>23</v>
      </c>
      <c r="L743" s="3">
        <v>35.251200000000033</v>
      </c>
      <c r="M743" t="s">
        <v>2518</v>
      </c>
    </row>
    <row r="744" spans="1:13" x14ac:dyDescent="0.3">
      <c r="A744">
        <v>1742</v>
      </c>
      <c r="B744" t="s">
        <v>793</v>
      </c>
      <c r="C744" t="s">
        <v>13</v>
      </c>
      <c r="D744" t="s">
        <v>102</v>
      </c>
      <c r="E744">
        <v>2</v>
      </c>
      <c r="F744" s="3">
        <v>2576.3056896551716</v>
      </c>
      <c r="G744" s="4">
        <v>0.03</v>
      </c>
      <c r="H744" s="3">
        <v>5152.6113793103432</v>
      </c>
      <c r="I744" s="1">
        <v>45782</v>
      </c>
      <c r="J744" t="s">
        <v>40</v>
      </c>
      <c r="K744" t="s">
        <v>16</v>
      </c>
      <c r="L744" s="3">
        <v>4998.0330379310326</v>
      </c>
      <c r="M744" t="s">
        <v>11</v>
      </c>
    </row>
    <row r="745" spans="1:13" x14ac:dyDescent="0.3">
      <c r="A745">
        <v>1743</v>
      </c>
      <c r="B745" t="s">
        <v>794</v>
      </c>
      <c r="C745" t="s">
        <v>33</v>
      </c>
      <c r="D745" t="s">
        <v>34</v>
      </c>
      <c r="E745">
        <v>2</v>
      </c>
      <c r="F745" s="3">
        <v>2487.039615384615</v>
      </c>
      <c r="G745" s="4">
        <v>0.6</v>
      </c>
      <c r="H745" s="3">
        <v>4974.07923076923</v>
      </c>
      <c r="I745" s="1">
        <v>45782</v>
      </c>
      <c r="J745" t="s">
        <v>46</v>
      </c>
      <c r="K745" t="s">
        <v>16</v>
      </c>
      <c r="L745" s="3">
        <v>1989.631692307692</v>
      </c>
      <c r="M745" t="s">
        <v>11</v>
      </c>
    </row>
    <row r="746" spans="1:13" x14ac:dyDescent="0.3">
      <c r="A746">
        <v>1744</v>
      </c>
      <c r="B746" t="s">
        <v>795</v>
      </c>
      <c r="C746" t="s">
        <v>25</v>
      </c>
      <c r="D746" t="s">
        <v>86</v>
      </c>
      <c r="E746">
        <v>2</v>
      </c>
      <c r="F746" s="3">
        <v>2501.5309999999999</v>
      </c>
      <c r="G746" s="4">
        <v>0.6</v>
      </c>
      <c r="H746" s="3">
        <v>5003.0619999999999</v>
      </c>
      <c r="I746" s="1">
        <v>45389</v>
      </c>
      <c r="J746" t="s">
        <v>22</v>
      </c>
      <c r="K746" t="s">
        <v>16</v>
      </c>
      <c r="L746" s="3">
        <v>2001.2248</v>
      </c>
      <c r="M746" t="s">
        <v>11</v>
      </c>
    </row>
    <row r="747" spans="1:13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F747" s="3">
        <v>2776.2202000000002</v>
      </c>
      <c r="G747" s="4">
        <v>0.43</v>
      </c>
      <c r="H747" s="3">
        <v>11104.880800000001</v>
      </c>
      <c r="I747" s="1">
        <v>45490</v>
      </c>
      <c r="J747" t="s">
        <v>40</v>
      </c>
      <c r="K747" t="s">
        <v>23</v>
      </c>
      <c r="L747" s="3">
        <v>6329.7820560000009</v>
      </c>
      <c r="M747" t="s">
        <v>11</v>
      </c>
    </row>
    <row r="748" spans="1:13" x14ac:dyDescent="0.3">
      <c r="A748">
        <v>1746</v>
      </c>
      <c r="B748" t="s">
        <v>797</v>
      </c>
      <c r="C748" t="s">
        <v>13</v>
      </c>
      <c r="D748" t="s">
        <v>14</v>
      </c>
      <c r="E748">
        <v>2</v>
      </c>
      <c r="F748" s="3">
        <v>2381.2677586206896</v>
      </c>
      <c r="G748" s="4">
        <v>0.37</v>
      </c>
      <c r="H748" s="3">
        <v>4762.5355172413792</v>
      </c>
      <c r="I748" s="1">
        <v>45176</v>
      </c>
      <c r="J748" t="s">
        <v>40</v>
      </c>
      <c r="K748" t="s">
        <v>23</v>
      </c>
      <c r="L748" s="3">
        <v>3000.3973758620691</v>
      </c>
      <c r="M748" t="s">
        <v>11</v>
      </c>
    </row>
    <row r="749" spans="1:13" x14ac:dyDescent="0.3">
      <c r="A749">
        <v>1747</v>
      </c>
      <c r="B749" t="s">
        <v>798</v>
      </c>
      <c r="C749" t="s">
        <v>33</v>
      </c>
      <c r="D749" t="s">
        <v>44</v>
      </c>
      <c r="E749">
        <v>2</v>
      </c>
      <c r="F749" s="3">
        <v>405.37</v>
      </c>
      <c r="G749" s="4">
        <v>0.6</v>
      </c>
      <c r="H749" s="3">
        <v>810.74</v>
      </c>
      <c r="I749" s="1">
        <v>45782</v>
      </c>
      <c r="J749" t="s">
        <v>46</v>
      </c>
      <c r="K749" t="s">
        <v>16</v>
      </c>
      <c r="L749" s="3">
        <v>324.29600000000005</v>
      </c>
      <c r="M749" t="s">
        <v>2518</v>
      </c>
    </row>
    <row r="750" spans="1:13" x14ac:dyDescent="0.3">
      <c r="A750">
        <v>1748</v>
      </c>
      <c r="B750" t="s">
        <v>799</v>
      </c>
      <c r="C750" t="s">
        <v>38</v>
      </c>
      <c r="D750" t="s">
        <v>63</v>
      </c>
      <c r="E750">
        <v>2</v>
      </c>
      <c r="F750" s="3">
        <v>2845.2419672131159</v>
      </c>
      <c r="G750" s="4">
        <v>0.6</v>
      </c>
      <c r="H750" s="3">
        <v>5690.4839344262318</v>
      </c>
      <c r="I750" s="1">
        <v>45547</v>
      </c>
      <c r="J750" t="s">
        <v>18</v>
      </c>
      <c r="K750" t="s">
        <v>23</v>
      </c>
      <c r="L750" s="3">
        <v>2276.193573770493</v>
      </c>
      <c r="M750" t="s">
        <v>11</v>
      </c>
    </row>
    <row r="751" spans="1:13" x14ac:dyDescent="0.3">
      <c r="A751">
        <v>1749</v>
      </c>
      <c r="B751" t="s">
        <v>232</v>
      </c>
      <c r="C751" t="s">
        <v>25</v>
      </c>
      <c r="D751" t="s">
        <v>26</v>
      </c>
      <c r="E751">
        <v>2</v>
      </c>
      <c r="F751" s="3">
        <v>4499.3900000000003</v>
      </c>
      <c r="G751" s="4">
        <v>0.6</v>
      </c>
      <c r="H751" s="3">
        <v>8998.7800000000007</v>
      </c>
      <c r="I751" s="1">
        <v>45743</v>
      </c>
      <c r="J751" t="s">
        <v>15</v>
      </c>
      <c r="K751" t="s">
        <v>16</v>
      </c>
      <c r="L751" s="3">
        <v>3599.5120000000006</v>
      </c>
      <c r="M751" t="s">
        <v>11</v>
      </c>
    </row>
    <row r="752" spans="1:13" x14ac:dyDescent="0.3">
      <c r="A752">
        <v>1750</v>
      </c>
      <c r="B752" t="s">
        <v>800</v>
      </c>
      <c r="C752" t="s">
        <v>38</v>
      </c>
      <c r="D752" t="s">
        <v>59</v>
      </c>
      <c r="E752">
        <v>2</v>
      </c>
      <c r="F752" s="3">
        <v>2653.9</v>
      </c>
      <c r="G752" s="4">
        <v>0.56000000000000005</v>
      </c>
      <c r="H752" s="3">
        <v>5307.8</v>
      </c>
      <c r="I752" s="1">
        <v>45853</v>
      </c>
      <c r="J752" t="s">
        <v>40</v>
      </c>
      <c r="K752" t="s">
        <v>23</v>
      </c>
      <c r="L752" s="3">
        <v>2335.4319999999998</v>
      </c>
      <c r="M752" t="s">
        <v>11</v>
      </c>
    </row>
    <row r="753" spans="1:13" x14ac:dyDescent="0.3">
      <c r="A753">
        <v>1751</v>
      </c>
      <c r="B753" t="s">
        <v>801</v>
      </c>
      <c r="C753" t="s">
        <v>20</v>
      </c>
      <c r="D753" t="s">
        <v>21</v>
      </c>
      <c r="E753">
        <v>2</v>
      </c>
      <c r="F753" s="3">
        <v>2681.1743636363635</v>
      </c>
      <c r="G753" s="4">
        <v>0.6</v>
      </c>
      <c r="H753" s="3">
        <v>5362.348727272727</v>
      </c>
      <c r="I753" s="1">
        <v>45782</v>
      </c>
      <c r="J753" t="s">
        <v>46</v>
      </c>
      <c r="K753" t="s">
        <v>23</v>
      </c>
      <c r="L753" s="3">
        <v>2144.9394909090911</v>
      </c>
      <c r="M753" t="s">
        <v>11</v>
      </c>
    </row>
    <row r="754" spans="1:13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 s="3">
        <v>2177.1999999999998</v>
      </c>
      <c r="G754" s="4">
        <v>0.6</v>
      </c>
      <c r="H754" s="3">
        <v>10886</v>
      </c>
      <c r="I754" s="1">
        <v>45782</v>
      </c>
      <c r="J754" t="s">
        <v>46</v>
      </c>
      <c r="K754" t="s">
        <v>23</v>
      </c>
      <c r="L754" s="3">
        <v>4354.4000000000005</v>
      </c>
      <c r="M754" t="s">
        <v>11</v>
      </c>
    </row>
    <row r="755" spans="1:13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F755" s="3">
        <v>2681.1743636363635</v>
      </c>
      <c r="G755" s="4">
        <v>0.6</v>
      </c>
      <c r="H755" s="3">
        <v>-5362.348727272727</v>
      </c>
      <c r="I755" s="1">
        <v>45137</v>
      </c>
      <c r="J755" t="s">
        <v>18</v>
      </c>
      <c r="K755" t="s">
        <v>23</v>
      </c>
      <c r="L755" s="3">
        <v>-2144.9394909090911</v>
      </c>
      <c r="M755" t="s">
        <v>2518</v>
      </c>
    </row>
    <row r="756" spans="1:13" x14ac:dyDescent="0.3">
      <c r="A756">
        <v>1754</v>
      </c>
      <c r="B756" t="s">
        <v>479</v>
      </c>
      <c r="C756" t="s">
        <v>29</v>
      </c>
      <c r="D756" t="s">
        <v>141</v>
      </c>
      <c r="E756">
        <v>2</v>
      </c>
      <c r="F756" s="3">
        <v>2462.79</v>
      </c>
      <c r="G756" s="4">
        <v>0.56999999999999995</v>
      </c>
      <c r="H756" s="3">
        <v>4925.58</v>
      </c>
      <c r="I756" s="1">
        <v>45727</v>
      </c>
      <c r="J756" t="s">
        <v>15</v>
      </c>
      <c r="K756" t="s">
        <v>23</v>
      </c>
      <c r="L756" s="3">
        <v>2117.9994000000002</v>
      </c>
      <c r="M756" t="s">
        <v>11</v>
      </c>
    </row>
    <row r="757" spans="1:13" x14ac:dyDescent="0.3">
      <c r="A757">
        <v>1755</v>
      </c>
      <c r="B757" t="s">
        <v>804</v>
      </c>
      <c r="C757" t="s">
        <v>25</v>
      </c>
      <c r="D757" t="s">
        <v>54</v>
      </c>
      <c r="E757">
        <v>2</v>
      </c>
      <c r="F757" s="3">
        <v>2530.3836538461546</v>
      </c>
      <c r="G757" s="4">
        <v>0.76</v>
      </c>
      <c r="H757" s="3">
        <v>5060.7673076923093</v>
      </c>
      <c r="I757" s="1">
        <v>45782</v>
      </c>
      <c r="J757" t="s">
        <v>56</v>
      </c>
      <c r="K757" t="s">
        <v>23</v>
      </c>
      <c r="L757" s="3">
        <v>1214.5841538461541</v>
      </c>
      <c r="M757" t="s">
        <v>11</v>
      </c>
    </row>
    <row r="758" spans="1:13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F758" s="3">
        <v>2888.8714285714286</v>
      </c>
      <c r="G758" s="4">
        <v>0.6</v>
      </c>
      <c r="H758" s="3">
        <v>14444.357142857143</v>
      </c>
      <c r="I758" s="1">
        <v>45672</v>
      </c>
      <c r="J758" t="s">
        <v>22</v>
      </c>
      <c r="K758" t="s">
        <v>16</v>
      </c>
      <c r="L758" s="3">
        <v>5777.7428571428572</v>
      </c>
      <c r="M758" t="s">
        <v>11</v>
      </c>
    </row>
    <row r="759" spans="1:13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 s="3">
        <v>3405.13</v>
      </c>
      <c r="G759" s="4">
        <v>0.91</v>
      </c>
      <c r="H759" s="3">
        <v>6810.26</v>
      </c>
      <c r="I759" s="1">
        <v>45782</v>
      </c>
      <c r="J759" t="s">
        <v>40</v>
      </c>
      <c r="K759" t="s">
        <v>23</v>
      </c>
      <c r="L759" s="3">
        <v>612.92339999999979</v>
      </c>
      <c r="M759" t="s">
        <v>11</v>
      </c>
    </row>
    <row r="760" spans="1:13" x14ac:dyDescent="0.3">
      <c r="A760">
        <v>1758</v>
      </c>
      <c r="B760" t="s">
        <v>807</v>
      </c>
      <c r="C760" t="s">
        <v>25</v>
      </c>
      <c r="D760" t="s">
        <v>54</v>
      </c>
      <c r="E760">
        <v>2</v>
      </c>
      <c r="F760" s="3">
        <v>1307.6400000000001</v>
      </c>
      <c r="G760" s="4">
        <v>0.18</v>
      </c>
      <c r="H760" s="3">
        <v>2615.2800000000002</v>
      </c>
      <c r="I760" s="1">
        <v>45722</v>
      </c>
      <c r="J760" t="s">
        <v>22</v>
      </c>
      <c r="K760" t="s">
        <v>23</v>
      </c>
      <c r="L760" s="3">
        <v>2144.5296000000003</v>
      </c>
      <c r="M760" t="s">
        <v>11</v>
      </c>
    </row>
    <row r="761" spans="1:13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F761" s="3">
        <v>2487.039615384615</v>
      </c>
      <c r="G761" s="4">
        <v>0.6</v>
      </c>
      <c r="H761" s="3">
        <v>0</v>
      </c>
      <c r="I761" s="1">
        <v>45654</v>
      </c>
      <c r="J761" t="s">
        <v>18</v>
      </c>
      <c r="K761" t="s">
        <v>23</v>
      </c>
      <c r="L761" s="3">
        <v>0</v>
      </c>
      <c r="M761" t="s">
        <v>2518</v>
      </c>
    </row>
    <row r="762" spans="1:13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 s="3">
        <v>4326.6000000000004</v>
      </c>
      <c r="G762" s="4">
        <v>0.6</v>
      </c>
      <c r="H762" s="3">
        <v>12979.800000000001</v>
      </c>
      <c r="I762" s="1">
        <v>45663</v>
      </c>
      <c r="J762" t="s">
        <v>18</v>
      </c>
      <c r="K762" t="s">
        <v>23</v>
      </c>
      <c r="L762" s="3">
        <v>5191.920000000001</v>
      </c>
      <c r="M762" t="s">
        <v>11</v>
      </c>
    </row>
    <row r="763" spans="1:13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F763" s="3">
        <v>2700.1263043478252</v>
      </c>
      <c r="G763" s="4">
        <v>0.37</v>
      </c>
      <c r="H763" s="3">
        <v>8100.3789130434761</v>
      </c>
      <c r="I763" s="1">
        <v>45540</v>
      </c>
      <c r="J763" t="s">
        <v>22</v>
      </c>
      <c r="K763" t="s">
        <v>23</v>
      </c>
      <c r="L763" s="3">
        <v>5103.2387152173897</v>
      </c>
      <c r="M763" t="s">
        <v>11</v>
      </c>
    </row>
    <row r="764" spans="1:13" x14ac:dyDescent="0.3">
      <c r="A764">
        <v>1762</v>
      </c>
      <c r="B764" t="s">
        <v>811</v>
      </c>
      <c r="C764" t="s">
        <v>20</v>
      </c>
      <c r="D764" t="s">
        <v>21</v>
      </c>
      <c r="E764">
        <v>2</v>
      </c>
      <c r="F764" s="3">
        <v>1364.9</v>
      </c>
      <c r="G764" s="4">
        <v>0.17</v>
      </c>
      <c r="H764" s="3">
        <v>2729.8</v>
      </c>
      <c r="I764" s="1">
        <v>45604</v>
      </c>
      <c r="J764" t="s">
        <v>15</v>
      </c>
      <c r="K764" t="s">
        <v>23</v>
      </c>
      <c r="L764" s="3">
        <v>2265.7339999999999</v>
      </c>
      <c r="M764" t="s">
        <v>11</v>
      </c>
    </row>
    <row r="765" spans="1:13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 s="3">
        <v>1874.56</v>
      </c>
      <c r="G765" s="4">
        <v>0.6</v>
      </c>
      <c r="H765" s="3">
        <v>3749.12</v>
      </c>
      <c r="I765" s="1">
        <v>45782</v>
      </c>
      <c r="J765" t="s">
        <v>46</v>
      </c>
      <c r="K765" t="s">
        <v>23</v>
      </c>
      <c r="L765" s="3">
        <v>1499.6480000000001</v>
      </c>
      <c r="M765" t="s">
        <v>11</v>
      </c>
    </row>
    <row r="766" spans="1:13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 s="3">
        <v>4343.12</v>
      </c>
      <c r="G766" s="4">
        <v>0.6</v>
      </c>
      <c r="H766" s="3">
        <v>13029.36</v>
      </c>
      <c r="I766" s="1">
        <v>45825</v>
      </c>
      <c r="J766" t="s">
        <v>56</v>
      </c>
      <c r="K766" t="s">
        <v>16</v>
      </c>
      <c r="L766" s="3">
        <v>5211.7440000000006</v>
      </c>
      <c r="M766" t="s">
        <v>11</v>
      </c>
    </row>
    <row r="767" spans="1:13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 s="3">
        <v>1016.5</v>
      </c>
      <c r="G767" s="4">
        <v>0.6</v>
      </c>
      <c r="H767" s="3">
        <v>6099</v>
      </c>
      <c r="I767" s="1">
        <v>45709</v>
      </c>
      <c r="J767" t="s">
        <v>22</v>
      </c>
      <c r="K767" t="s">
        <v>16</v>
      </c>
      <c r="L767" s="3">
        <v>2439.6</v>
      </c>
      <c r="M767" t="s">
        <v>11</v>
      </c>
    </row>
    <row r="768" spans="1:13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 s="3">
        <v>3589.19</v>
      </c>
      <c r="G768" s="4">
        <v>0.6</v>
      </c>
      <c r="H768" s="3">
        <v>0</v>
      </c>
      <c r="I768" s="1">
        <v>45838</v>
      </c>
      <c r="J768" t="s">
        <v>22</v>
      </c>
      <c r="K768" t="s">
        <v>23</v>
      </c>
      <c r="L768" s="3">
        <v>0</v>
      </c>
      <c r="M768" t="s">
        <v>2518</v>
      </c>
    </row>
    <row r="769" spans="1:13" x14ac:dyDescent="0.3">
      <c r="A769">
        <v>1767</v>
      </c>
      <c r="B769" t="s">
        <v>816</v>
      </c>
      <c r="C769" t="s">
        <v>38</v>
      </c>
      <c r="D769" t="s">
        <v>59</v>
      </c>
      <c r="E769">
        <v>2</v>
      </c>
      <c r="F769" s="3">
        <v>2151.92</v>
      </c>
      <c r="G769" s="4">
        <v>0.6</v>
      </c>
      <c r="H769" s="3">
        <v>4303.84</v>
      </c>
      <c r="I769" s="1">
        <v>45850</v>
      </c>
      <c r="J769" t="s">
        <v>22</v>
      </c>
      <c r="K769" t="s">
        <v>23</v>
      </c>
      <c r="L769" s="3">
        <v>1721.5360000000001</v>
      </c>
      <c r="M769" t="s">
        <v>11</v>
      </c>
    </row>
    <row r="770" spans="1:13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 s="3">
        <v>3548.22</v>
      </c>
      <c r="G770" s="4">
        <v>0.6</v>
      </c>
      <c r="H770" s="3">
        <v>17741.099999999999</v>
      </c>
      <c r="I770" s="1">
        <v>45133</v>
      </c>
      <c r="J770" t="s">
        <v>22</v>
      </c>
      <c r="K770" t="s">
        <v>23</v>
      </c>
      <c r="L770" s="3">
        <v>7096.44</v>
      </c>
      <c r="M770" t="s">
        <v>11</v>
      </c>
    </row>
    <row r="771" spans="1:13" x14ac:dyDescent="0.3">
      <c r="A771">
        <v>1769</v>
      </c>
      <c r="B771" t="s">
        <v>818</v>
      </c>
      <c r="C771" t="s">
        <v>20</v>
      </c>
      <c r="D771" t="s">
        <v>122</v>
      </c>
      <c r="E771">
        <v>2</v>
      </c>
      <c r="F771" s="3">
        <v>2700.1263043478252</v>
      </c>
      <c r="G771" s="4">
        <v>1</v>
      </c>
      <c r="H771" s="3">
        <v>5400.2526086956505</v>
      </c>
      <c r="I771" s="1">
        <v>45626</v>
      </c>
      <c r="J771" t="s">
        <v>15</v>
      </c>
      <c r="K771" t="s">
        <v>16</v>
      </c>
      <c r="L771" s="3">
        <v>0</v>
      </c>
      <c r="M771" t="s">
        <v>2518</v>
      </c>
    </row>
    <row r="772" spans="1:13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F772" s="3">
        <v>2804.2651923076919</v>
      </c>
      <c r="G772" s="4">
        <v>0.6</v>
      </c>
      <c r="H772" s="3">
        <v>0</v>
      </c>
      <c r="I772" s="1">
        <v>45197</v>
      </c>
      <c r="J772" t="s">
        <v>46</v>
      </c>
      <c r="K772" t="s">
        <v>23</v>
      </c>
      <c r="L772" s="3">
        <v>0</v>
      </c>
      <c r="M772" t="s">
        <v>2518</v>
      </c>
    </row>
    <row r="773" spans="1:13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 s="3">
        <v>730.48</v>
      </c>
      <c r="G773" s="4">
        <v>0.6</v>
      </c>
      <c r="H773" s="3">
        <v>-730.48</v>
      </c>
      <c r="I773" s="1">
        <v>45664</v>
      </c>
      <c r="J773" t="s">
        <v>56</v>
      </c>
      <c r="K773" t="s">
        <v>16</v>
      </c>
      <c r="L773" s="3">
        <v>-292.19200000000001</v>
      </c>
      <c r="M773" t="s">
        <v>2518</v>
      </c>
    </row>
    <row r="774" spans="1:13" x14ac:dyDescent="0.3">
      <c r="A774">
        <v>1772</v>
      </c>
      <c r="B774" t="s">
        <v>821</v>
      </c>
      <c r="C774" t="s">
        <v>13</v>
      </c>
      <c r="D774" t="s">
        <v>36</v>
      </c>
      <c r="E774">
        <v>2</v>
      </c>
      <c r="F774" s="3">
        <v>2882.5046551724135</v>
      </c>
      <c r="G774" s="4">
        <v>0.38</v>
      </c>
      <c r="H774" s="3">
        <v>5765.0093103448271</v>
      </c>
      <c r="I774" s="1">
        <v>45816</v>
      </c>
      <c r="J774" t="s">
        <v>18</v>
      </c>
      <c r="K774" t="s">
        <v>16</v>
      </c>
      <c r="L774" s="3">
        <v>3574.305772413793</v>
      </c>
      <c r="M774" t="s">
        <v>11</v>
      </c>
    </row>
    <row r="775" spans="1:13" x14ac:dyDescent="0.3">
      <c r="A775">
        <v>1773</v>
      </c>
      <c r="B775" t="s">
        <v>822</v>
      </c>
      <c r="C775" t="s">
        <v>29</v>
      </c>
      <c r="D775" t="s">
        <v>120</v>
      </c>
      <c r="E775">
        <v>2</v>
      </c>
      <c r="F775" s="3">
        <v>444.82</v>
      </c>
      <c r="G775" s="4">
        <v>0.51</v>
      </c>
      <c r="H775" s="3">
        <v>889.64</v>
      </c>
      <c r="I775" s="1">
        <v>45782</v>
      </c>
      <c r="J775" t="s">
        <v>56</v>
      </c>
      <c r="K775" t="s">
        <v>16</v>
      </c>
      <c r="L775" s="3">
        <v>435.92359999999996</v>
      </c>
      <c r="M775" t="s">
        <v>2518</v>
      </c>
    </row>
    <row r="776" spans="1:13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 s="3">
        <v>4137.43</v>
      </c>
      <c r="G776" s="4">
        <v>0.6</v>
      </c>
      <c r="H776" s="3">
        <v>12412.29</v>
      </c>
      <c r="I776" s="1">
        <v>45777</v>
      </c>
      <c r="J776" t="s">
        <v>18</v>
      </c>
      <c r="K776" t="s">
        <v>16</v>
      </c>
      <c r="L776" s="3">
        <v>4964.9160000000011</v>
      </c>
      <c r="M776" t="s">
        <v>11</v>
      </c>
    </row>
    <row r="777" spans="1:13" x14ac:dyDescent="0.3">
      <c r="A777">
        <v>1775</v>
      </c>
      <c r="B777" t="s">
        <v>824</v>
      </c>
      <c r="C777" t="s">
        <v>33</v>
      </c>
      <c r="D777" t="s">
        <v>82</v>
      </c>
      <c r="E777">
        <v>2</v>
      </c>
      <c r="F777" s="3">
        <v>2776.2202000000002</v>
      </c>
      <c r="G777" s="4">
        <v>1.01</v>
      </c>
      <c r="H777" s="3">
        <v>5552.4404000000004</v>
      </c>
      <c r="I777" s="1">
        <v>45782</v>
      </c>
      <c r="J777" t="s">
        <v>18</v>
      </c>
      <c r="K777" t="s">
        <v>23</v>
      </c>
      <c r="L777" s="3">
        <v>-55.524404000000054</v>
      </c>
      <c r="M777" t="s">
        <v>2518</v>
      </c>
    </row>
    <row r="778" spans="1:13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 s="3">
        <v>4684.9799999999996</v>
      </c>
      <c r="G778" s="4">
        <v>0.6</v>
      </c>
      <c r="H778" s="3">
        <v>18739.919999999998</v>
      </c>
      <c r="I778" s="1">
        <v>45782</v>
      </c>
      <c r="J778" t="s">
        <v>46</v>
      </c>
      <c r="K778" t="s">
        <v>16</v>
      </c>
      <c r="L778" s="3">
        <v>7495.9679999999998</v>
      </c>
      <c r="M778" t="s">
        <v>11</v>
      </c>
    </row>
    <row r="779" spans="1:13" x14ac:dyDescent="0.3">
      <c r="A779">
        <v>1777</v>
      </c>
      <c r="B779" t="s">
        <v>826</v>
      </c>
      <c r="C779" t="s">
        <v>38</v>
      </c>
      <c r="D779" t="s">
        <v>63</v>
      </c>
      <c r="E779">
        <v>2</v>
      </c>
      <c r="F779" s="3">
        <v>2845.2419672131159</v>
      </c>
      <c r="G779" s="4">
        <v>0.6</v>
      </c>
      <c r="H779" s="3">
        <v>5690.4839344262318</v>
      </c>
      <c r="I779" s="1">
        <v>45401</v>
      </c>
      <c r="J779" t="s">
        <v>15</v>
      </c>
      <c r="K779" t="s">
        <v>23</v>
      </c>
      <c r="L779" s="3">
        <v>2276.193573770493</v>
      </c>
      <c r="M779" t="s">
        <v>11</v>
      </c>
    </row>
    <row r="780" spans="1:13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 s="3">
        <v>2716.57</v>
      </c>
      <c r="G780" s="4">
        <v>0.6</v>
      </c>
      <c r="H780" s="3">
        <v>13582.85</v>
      </c>
      <c r="I780" s="1">
        <v>45569</v>
      </c>
      <c r="J780" t="s">
        <v>22</v>
      </c>
      <c r="K780" t="s">
        <v>16</v>
      </c>
      <c r="L780" s="3">
        <v>5433.14</v>
      </c>
      <c r="M780" t="s">
        <v>11</v>
      </c>
    </row>
    <row r="781" spans="1:13" x14ac:dyDescent="0.3">
      <c r="A781">
        <v>1779</v>
      </c>
      <c r="B781" t="s">
        <v>90</v>
      </c>
      <c r="C781" t="s">
        <v>13</v>
      </c>
      <c r="D781" t="s">
        <v>36</v>
      </c>
      <c r="E781">
        <v>2</v>
      </c>
      <c r="F781" s="3">
        <v>2882.5046551724135</v>
      </c>
      <c r="G781" s="4">
        <v>0.6</v>
      </c>
      <c r="H781" s="3">
        <v>5765.0093103448271</v>
      </c>
      <c r="I781" s="1">
        <v>45568</v>
      </c>
      <c r="J781" t="s">
        <v>56</v>
      </c>
      <c r="K781" t="s">
        <v>23</v>
      </c>
      <c r="L781" s="3">
        <v>2306.0037241379309</v>
      </c>
      <c r="M781" t="s">
        <v>11</v>
      </c>
    </row>
    <row r="782" spans="1:13" x14ac:dyDescent="0.3">
      <c r="A782">
        <v>1780</v>
      </c>
      <c r="B782" t="s">
        <v>828</v>
      </c>
      <c r="C782" t="s">
        <v>20</v>
      </c>
      <c r="D782" t="s">
        <v>122</v>
      </c>
      <c r="E782">
        <v>2</v>
      </c>
      <c r="F782" s="3">
        <v>2700.1263043478252</v>
      </c>
      <c r="G782" s="4">
        <v>0.6</v>
      </c>
      <c r="H782" s="3">
        <v>5400.2526086956505</v>
      </c>
      <c r="I782" s="1">
        <v>45829</v>
      </c>
      <c r="J782" t="s">
        <v>15</v>
      </c>
      <c r="K782" t="s">
        <v>23</v>
      </c>
      <c r="L782" s="3">
        <v>2160.1010434782602</v>
      </c>
      <c r="M782" t="s">
        <v>11</v>
      </c>
    </row>
    <row r="783" spans="1:13" x14ac:dyDescent="0.3">
      <c r="A783">
        <v>1781</v>
      </c>
      <c r="B783" t="s">
        <v>829</v>
      </c>
      <c r="C783" t="s">
        <v>38</v>
      </c>
      <c r="D783" t="s">
        <v>39</v>
      </c>
      <c r="E783">
        <v>2</v>
      </c>
      <c r="F783" s="3">
        <v>3008.3844444444444</v>
      </c>
      <c r="G783" s="4">
        <v>0.6</v>
      </c>
      <c r="H783" s="3">
        <v>6016.7688888888888</v>
      </c>
      <c r="I783" s="1">
        <v>45710</v>
      </c>
      <c r="J783" t="s">
        <v>22</v>
      </c>
      <c r="K783" t="s">
        <v>23</v>
      </c>
      <c r="L783" s="3">
        <v>2406.7075555555557</v>
      </c>
      <c r="M783" t="s">
        <v>11</v>
      </c>
    </row>
    <row r="784" spans="1:13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F784" s="3">
        <v>2725.8557142857148</v>
      </c>
      <c r="G784" s="4">
        <v>0.6</v>
      </c>
      <c r="H784" s="3">
        <v>16355.134285714288</v>
      </c>
      <c r="I784" s="1">
        <v>45350</v>
      </c>
      <c r="J784" t="s">
        <v>22</v>
      </c>
      <c r="K784" t="s">
        <v>23</v>
      </c>
      <c r="L784" s="3">
        <v>6542.0537142857156</v>
      </c>
      <c r="M784" t="s">
        <v>11</v>
      </c>
    </row>
    <row r="785" spans="1:13" x14ac:dyDescent="0.3">
      <c r="A785">
        <v>1783</v>
      </c>
      <c r="B785" t="s">
        <v>831</v>
      </c>
      <c r="C785" t="s">
        <v>20</v>
      </c>
      <c r="D785" t="s">
        <v>88</v>
      </c>
      <c r="E785">
        <v>2</v>
      </c>
      <c r="F785" s="3">
        <v>2725.8557142857148</v>
      </c>
      <c r="G785" s="4">
        <v>0.93</v>
      </c>
      <c r="H785" s="3">
        <v>5451.7114285714297</v>
      </c>
      <c r="I785" s="1">
        <v>45505</v>
      </c>
      <c r="J785" t="s">
        <v>56</v>
      </c>
      <c r="K785" t="s">
        <v>23</v>
      </c>
      <c r="L785" s="3">
        <v>381.61979999999983</v>
      </c>
      <c r="M785" t="s">
        <v>2518</v>
      </c>
    </row>
    <row r="786" spans="1:13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 s="3">
        <v>2068.0500000000002</v>
      </c>
      <c r="G786" s="4">
        <v>0.6</v>
      </c>
      <c r="H786" s="3">
        <v>8272.2000000000007</v>
      </c>
      <c r="I786" s="1">
        <v>45573</v>
      </c>
      <c r="J786" t="s">
        <v>22</v>
      </c>
      <c r="K786" t="s">
        <v>16</v>
      </c>
      <c r="L786" s="3">
        <v>3308.8800000000006</v>
      </c>
      <c r="M786" t="s">
        <v>11</v>
      </c>
    </row>
    <row r="787" spans="1:13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 s="3">
        <v>4103</v>
      </c>
      <c r="G787" s="4">
        <v>0.6</v>
      </c>
      <c r="H787" s="3">
        <v>12309</v>
      </c>
      <c r="I787" s="1">
        <v>45804</v>
      </c>
      <c r="J787" t="s">
        <v>56</v>
      </c>
      <c r="K787" t="s">
        <v>16</v>
      </c>
      <c r="L787" s="3">
        <v>4923.6000000000004</v>
      </c>
      <c r="M787" t="s">
        <v>11</v>
      </c>
    </row>
    <row r="788" spans="1:13" x14ac:dyDescent="0.3">
      <c r="A788">
        <v>1786</v>
      </c>
      <c r="B788" t="s">
        <v>834</v>
      </c>
      <c r="C788" t="s">
        <v>25</v>
      </c>
      <c r="D788" t="s">
        <v>54</v>
      </c>
      <c r="E788">
        <v>2</v>
      </c>
      <c r="F788" s="3">
        <v>2530.3836538461546</v>
      </c>
      <c r="G788" s="4">
        <v>1.1100000000000001</v>
      </c>
      <c r="H788" s="3">
        <v>5060.7673076923093</v>
      </c>
      <c r="I788" s="1">
        <v>45743</v>
      </c>
      <c r="J788" t="s">
        <v>46</v>
      </c>
      <c r="K788" t="s">
        <v>23</v>
      </c>
      <c r="L788" s="3">
        <v>-556.68440384615451</v>
      </c>
      <c r="M788" t="s">
        <v>2518</v>
      </c>
    </row>
    <row r="789" spans="1:13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F789" s="3">
        <v>2462.79</v>
      </c>
      <c r="G789" s="4">
        <v>0.6</v>
      </c>
      <c r="H789" s="3">
        <v>14776.74</v>
      </c>
      <c r="I789" s="1">
        <v>45612</v>
      </c>
      <c r="J789" t="s">
        <v>15</v>
      </c>
      <c r="K789" t="s">
        <v>16</v>
      </c>
      <c r="L789" s="3">
        <v>5910.6959999999999</v>
      </c>
      <c r="M789" t="s">
        <v>11</v>
      </c>
    </row>
    <row r="790" spans="1:13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 s="3">
        <v>2951.4</v>
      </c>
      <c r="G790" s="4">
        <v>0.6</v>
      </c>
      <c r="H790" s="3">
        <v>14757</v>
      </c>
      <c r="I790" s="1">
        <v>45609</v>
      </c>
      <c r="J790" t="s">
        <v>15</v>
      </c>
      <c r="K790" t="s">
        <v>23</v>
      </c>
      <c r="L790" s="3">
        <v>5902.8</v>
      </c>
      <c r="M790" t="s">
        <v>11</v>
      </c>
    </row>
    <row r="791" spans="1:13" x14ac:dyDescent="0.3">
      <c r="A791">
        <v>1789</v>
      </c>
      <c r="B791" t="s">
        <v>837</v>
      </c>
      <c r="C791" t="s">
        <v>20</v>
      </c>
      <c r="D791" t="s">
        <v>80</v>
      </c>
      <c r="E791">
        <v>2</v>
      </c>
      <c r="F791" s="3">
        <v>1433.92</v>
      </c>
      <c r="G791" s="4">
        <v>0.11</v>
      </c>
      <c r="H791" s="3">
        <v>2867.84</v>
      </c>
      <c r="I791" s="1">
        <v>45771</v>
      </c>
      <c r="J791" t="s">
        <v>56</v>
      </c>
      <c r="K791" t="s">
        <v>16</v>
      </c>
      <c r="L791" s="3">
        <v>2552.3776000000003</v>
      </c>
      <c r="M791" t="s">
        <v>11</v>
      </c>
    </row>
    <row r="792" spans="1:13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 s="3">
        <v>3268.42</v>
      </c>
      <c r="G792" s="4">
        <v>0.6</v>
      </c>
      <c r="H792" s="3">
        <v>3268.42</v>
      </c>
      <c r="I792" s="1">
        <v>45793</v>
      </c>
      <c r="J792" t="s">
        <v>15</v>
      </c>
      <c r="K792" t="s">
        <v>16</v>
      </c>
      <c r="L792" s="3">
        <v>1307.3680000000002</v>
      </c>
      <c r="M792" t="s">
        <v>11</v>
      </c>
    </row>
    <row r="793" spans="1:13" x14ac:dyDescent="0.3">
      <c r="A793">
        <v>1791</v>
      </c>
      <c r="B793" t="s">
        <v>839</v>
      </c>
      <c r="C793" t="s">
        <v>38</v>
      </c>
      <c r="D793" t="s">
        <v>39</v>
      </c>
      <c r="E793">
        <v>2</v>
      </c>
      <c r="F793" s="3">
        <v>2123.69</v>
      </c>
      <c r="G793" s="4">
        <v>0.69</v>
      </c>
      <c r="H793" s="3">
        <v>4247.38</v>
      </c>
      <c r="I793" s="1">
        <v>45655</v>
      </c>
      <c r="J793" t="s">
        <v>40</v>
      </c>
      <c r="K793" t="s">
        <v>16</v>
      </c>
      <c r="L793" s="3">
        <v>1316.6878000000002</v>
      </c>
      <c r="M793" t="s">
        <v>11</v>
      </c>
    </row>
    <row r="794" spans="1:13" x14ac:dyDescent="0.3">
      <c r="A794">
        <v>1792</v>
      </c>
      <c r="B794" t="s">
        <v>840</v>
      </c>
      <c r="C794" t="s">
        <v>13</v>
      </c>
      <c r="D794" t="s">
        <v>36</v>
      </c>
      <c r="E794">
        <v>2</v>
      </c>
      <c r="F794" s="3">
        <v>2882.5046551724135</v>
      </c>
      <c r="G794" s="4">
        <v>0.83</v>
      </c>
      <c r="H794" s="3">
        <v>5765.0093103448271</v>
      </c>
      <c r="I794" s="1">
        <v>45696</v>
      </c>
      <c r="J794" t="s">
        <v>22</v>
      </c>
      <c r="K794" t="s">
        <v>23</v>
      </c>
      <c r="L794" s="3">
        <v>980.05158275862084</v>
      </c>
      <c r="M794" t="s">
        <v>11</v>
      </c>
    </row>
    <row r="795" spans="1:13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 s="3">
        <v>1887.84</v>
      </c>
      <c r="G795" s="4">
        <v>0.6</v>
      </c>
      <c r="H795" s="3">
        <v>9439.1999999999989</v>
      </c>
      <c r="I795" s="1">
        <v>45525</v>
      </c>
      <c r="J795" t="s">
        <v>18</v>
      </c>
      <c r="K795" t="s">
        <v>16</v>
      </c>
      <c r="L795" s="3">
        <v>3775.68</v>
      </c>
      <c r="M795" t="s">
        <v>11</v>
      </c>
    </row>
    <row r="796" spans="1:13" x14ac:dyDescent="0.3">
      <c r="A796">
        <v>1794</v>
      </c>
      <c r="B796" t="s">
        <v>842</v>
      </c>
      <c r="C796" t="s">
        <v>20</v>
      </c>
      <c r="D796" t="s">
        <v>88</v>
      </c>
      <c r="E796">
        <v>2</v>
      </c>
      <c r="F796" s="3">
        <v>2725.8557142857148</v>
      </c>
      <c r="G796" s="4">
        <v>0.6</v>
      </c>
      <c r="H796" s="3">
        <v>5451.7114285714297</v>
      </c>
      <c r="I796" s="1">
        <v>45818</v>
      </c>
      <c r="J796" t="s">
        <v>40</v>
      </c>
      <c r="K796" t="s">
        <v>23</v>
      </c>
      <c r="L796" s="3">
        <v>2180.6845714285719</v>
      </c>
      <c r="M796" t="s">
        <v>11</v>
      </c>
    </row>
    <row r="797" spans="1:13" x14ac:dyDescent="0.3">
      <c r="A797">
        <v>1795</v>
      </c>
      <c r="B797" t="s">
        <v>843</v>
      </c>
      <c r="C797" t="s">
        <v>29</v>
      </c>
      <c r="D797" t="s">
        <v>141</v>
      </c>
      <c r="E797">
        <v>2</v>
      </c>
      <c r="F797" s="3">
        <v>2462.79</v>
      </c>
      <c r="G797" s="4">
        <v>0.6</v>
      </c>
      <c r="H797" s="3">
        <v>4925.58</v>
      </c>
      <c r="I797" s="1">
        <v>45769</v>
      </c>
      <c r="J797" t="s">
        <v>56</v>
      </c>
      <c r="K797" t="s">
        <v>16</v>
      </c>
      <c r="L797" s="3">
        <v>1970.232</v>
      </c>
      <c r="M797" t="s">
        <v>11</v>
      </c>
    </row>
    <row r="798" spans="1:13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F798" s="3">
        <v>2804.2651923076919</v>
      </c>
      <c r="G798" s="4">
        <v>0.94</v>
      </c>
      <c r="H798" s="3">
        <v>-2804.2651923076919</v>
      </c>
      <c r="I798" s="1">
        <v>45782</v>
      </c>
      <c r="J798" t="s">
        <v>46</v>
      </c>
      <c r="K798" t="s">
        <v>23</v>
      </c>
      <c r="L798" s="3">
        <v>-168.25591153846167</v>
      </c>
      <c r="M798" t="s">
        <v>2518</v>
      </c>
    </row>
    <row r="799" spans="1:13" x14ac:dyDescent="0.3">
      <c r="A799">
        <v>1797</v>
      </c>
      <c r="B799" t="s">
        <v>845</v>
      </c>
      <c r="C799" t="s">
        <v>38</v>
      </c>
      <c r="D799" t="s">
        <v>39</v>
      </c>
      <c r="E799">
        <v>2</v>
      </c>
      <c r="F799" s="3">
        <v>4305.0200000000004</v>
      </c>
      <c r="G799" s="4">
        <v>0.6</v>
      </c>
      <c r="H799" s="3">
        <v>8610.0400000000009</v>
      </c>
      <c r="I799" s="1">
        <v>45663</v>
      </c>
      <c r="J799" t="s">
        <v>18</v>
      </c>
      <c r="K799" t="s">
        <v>23</v>
      </c>
      <c r="L799" s="3">
        <v>3444.0160000000005</v>
      </c>
      <c r="M799" t="s">
        <v>11</v>
      </c>
    </row>
    <row r="800" spans="1:13" x14ac:dyDescent="0.3">
      <c r="A800">
        <v>1798</v>
      </c>
      <c r="B800" t="s">
        <v>846</v>
      </c>
      <c r="C800" t="s">
        <v>25</v>
      </c>
      <c r="D800" t="s">
        <v>86</v>
      </c>
      <c r="E800">
        <v>2</v>
      </c>
      <c r="F800" s="3">
        <v>2490.16</v>
      </c>
      <c r="G800" s="4">
        <v>0.6</v>
      </c>
      <c r="H800" s="3">
        <v>4980.32</v>
      </c>
      <c r="I800" s="1">
        <v>45859</v>
      </c>
      <c r="J800" t="s">
        <v>22</v>
      </c>
      <c r="K800" t="s">
        <v>23</v>
      </c>
      <c r="L800" s="3">
        <v>1992.1279999999999</v>
      </c>
      <c r="M800" t="s">
        <v>11</v>
      </c>
    </row>
    <row r="801" spans="1:13" x14ac:dyDescent="0.3">
      <c r="A801">
        <v>1799</v>
      </c>
      <c r="B801" t="s">
        <v>847</v>
      </c>
      <c r="C801" t="s">
        <v>25</v>
      </c>
      <c r="D801" t="s">
        <v>86</v>
      </c>
      <c r="E801">
        <v>2</v>
      </c>
      <c r="F801" s="3">
        <v>1101.5</v>
      </c>
      <c r="G801" s="4">
        <v>0.81</v>
      </c>
      <c r="H801" s="3">
        <v>2203</v>
      </c>
      <c r="I801" s="1">
        <v>45782</v>
      </c>
      <c r="J801" t="s">
        <v>22</v>
      </c>
      <c r="K801" t="s">
        <v>23</v>
      </c>
      <c r="L801" s="3">
        <v>418.56999999999988</v>
      </c>
      <c r="M801" t="s">
        <v>2518</v>
      </c>
    </row>
    <row r="802" spans="1:13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F802" s="3">
        <v>2681.1743636363635</v>
      </c>
      <c r="G802" s="4">
        <v>0.93</v>
      </c>
      <c r="H802" s="3">
        <v>16087.046181818181</v>
      </c>
      <c r="I802" s="1">
        <v>45680</v>
      </c>
      <c r="J802" t="s">
        <v>22</v>
      </c>
      <c r="K802" t="s">
        <v>23</v>
      </c>
      <c r="L802" s="3">
        <v>1126.0932327272719</v>
      </c>
      <c r="M802" t="s">
        <v>11</v>
      </c>
    </row>
    <row r="803" spans="1:13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F803" s="3">
        <v>2530.3836538461546</v>
      </c>
      <c r="G803" s="4">
        <v>0.6</v>
      </c>
      <c r="H803" s="3">
        <v>-5060.7673076923093</v>
      </c>
      <c r="I803" s="1">
        <v>45770</v>
      </c>
      <c r="J803" t="s">
        <v>40</v>
      </c>
      <c r="K803" t="s">
        <v>16</v>
      </c>
      <c r="L803" s="3">
        <v>-2024.3069230769238</v>
      </c>
      <c r="M803" t="s">
        <v>2518</v>
      </c>
    </row>
    <row r="804" spans="1:13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F804" s="3">
        <v>2572.7764000000006</v>
      </c>
      <c r="G804" s="4">
        <v>0.6</v>
      </c>
      <c r="H804" s="3">
        <v>-2572.7764000000006</v>
      </c>
      <c r="I804" s="1">
        <v>45708</v>
      </c>
      <c r="J804" t="s">
        <v>15</v>
      </c>
      <c r="K804" t="s">
        <v>23</v>
      </c>
      <c r="L804" s="3">
        <v>-1029.1105600000003</v>
      </c>
      <c r="M804" t="s">
        <v>2518</v>
      </c>
    </row>
    <row r="805" spans="1:13" x14ac:dyDescent="0.3">
      <c r="A805">
        <v>1803</v>
      </c>
      <c r="B805" t="s">
        <v>851</v>
      </c>
      <c r="C805" t="s">
        <v>29</v>
      </c>
      <c r="D805" t="s">
        <v>42</v>
      </c>
      <c r="E805">
        <v>2</v>
      </c>
      <c r="F805" s="3">
        <v>2559.6667307692314</v>
      </c>
      <c r="G805" s="4">
        <v>0.6</v>
      </c>
      <c r="H805" s="3">
        <v>5119.3334615384629</v>
      </c>
      <c r="I805" s="1">
        <v>45782</v>
      </c>
      <c r="J805" t="s">
        <v>22</v>
      </c>
      <c r="K805" t="s">
        <v>23</v>
      </c>
      <c r="L805" s="3">
        <v>2047.7333846153851</v>
      </c>
      <c r="M805" t="s">
        <v>11</v>
      </c>
    </row>
    <row r="806" spans="1:13" x14ac:dyDescent="0.3">
      <c r="A806">
        <v>1804</v>
      </c>
      <c r="B806" t="s">
        <v>852</v>
      </c>
      <c r="C806" t="s">
        <v>38</v>
      </c>
      <c r="D806" t="s">
        <v>59</v>
      </c>
      <c r="E806">
        <v>2</v>
      </c>
      <c r="F806" s="3">
        <v>2804.2651923076919</v>
      </c>
      <c r="G806" s="4">
        <v>0.6</v>
      </c>
      <c r="H806" s="3">
        <v>5608.5303846153838</v>
      </c>
      <c r="I806" s="1">
        <v>45779</v>
      </c>
      <c r="J806" t="s">
        <v>22</v>
      </c>
      <c r="K806" t="s">
        <v>23</v>
      </c>
      <c r="L806" s="3">
        <v>2243.4121538461536</v>
      </c>
      <c r="M806" t="s">
        <v>11</v>
      </c>
    </row>
    <row r="807" spans="1:13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 s="3">
        <v>1534.98</v>
      </c>
      <c r="G807" s="4">
        <v>0.6</v>
      </c>
      <c r="H807" s="3">
        <v>1534.98</v>
      </c>
      <c r="I807" s="1">
        <v>45505</v>
      </c>
      <c r="J807" t="s">
        <v>40</v>
      </c>
      <c r="K807" t="s">
        <v>23</v>
      </c>
      <c r="L807" s="3">
        <v>613.99200000000008</v>
      </c>
      <c r="M807" t="s">
        <v>11</v>
      </c>
    </row>
    <row r="808" spans="1:13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F808" s="3">
        <v>2804.2651923076919</v>
      </c>
      <c r="G808" s="4">
        <v>0.6</v>
      </c>
      <c r="H808" s="3">
        <v>2804.2651923076919</v>
      </c>
      <c r="I808" s="1">
        <v>45695</v>
      </c>
      <c r="J808" t="s">
        <v>46</v>
      </c>
      <c r="K808" t="s">
        <v>16</v>
      </c>
      <c r="L808" s="3">
        <v>1121.7060769230768</v>
      </c>
      <c r="M808" t="s">
        <v>11</v>
      </c>
    </row>
    <row r="809" spans="1:13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 s="3">
        <v>2308.12</v>
      </c>
      <c r="G809" s="4">
        <v>0.6</v>
      </c>
      <c r="H809" s="3">
        <v>9232.48</v>
      </c>
      <c r="I809" s="1">
        <v>45811</v>
      </c>
      <c r="J809" t="s">
        <v>40</v>
      </c>
      <c r="K809" t="s">
        <v>16</v>
      </c>
      <c r="L809" s="3">
        <v>3692.9920000000002</v>
      </c>
      <c r="M809" t="s">
        <v>11</v>
      </c>
    </row>
    <row r="810" spans="1:13" x14ac:dyDescent="0.3">
      <c r="A810">
        <v>1808</v>
      </c>
      <c r="B810" t="s">
        <v>475</v>
      </c>
      <c r="C810" t="s">
        <v>33</v>
      </c>
      <c r="D810" t="s">
        <v>44</v>
      </c>
      <c r="E810">
        <v>2</v>
      </c>
      <c r="F810" s="3">
        <v>4582.21</v>
      </c>
      <c r="G810" s="4">
        <v>0.7</v>
      </c>
      <c r="H810" s="3">
        <v>9164.42</v>
      </c>
      <c r="I810" s="1">
        <v>45782</v>
      </c>
      <c r="J810" t="s">
        <v>40</v>
      </c>
      <c r="K810" t="s">
        <v>23</v>
      </c>
      <c r="L810" s="3">
        <v>2749.3260000000005</v>
      </c>
      <c r="M810" t="s">
        <v>11</v>
      </c>
    </row>
    <row r="811" spans="1:13" x14ac:dyDescent="0.3">
      <c r="A811">
        <v>1809</v>
      </c>
      <c r="B811" t="s">
        <v>856</v>
      </c>
      <c r="C811" t="s">
        <v>38</v>
      </c>
      <c r="D811" t="s">
        <v>63</v>
      </c>
      <c r="E811">
        <v>2</v>
      </c>
      <c r="F811" s="3">
        <v>3799.39</v>
      </c>
      <c r="G811" s="4">
        <v>0.76</v>
      </c>
      <c r="H811" s="3">
        <v>7598.78</v>
      </c>
      <c r="I811" s="1">
        <v>45602</v>
      </c>
      <c r="J811" t="s">
        <v>40</v>
      </c>
      <c r="K811" t="s">
        <v>23</v>
      </c>
      <c r="L811" s="3">
        <v>1823.7071999999998</v>
      </c>
      <c r="M811" t="s">
        <v>11</v>
      </c>
    </row>
    <row r="812" spans="1:13" x14ac:dyDescent="0.3">
      <c r="A812">
        <v>1810</v>
      </c>
      <c r="B812" t="s">
        <v>857</v>
      </c>
      <c r="C812" t="s">
        <v>29</v>
      </c>
      <c r="D812" t="s">
        <v>42</v>
      </c>
      <c r="E812">
        <v>2</v>
      </c>
      <c r="F812" s="3">
        <v>2559.6667307692314</v>
      </c>
      <c r="G812" s="4">
        <v>0.39</v>
      </c>
      <c r="H812" s="3">
        <v>5119.3334615384629</v>
      </c>
      <c r="I812" s="1">
        <v>45776</v>
      </c>
      <c r="J812" t="s">
        <v>22</v>
      </c>
      <c r="K812" t="s">
        <v>23</v>
      </c>
      <c r="L812" s="3">
        <v>3122.7934115384624</v>
      </c>
      <c r="M812" t="s">
        <v>11</v>
      </c>
    </row>
    <row r="813" spans="1:13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F813" s="3">
        <v>2501.5309999999999</v>
      </c>
      <c r="G813" s="4">
        <v>0.99</v>
      </c>
      <c r="H813" s="3">
        <v>5003.0619999999999</v>
      </c>
      <c r="I813" s="1">
        <v>45492</v>
      </c>
      <c r="J813" t="s">
        <v>40</v>
      </c>
      <c r="K813" t="s">
        <v>23</v>
      </c>
      <c r="L813" s="3">
        <v>50.030620000000042</v>
      </c>
      <c r="M813" t="s">
        <v>2518</v>
      </c>
    </row>
    <row r="814" spans="1:13" x14ac:dyDescent="0.3">
      <c r="A814">
        <v>1812</v>
      </c>
      <c r="B814" t="s">
        <v>859</v>
      </c>
      <c r="C814" t="s">
        <v>20</v>
      </c>
      <c r="D814" t="s">
        <v>88</v>
      </c>
      <c r="E814">
        <v>2</v>
      </c>
      <c r="F814" s="3">
        <v>2725.8557142857148</v>
      </c>
      <c r="G814" s="4">
        <v>0.6</v>
      </c>
      <c r="H814" s="3">
        <v>5451.7114285714297</v>
      </c>
      <c r="I814" s="1">
        <v>45683</v>
      </c>
      <c r="J814" t="s">
        <v>15</v>
      </c>
      <c r="K814" t="s">
        <v>23</v>
      </c>
      <c r="L814" s="3">
        <v>2180.6845714285719</v>
      </c>
      <c r="M814" t="s">
        <v>11</v>
      </c>
    </row>
    <row r="815" spans="1:13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F815" s="3">
        <v>2700.1263043478252</v>
      </c>
      <c r="G815" s="4">
        <v>0.6</v>
      </c>
      <c r="H815" s="3">
        <v>0</v>
      </c>
      <c r="I815" s="1">
        <v>45851</v>
      </c>
      <c r="J815" t="s">
        <v>18</v>
      </c>
      <c r="K815" t="s">
        <v>23</v>
      </c>
      <c r="L815" s="3">
        <v>0</v>
      </c>
      <c r="M815" t="s">
        <v>2518</v>
      </c>
    </row>
    <row r="816" spans="1:13" x14ac:dyDescent="0.3">
      <c r="A816">
        <v>1814</v>
      </c>
      <c r="B816" t="s">
        <v>861</v>
      </c>
      <c r="C816" t="s">
        <v>33</v>
      </c>
      <c r="D816" t="s">
        <v>44</v>
      </c>
      <c r="E816">
        <v>2</v>
      </c>
      <c r="F816" s="3">
        <v>2841.7630612244907</v>
      </c>
      <c r="G816" s="4">
        <v>0.6</v>
      </c>
      <c r="H816" s="3">
        <v>5683.5261224489814</v>
      </c>
      <c r="I816" s="1">
        <v>45655</v>
      </c>
      <c r="J816" t="s">
        <v>15</v>
      </c>
      <c r="K816" t="s">
        <v>23</v>
      </c>
      <c r="L816" s="3">
        <v>2273.4104489795927</v>
      </c>
      <c r="M816" t="s">
        <v>11</v>
      </c>
    </row>
    <row r="817" spans="1:13" x14ac:dyDescent="0.3">
      <c r="A817">
        <v>1815</v>
      </c>
      <c r="B817" t="s">
        <v>862</v>
      </c>
      <c r="C817" t="s">
        <v>38</v>
      </c>
      <c r="D817" t="s">
        <v>39</v>
      </c>
      <c r="E817">
        <v>2</v>
      </c>
      <c r="F817" s="3">
        <v>3008.3844444444444</v>
      </c>
      <c r="G817" s="4">
        <v>0.6</v>
      </c>
      <c r="H817" s="3">
        <v>6016.7688888888888</v>
      </c>
      <c r="I817" s="1">
        <v>45806</v>
      </c>
      <c r="J817" t="s">
        <v>40</v>
      </c>
      <c r="K817" t="s">
        <v>23</v>
      </c>
      <c r="L817" s="3">
        <v>2406.7075555555557</v>
      </c>
      <c r="M817" t="s">
        <v>11</v>
      </c>
    </row>
    <row r="818" spans="1:13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 s="3">
        <v>1130.83</v>
      </c>
      <c r="G818" s="4">
        <v>0.84</v>
      </c>
      <c r="H818" s="3">
        <v>1130.83</v>
      </c>
      <c r="I818" s="1">
        <v>45135</v>
      </c>
      <c r="J818" t="s">
        <v>56</v>
      </c>
      <c r="K818" t="s">
        <v>23</v>
      </c>
      <c r="L818" s="3">
        <v>180.93280000000001</v>
      </c>
      <c r="M818" t="s">
        <v>2518</v>
      </c>
    </row>
    <row r="819" spans="1:13" x14ac:dyDescent="0.3">
      <c r="A819">
        <v>1817</v>
      </c>
      <c r="B819" t="s">
        <v>864</v>
      </c>
      <c r="C819" t="s">
        <v>25</v>
      </c>
      <c r="D819" t="s">
        <v>66</v>
      </c>
      <c r="E819">
        <v>2</v>
      </c>
      <c r="F819" s="3">
        <v>2964.88</v>
      </c>
      <c r="G819" s="4">
        <v>1.28</v>
      </c>
      <c r="H819" s="3">
        <v>5929.76</v>
      </c>
      <c r="I819" s="1">
        <v>45521</v>
      </c>
      <c r="J819" t="s">
        <v>22</v>
      </c>
      <c r="K819" t="s">
        <v>23</v>
      </c>
      <c r="L819" s="3">
        <v>-1660.3328000000001</v>
      </c>
      <c r="M819" t="s">
        <v>2518</v>
      </c>
    </row>
    <row r="820" spans="1:13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 s="3">
        <v>3449.33</v>
      </c>
      <c r="G820" s="4">
        <v>0.43</v>
      </c>
      <c r="H820" s="3">
        <v>-3449.33</v>
      </c>
      <c r="I820" s="1">
        <v>45782</v>
      </c>
      <c r="J820" t="s">
        <v>15</v>
      </c>
      <c r="K820" t="s">
        <v>16</v>
      </c>
      <c r="L820" s="3">
        <v>-1966.1181000000001</v>
      </c>
      <c r="M820" t="s">
        <v>2518</v>
      </c>
    </row>
    <row r="821" spans="1:13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 s="3">
        <v>1761.18</v>
      </c>
      <c r="G821" s="4">
        <v>0.6</v>
      </c>
      <c r="H821" s="3">
        <v>10567.08</v>
      </c>
      <c r="I821" s="1">
        <v>45782</v>
      </c>
      <c r="J821" t="s">
        <v>22</v>
      </c>
      <c r="K821" t="s">
        <v>23</v>
      </c>
      <c r="L821" s="3">
        <v>4226.8320000000003</v>
      </c>
      <c r="M821" t="s">
        <v>11</v>
      </c>
    </row>
    <row r="822" spans="1:13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 s="3">
        <v>1965.04</v>
      </c>
      <c r="G822" s="4">
        <v>0.6</v>
      </c>
      <c r="H822" s="3">
        <v>9825.2000000000007</v>
      </c>
      <c r="I822" s="1">
        <v>45132</v>
      </c>
      <c r="J822" t="s">
        <v>46</v>
      </c>
      <c r="K822" t="s">
        <v>23</v>
      </c>
      <c r="L822" s="3">
        <v>3930.0800000000004</v>
      </c>
      <c r="M822" t="s">
        <v>11</v>
      </c>
    </row>
    <row r="823" spans="1:13" x14ac:dyDescent="0.3">
      <c r="A823">
        <v>1821</v>
      </c>
      <c r="B823" t="s">
        <v>867</v>
      </c>
      <c r="C823" t="s">
        <v>20</v>
      </c>
      <c r="D823" t="s">
        <v>122</v>
      </c>
      <c r="E823">
        <v>2</v>
      </c>
      <c r="F823" s="3">
        <v>2700.1263043478252</v>
      </c>
      <c r="G823" s="4">
        <v>0.65</v>
      </c>
      <c r="H823" s="3">
        <v>5400.2526086956505</v>
      </c>
      <c r="I823" s="1">
        <v>45782</v>
      </c>
      <c r="J823" t="s">
        <v>18</v>
      </c>
      <c r="K823" t="s">
        <v>16</v>
      </c>
      <c r="L823" s="3">
        <v>1890.0884130434774</v>
      </c>
      <c r="M823" t="s">
        <v>11</v>
      </c>
    </row>
    <row r="824" spans="1:13" x14ac:dyDescent="0.3">
      <c r="A824">
        <v>1822</v>
      </c>
      <c r="B824" t="s">
        <v>868</v>
      </c>
      <c r="C824" t="s">
        <v>20</v>
      </c>
      <c r="D824" t="s">
        <v>80</v>
      </c>
      <c r="E824">
        <v>2</v>
      </c>
      <c r="F824" s="3">
        <v>938.86</v>
      </c>
      <c r="G824" s="4">
        <v>0.05</v>
      </c>
      <c r="H824" s="3">
        <v>1877.72</v>
      </c>
      <c r="I824" s="1">
        <v>45479</v>
      </c>
      <c r="J824" t="s">
        <v>56</v>
      </c>
      <c r="K824" t="s">
        <v>16</v>
      </c>
      <c r="L824" s="3">
        <v>1783.8339999999998</v>
      </c>
      <c r="M824" t="s">
        <v>11</v>
      </c>
    </row>
    <row r="825" spans="1:13" x14ac:dyDescent="0.3">
      <c r="A825">
        <v>1823</v>
      </c>
      <c r="B825" t="s">
        <v>869</v>
      </c>
      <c r="C825" t="s">
        <v>33</v>
      </c>
      <c r="D825" t="s">
        <v>44</v>
      </c>
      <c r="E825">
        <v>2</v>
      </c>
      <c r="F825" s="3">
        <v>3887.15</v>
      </c>
      <c r="G825" s="4">
        <v>0.6</v>
      </c>
      <c r="H825" s="3">
        <v>7774.3</v>
      </c>
      <c r="I825" s="1">
        <v>45835</v>
      </c>
      <c r="J825" t="s">
        <v>18</v>
      </c>
      <c r="K825" t="s">
        <v>16</v>
      </c>
      <c r="L825" s="3">
        <v>3109.7200000000003</v>
      </c>
      <c r="M825" t="s">
        <v>11</v>
      </c>
    </row>
    <row r="826" spans="1:13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 s="3">
        <v>4146.2700000000004</v>
      </c>
      <c r="G826" s="4">
        <v>1.29</v>
      </c>
      <c r="H826" s="3">
        <v>0</v>
      </c>
      <c r="I826" s="1">
        <v>45346</v>
      </c>
      <c r="J826" t="s">
        <v>56</v>
      </c>
      <c r="K826" t="s">
        <v>23</v>
      </c>
      <c r="L826" s="3">
        <v>0</v>
      </c>
      <c r="M826" t="s">
        <v>2518</v>
      </c>
    </row>
    <row r="827" spans="1:13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 s="3">
        <v>982.65</v>
      </c>
      <c r="G827" s="4">
        <v>0.6</v>
      </c>
      <c r="H827" s="3">
        <v>5895.9</v>
      </c>
      <c r="I827" s="1">
        <v>45782</v>
      </c>
      <c r="J827" t="s">
        <v>22</v>
      </c>
      <c r="K827" t="s">
        <v>23</v>
      </c>
      <c r="L827" s="3">
        <v>2358.36</v>
      </c>
      <c r="M827" t="s">
        <v>11</v>
      </c>
    </row>
    <row r="828" spans="1:13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F828" s="3">
        <v>2487.039615384615</v>
      </c>
      <c r="G828" s="4">
        <v>0.6</v>
      </c>
      <c r="H828" s="3">
        <v>14922.23769230769</v>
      </c>
      <c r="I828" s="1">
        <v>45623</v>
      </c>
      <c r="J828" t="s">
        <v>15</v>
      </c>
      <c r="K828" t="s">
        <v>23</v>
      </c>
      <c r="L828" s="3">
        <v>5968.895076923076</v>
      </c>
      <c r="M828" t="s">
        <v>11</v>
      </c>
    </row>
    <row r="829" spans="1:13" x14ac:dyDescent="0.3">
      <c r="A829">
        <v>1827</v>
      </c>
      <c r="B829" t="s">
        <v>873</v>
      </c>
      <c r="C829" t="s">
        <v>13</v>
      </c>
      <c r="D829" t="s">
        <v>49</v>
      </c>
      <c r="E829">
        <v>2</v>
      </c>
      <c r="F829" s="3">
        <v>3109.74</v>
      </c>
      <c r="G829" s="4">
        <v>0.6</v>
      </c>
      <c r="H829" s="3">
        <v>6219.48</v>
      </c>
      <c r="I829" s="1">
        <v>45782</v>
      </c>
      <c r="J829" t="s">
        <v>22</v>
      </c>
      <c r="K829" t="s">
        <v>23</v>
      </c>
      <c r="L829" s="3">
        <v>2487.7919999999999</v>
      </c>
      <c r="M829" t="s">
        <v>11</v>
      </c>
    </row>
    <row r="830" spans="1:13" x14ac:dyDescent="0.3">
      <c r="A830">
        <v>1828</v>
      </c>
      <c r="B830" t="s">
        <v>874</v>
      </c>
      <c r="C830" t="s">
        <v>38</v>
      </c>
      <c r="D830" t="s">
        <v>59</v>
      </c>
      <c r="E830">
        <v>2</v>
      </c>
      <c r="F830" s="3">
        <v>4427.9399999999996</v>
      </c>
      <c r="G830" s="4">
        <v>0.25</v>
      </c>
      <c r="H830" s="3">
        <v>8855.8799999999992</v>
      </c>
      <c r="I830" s="1">
        <v>45526</v>
      </c>
      <c r="J830" t="s">
        <v>22</v>
      </c>
      <c r="K830" t="s">
        <v>23</v>
      </c>
      <c r="L830" s="3">
        <v>6641.91</v>
      </c>
      <c r="M830" t="s">
        <v>11</v>
      </c>
    </row>
    <row r="831" spans="1:13" x14ac:dyDescent="0.3">
      <c r="A831">
        <v>1829</v>
      </c>
      <c r="B831" t="s">
        <v>875</v>
      </c>
      <c r="C831" t="s">
        <v>25</v>
      </c>
      <c r="D831" t="s">
        <v>54</v>
      </c>
      <c r="E831">
        <v>2</v>
      </c>
      <c r="F831" s="3">
        <v>2530.3836538461546</v>
      </c>
      <c r="G831" s="4">
        <v>0.6</v>
      </c>
      <c r="H831" s="3">
        <v>5060.7673076923093</v>
      </c>
      <c r="I831" s="1">
        <v>45351</v>
      </c>
      <c r="J831" t="s">
        <v>15</v>
      </c>
      <c r="K831" t="s">
        <v>23</v>
      </c>
      <c r="L831" s="3">
        <v>2024.3069230769238</v>
      </c>
      <c r="M831" t="s">
        <v>11</v>
      </c>
    </row>
    <row r="832" spans="1:13" x14ac:dyDescent="0.3">
      <c r="A832">
        <v>1830</v>
      </c>
      <c r="B832" t="s">
        <v>876</v>
      </c>
      <c r="C832" t="s">
        <v>38</v>
      </c>
      <c r="D832" t="s">
        <v>39</v>
      </c>
      <c r="E832">
        <v>2</v>
      </c>
      <c r="F832" s="3">
        <v>3008.3844444444444</v>
      </c>
      <c r="G832" s="4">
        <v>0.6</v>
      </c>
      <c r="H832" s="3">
        <v>6016.7688888888888</v>
      </c>
      <c r="I832" s="1">
        <v>45521</v>
      </c>
      <c r="J832" t="s">
        <v>46</v>
      </c>
      <c r="K832" t="s">
        <v>23</v>
      </c>
      <c r="L832" s="3">
        <v>2406.7075555555557</v>
      </c>
      <c r="M832" t="s">
        <v>11</v>
      </c>
    </row>
    <row r="833" spans="1:13" x14ac:dyDescent="0.3">
      <c r="A833">
        <v>1831</v>
      </c>
      <c r="B833" t="s">
        <v>877</v>
      </c>
      <c r="C833" t="s">
        <v>25</v>
      </c>
      <c r="D833" t="s">
        <v>26</v>
      </c>
      <c r="E833">
        <v>2</v>
      </c>
      <c r="F833" s="3">
        <v>895.34</v>
      </c>
      <c r="G833" s="4">
        <v>0.6</v>
      </c>
      <c r="H833" s="3">
        <v>1790.68</v>
      </c>
      <c r="I833" s="1">
        <v>45520</v>
      </c>
      <c r="J833" t="s">
        <v>40</v>
      </c>
      <c r="K833" t="s">
        <v>23</v>
      </c>
      <c r="L833" s="3">
        <v>716.27200000000005</v>
      </c>
      <c r="M833" t="s">
        <v>11</v>
      </c>
    </row>
    <row r="834" spans="1:13" x14ac:dyDescent="0.3">
      <c r="A834">
        <v>1832</v>
      </c>
      <c r="B834" t="s">
        <v>878</v>
      </c>
      <c r="C834" t="s">
        <v>25</v>
      </c>
      <c r="D834" t="s">
        <v>26</v>
      </c>
      <c r="E834">
        <v>2</v>
      </c>
      <c r="F834" s="3">
        <v>2888.8714285714286</v>
      </c>
      <c r="G834" s="4">
        <v>0.43</v>
      </c>
      <c r="H834" s="3">
        <v>5777.7428571428572</v>
      </c>
      <c r="I834" s="1">
        <v>45546</v>
      </c>
      <c r="J834" t="s">
        <v>18</v>
      </c>
      <c r="K834" t="s">
        <v>16</v>
      </c>
      <c r="L834" s="3">
        <v>3293.3134285714291</v>
      </c>
      <c r="M834" t="s">
        <v>11</v>
      </c>
    </row>
    <row r="835" spans="1:13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 s="3">
        <v>3051.77</v>
      </c>
      <c r="G835" s="4">
        <v>1.19</v>
      </c>
      <c r="H835" s="3">
        <v>9155.31</v>
      </c>
      <c r="I835" s="1">
        <v>45686</v>
      </c>
      <c r="J835" t="s">
        <v>56</v>
      </c>
      <c r="K835" t="s">
        <v>23</v>
      </c>
      <c r="L835" s="3">
        <v>-1739.5088999999994</v>
      </c>
      <c r="M835" t="s">
        <v>2518</v>
      </c>
    </row>
    <row r="836" spans="1:13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F836" s="3">
        <v>2725.8557142857148</v>
      </c>
      <c r="G836" s="4">
        <v>0.94</v>
      </c>
      <c r="H836" s="3">
        <v>0</v>
      </c>
      <c r="I836" s="1">
        <v>45792</v>
      </c>
      <c r="J836" t="s">
        <v>18</v>
      </c>
      <c r="K836" t="s">
        <v>16</v>
      </c>
      <c r="L836" s="3">
        <v>0</v>
      </c>
      <c r="M836" t="s">
        <v>2518</v>
      </c>
    </row>
    <row r="837" spans="1:13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F837" s="3">
        <v>2576.3056896551716</v>
      </c>
      <c r="G837" s="4">
        <v>0.51</v>
      </c>
      <c r="H837" s="3">
        <v>0</v>
      </c>
      <c r="I837" s="1">
        <v>45512</v>
      </c>
      <c r="J837" t="s">
        <v>56</v>
      </c>
      <c r="K837" t="s">
        <v>23</v>
      </c>
      <c r="L837" s="3">
        <v>0</v>
      </c>
      <c r="M837" t="s">
        <v>2518</v>
      </c>
    </row>
    <row r="838" spans="1:13" x14ac:dyDescent="0.3">
      <c r="A838">
        <v>1836</v>
      </c>
      <c r="B838" t="s">
        <v>881</v>
      </c>
      <c r="C838" t="s">
        <v>13</v>
      </c>
      <c r="D838" t="s">
        <v>49</v>
      </c>
      <c r="E838">
        <v>2</v>
      </c>
      <c r="F838" s="3">
        <v>2105.94</v>
      </c>
      <c r="G838" s="4">
        <v>0.16</v>
      </c>
      <c r="H838" s="3">
        <v>4211.88</v>
      </c>
      <c r="I838" s="1">
        <v>45782</v>
      </c>
      <c r="J838" t="s">
        <v>18</v>
      </c>
      <c r="K838" t="s">
        <v>23</v>
      </c>
      <c r="L838" s="3">
        <v>3537.9791999999998</v>
      </c>
      <c r="M838" t="s">
        <v>11</v>
      </c>
    </row>
    <row r="839" spans="1:13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F839" s="3">
        <v>2700.1263043478252</v>
      </c>
      <c r="G839" s="4">
        <v>0.6</v>
      </c>
      <c r="H839" s="3">
        <v>10800.505217391301</v>
      </c>
      <c r="I839" s="1">
        <v>45762</v>
      </c>
      <c r="J839" t="s">
        <v>22</v>
      </c>
      <c r="K839" t="s">
        <v>23</v>
      </c>
      <c r="L839" s="3">
        <v>4320.2020869565204</v>
      </c>
      <c r="M839" t="s">
        <v>11</v>
      </c>
    </row>
    <row r="840" spans="1:13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F840" s="3">
        <v>2868.7768181818178</v>
      </c>
      <c r="G840" s="4">
        <v>0.6</v>
      </c>
      <c r="H840" s="3">
        <v>-5737.5536363636356</v>
      </c>
      <c r="I840" s="1">
        <v>45613</v>
      </c>
      <c r="J840" t="s">
        <v>46</v>
      </c>
      <c r="K840" t="s">
        <v>23</v>
      </c>
      <c r="L840" s="3">
        <v>-2295.0214545454542</v>
      </c>
      <c r="M840" t="s">
        <v>2518</v>
      </c>
    </row>
    <row r="841" spans="1:13" x14ac:dyDescent="0.3">
      <c r="A841">
        <v>1839</v>
      </c>
      <c r="B841" t="s">
        <v>884</v>
      </c>
      <c r="C841" t="s">
        <v>33</v>
      </c>
      <c r="D841" t="s">
        <v>72</v>
      </c>
      <c r="E841">
        <v>2</v>
      </c>
      <c r="F841" s="3">
        <v>2067.64</v>
      </c>
      <c r="G841" s="4">
        <v>0.6</v>
      </c>
      <c r="H841" s="3">
        <v>4135.28</v>
      </c>
      <c r="I841" s="1">
        <v>45782</v>
      </c>
      <c r="J841" t="s">
        <v>40</v>
      </c>
      <c r="K841" t="s">
        <v>23</v>
      </c>
      <c r="L841" s="3">
        <v>1654.1120000000001</v>
      </c>
      <c r="M841" t="s">
        <v>11</v>
      </c>
    </row>
    <row r="842" spans="1:13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 s="3">
        <v>1462.1</v>
      </c>
      <c r="G842" s="4">
        <v>0.3</v>
      </c>
      <c r="H842" s="3">
        <v>0</v>
      </c>
      <c r="I842" s="1">
        <v>45496</v>
      </c>
      <c r="J842" t="s">
        <v>18</v>
      </c>
      <c r="K842" t="s">
        <v>23</v>
      </c>
      <c r="L842" s="3">
        <v>0</v>
      </c>
      <c r="M842" t="s">
        <v>2518</v>
      </c>
    </row>
    <row r="843" spans="1:13" x14ac:dyDescent="0.3">
      <c r="A843">
        <v>1841</v>
      </c>
      <c r="B843" t="s">
        <v>886</v>
      </c>
      <c r="C843" t="s">
        <v>20</v>
      </c>
      <c r="D843" t="s">
        <v>21</v>
      </c>
      <c r="E843">
        <v>2</v>
      </c>
      <c r="F843" s="3">
        <v>2681.1743636363635</v>
      </c>
      <c r="G843" s="4">
        <v>0.6</v>
      </c>
      <c r="H843" s="3">
        <v>5362.348727272727</v>
      </c>
      <c r="I843" s="1">
        <v>45747</v>
      </c>
      <c r="J843" t="s">
        <v>15</v>
      </c>
      <c r="K843" t="s">
        <v>16</v>
      </c>
      <c r="L843" s="3">
        <v>2144.9394909090911</v>
      </c>
      <c r="M843" t="s">
        <v>11</v>
      </c>
    </row>
    <row r="844" spans="1:13" x14ac:dyDescent="0.3">
      <c r="A844">
        <v>1842</v>
      </c>
      <c r="B844" t="s">
        <v>887</v>
      </c>
      <c r="C844" t="s">
        <v>20</v>
      </c>
      <c r="D844" t="s">
        <v>122</v>
      </c>
      <c r="E844">
        <v>2</v>
      </c>
      <c r="F844" s="3">
        <v>2700.1263043478252</v>
      </c>
      <c r="G844" s="4">
        <v>0.11</v>
      </c>
      <c r="H844" s="3">
        <v>5400.2526086956505</v>
      </c>
      <c r="I844" s="1">
        <v>45726</v>
      </c>
      <c r="J844" t="s">
        <v>56</v>
      </c>
      <c r="K844" t="s">
        <v>16</v>
      </c>
      <c r="L844" s="3">
        <v>4806.2248217391289</v>
      </c>
      <c r="M844" t="s">
        <v>11</v>
      </c>
    </row>
    <row r="845" spans="1:13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F845" s="3">
        <v>3008.3844444444444</v>
      </c>
      <c r="G845" s="4">
        <v>0.06</v>
      </c>
      <c r="H845" s="3">
        <v>-6016.7688888888888</v>
      </c>
      <c r="I845" s="1">
        <v>45816</v>
      </c>
      <c r="J845" t="s">
        <v>56</v>
      </c>
      <c r="K845" t="s">
        <v>23</v>
      </c>
      <c r="L845" s="3">
        <v>-5655.7627555555555</v>
      </c>
      <c r="M845" t="s">
        <v>2518</v>
      </c>
    </row>
    <row r="846" spans="1:13" x14ac:dyDescent="0.3">
      <c r="A846">
        <v>1844</v>
      </c>
      <c r="B846" t="s">
        <v>889</v>
      </c>
      <c r="C846" t="s">
        <v>29</v>
      </c>
      <c r="D846" t="s">
        <v>42</v>
      </c>
      <c r="E846">
        <v>2</v>
      </c>
      <c r="F846" s="3">
        <v>2559.6667307692314</v>
      </c>
      <c r="G846" s="4">
        <v>0.6</v>
      </c>
      <c r="H846" s="3">
        <v>5119.3334615384629</v>
      </c>
      <c r="I846" s="1">
        <v>45842</v>
      </c>
      <c r="J846" t="s">
        <v>15</v>
      </c>
      <c r="K846" t="s">
        <v>16</v>
      </c>
      <c r="L846" s="3">
        <v>2047.7333846153851</v>
      </c>
      <c r="M846" t="s">
        <v>11</v>
      </c>
    </row>
    <row r="847" spans="1:13" x14ac:dyDescent="0.3">
      <c r="A847">
        <v>1845</v>
      </c>
      <c r="B847" t="s">
        <v>890</v>
      </c>
      <c r="C847" t="s">
        <v>33</v>
      </c>
      <c r="D847" t="s">
        <v>34</v>
      </c>
      <c r="E847">
        <v>2</v>
      </c>
      <c r="F847" s="3">
        <v>2487.039615384615</v>
      </c>
      <c r="G847" s="4">
        <v>0.12</v>
      </c>
      <c r="H847" s="3">
        <v>4974.07923076923</v>
      </c>
      <c r="I847" s="1">
        <v>45690</v>
      </c>
      <c r="J847" t="s">
        <v>46</v>
      </c>
      <c r="K847" t="s">
        <v>16</v>
      </c>
      <c r="L847" s="3">
        <v>4377.1897230769227</v>
      </c>
      <c r="M847" t="s">
        <v>11</v>
      </c>
    </row>
    <row r="848" spans="1:13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 s="3">
        <v>694.71</v>
      </c>
      <c r="G848" s="4">
        <v>0.6</v>
      </c>
      <c r="H848" s="3">
        <v>-694.71</v>
      </c>
      <c r="I848" s="1">
        <v>45683</v>
      </c>
      <c r="J848" t="s">
        <v>18</v>
      </c>
      <c r="K848" t="s">
        <v>23</v>
      </c>
      <c r="L848" s="3">
        <v>-277.88400000000001</v>
      </c>
      <c r="M848" t="s">
        <v>2518</v>
      </c>
    </row>
    <row r="849" spans="1:13" x14ac:dyDescent="0.3">
      <c r="A849">
        <v>1847</v>
      </c>
      <c r="B849" t="s">
        <v>892</v>
      </c>
      <c r="C849" t="s">
        <v>38</v>
      </c>
      <c r="D849" t="s">
        <v>91</v>
      </c>
      <c r="E849">
        <v>2</v>
      </c>
      <c r="F849" s="3">
        <v>1334.66</v>
      </c>
      <c r="G849" s="4">
        <v>1.29</v>
      </c>
      <c r="H849" s="3">
        <v>2669.32</v>
      </c>
      <c r="I849" s="1">
        <v>45793</v>
      </c>
      <c r="J849" t="s">
        <v>40</v>
      </c>
      <c r="K849" t="s">
        <v>23</v>
      </c>
      <c r="L849" s="3">
        <v>-774.10280000000012</v>
      </c>
      <c r="M849" t="s">
        <v>2518</v>
      </c>
    </row>
    <row r="850" spans="1:13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F850" s="3">
        <v>2776.2202000000002</v>
      </c>
      <c r="G850" s="4">
        <v>0.6</v>
      </c>
      <c r="H850" s="3">
        <v>-2776.2202000000002</v>
      </c>
      <c r="I850" s="1">
        <v>45634</v>
      </c>
      <c r="J850" t="s">
        <v>15</v>
      </c>
      <c r="K850" t="s">
        <v>16</v>
      </c>
      <c r="L850" s="3">
        <v>-1110.4880800000001</v>
      </c>
      <c r="M850" t="s">
        <v>2518</v>
      </c>
    </row>
    <row r="851" spans="1:13" x14ac:dyDescent="0.3">
      <c r="A851">
        <v>1849</v>
      </c>
      <c r="B851" t="s">
        <v>894</v>
      </c>
      <c r="C851" t="s">
        <v>33</v>
      </c>
      <c r="D851" t="s">
        <v>44</v>
      </c>
      <c r="E851">
        <v>2</v>
      </c>
      <c r="F851" s="3">
        <v>927.04</v>
      </c>
      <c r="G851" s="4">
        <v>0.6</v>
      </c>
      <c r="H851" s="3">
        <v>1854.08</v>
      </c>
      <c r="I851" s="1">
        <v>45782</v>
      </c>
      <c r="J851" t="s">
        <v>18</v>
      </c>
      <c r="K851" t="s">
        <v>16</v>
      </c>
      <c r="L851" s="3">
        <v>741.63200000000006</v>
      </c>
      <c r="M851" t="s">
        <v>11</v>
      </c>
    </row>
    <row r="852" spans="1:13" x14ac:dyDescent="0.3">
      <c r="A852">
        <v>1850</v>
      </c>
      <c r="B852" t="s">
        <v>895</v>
      </c>
      <c r="C852" t="s">
        <v>29</v>
      </c>
      <c r="D852" t="s">
        <v>30</v>
      </c>
      <c r="E852">
        <v>2</v>
      </c>
      <c r="F852" s="3">
        <v>1307.27</v>
      </c>
      <c r="G852" s="4">
        <v>1.27</v>
      </c>
      <c r="H852" s="3">
        <v>2614.54</v>
      </c>
      <c r="I852" s="1">
        <v>45143</v>
      </c>
      <c r="J852" t="s">
        <v>56</v>
      </c>
      <c r="K852" t="s">
        <v>23</v>
      </c>
      <c r="L852" s="3">
        <v>-705.92579999999998</v>
      </c>
      <c r="M852" t="s">
        <v>2518</v>
      </c>
    </row>
    <row r="853" spans="1:13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 s="3">
        <v>1505</v>
      </c>
      <c r="G853" s="4">
        <v>0.6</v>
      </c>
      <c r="H853" s="3">
        <v>7525</v>
      </c>
      <c r="I853" s="1">
        <v>45637</v>
      </c>
      <c r="J853" t="s">
        <v>40</v>
      </c>
      <c r="K853" t="s">
        <v>23</v>
      </c>
      <c r="L853" s="3">
        <v>3010</v>
      </c>
      <c r="M853" t="s">
        <v>11</v>
      </c>
    </row>
    <row r="854" spans="1:13" x14ac:dyDescent="0.3">
      <c r="A854">
        <v>1852</v>
      </c>
      <c r="B854" t="s">
        <v>897</v>
      </c>
      <c r="C854" t="s">
        <v>33</v>
      </c>
      <c r="D854" t="s">
        <v>82</v>
      </c>
      <c r="E854">
        <v>2</v>
      </c>
      <c r="F854" s="3">
        <v>1985.55</v>
      </c>
      <c r="G854" s="4">
        <v>0.13</v>
      </c>
      <c r="H854" s="3">
        <v>3971.1</v>
      </c>
      <c r="I854" s="1">
        <v>45408</v>
      </c>
      <c r="J854" t="s">
        <v>18</v>
      </c>
      <c r="K854" t="s">
        <v>16</v>
      </c>
      <c r="L854" s="3">
        <v>3454.857</v>
      </c>
      <c r="M854" t="s">
        <v>11</v>
      </c>
    </row>
    <row r="855" spans="1:13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 s="3">
        <v>2862.48</v>
      </c>
      <c r="G855" s="4">
        <v>0.6</v>
      </c>
      <c r="H855" s="3">
        <v>8587.44</v>
      </c>
      <c r="I855" s="1">
        <v>45184</v>
      </c>
      <c r="J855" t="s">
        <v>18</v>
      </c>
      <c r="K855" t="s">
        <v>23</v>
      </c>
      <c r="L855" s="3">
        <v>3434.9760000000006</v>
      </c>
      <c r="M855" t="s">
        <v>11</v>
      </c>
    </row>
    <row r="856" spans="1:13" x14ac:dyDescent="0.3">
      <c r="A856">
        <v>1854</v>
      </c>
      <c r="B856" t="s">
        <v>899</v>
      </c>
      <c r="C856" t="s">
        <v>13</v>
      </c>
      <c r="D856" t="s">
        <v>36</v>
      </c>
      <c r="E856">
        <v>2</v>
      </c>
      <c r="F856" s="3">
        <v>3822.93</v>
      </c>
      <c r="G856" s="4">
        <v>1.07</v>
      </c>
      <c r="H856" s="3">
        <v>7645.86</v>
      </c>
      <c r="I856" s="1">
        <v>45782</v>
      </c>
      <c r="J856" t="s">
        <v>56</v>
      </c>
      <c r="K856" t="s">
        <v>23</v>
      </c>
      <c r="L856" s="3">
        <v>-535.21020000000044</v>
      </c>
      <c r="M856" t="s">
        <v>2518</v>
      </c>
    </row>
    <row r="857" spans="1:13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 s="3">
        <v>3870.85</v>
      </c>
      <c r="G857" s="4">
        <v>0.6</v>
      </c>
      <c r="H857" s="3">
        <v>19354.25</v>
      </c>
      <c r="I857" s="1">
        <v>45691</v>
      </c>
      <c r="J857" t="s">
        <v>40</v>
      </c>
      <c r="K857" t="s">
        <v>16</v>
      </c>
      <c r="L857" s="3">
        <v>7741.7000000000007</v>
      </c>
      <c r="M857" t="s">
        <v>11</v>
      </c>
    </row>
    <row r="858" spans="1:13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 s="3">
        <v>2737.23</v>
      </c>
      <c r="G858" s="4">
        <v>0.6</v>
      </c>
      <c r="H858" s="3">
        <v>2737.23</v>
      </c>
      <c r="I858" s="1">
        <v>45785</v>
      </c>
      <c r="J858" t="s">
        <v>22</v>
      </c>
      <c r="K858" t="s">
        <v>23</v>
      </c>
      <c r="L858" s="3">
        <v>1094.8920000000001</v>
      </c>
      <c r="M858" t="s">
        <v>11</v>
      </c>
    </row>
    <row r="859" spans="1:13" x14ac:dyDescent="0.3">
      <c r="A859">
        <v>1857</v>
      </c>
      <c r="B859" t="s">
        <v>902</v>
      </c>
      <c r="C859" t="s">
        <v>29</v>
      </c>
      <c r="D859" t="s">
        <v>120</v>
      </c>
      <c r="E859">
        <v>2</v>
      </c>
      <c r="F859" s="3">
        <v>2830.1325714285731</v>
      </c>
      <c r="G859" s="4">
        <v>0.6</v>
      </c>
      <c r="H859" s="3">
        <v>5660.2651428571462</v>
      </c>
      <c r="I859" s="1">
        <v>45616</v>
      </c>
      <c r="J859" t="s">
        <v>22</v>
      </c>
      <c r="K859" t="s">
        <v>23</v>
      </c>
      <c r="L859" s="3">
        <v>2264.1060571428584</v>
      </c>
      <c r="M859" t="s">
        <v>11</v>
      </c>
    </row>
    <row r="860" spans="1:13" x14ac:dyDescent="0.3">
      <c r="A860">
        <v>1858</v>
      </c>
      <c r="B860" t="s">
        <v>903</v>
      </c>
      <c r="C860" t="s">
        <v>13</v>
      </c>
      <c r="D860" t="s">
        <v>102</v>
      </c>
      <c r="E860">
        <v>2</v>
      </c>
      <c r="F860" s="3">
        <v>3647.61</v>
      </c>
      <c r="G860" s="4">
        <v>0.6</v>
      </c>
      <c r="H860" s="3">
        <v>7295.22</v>
      </c>
      <c r="I860" s="1">
        <v>45723</v>
      </c>
      <c r="J860" t="s">
        <v>22</v>
      </c>
      <c r="K860" t="s">
        <v>23</v>
      </c>
      <c r="L860" s="3">
        <v>2918.0880000000002</v>
      </c>
      <c r="M860" t="s">
        <v>11</v>
      </c>
    </row>
    <row r="861" spans="1:13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 s="3">
        <v>1442.86</v>
      </c>
      <c r="G861" s="4">
        <v>0.85</v>
      </c>
      <c r="H861" s="3">
        <v>5771.44</v>
      </c>
      <c r="I861" s="1">
        <v>45757</v>
      </c>
      <c r="J861" t="s">
        <v>56</v>
      </c>
      <c r="K861" t="s">
        <v>23</v>
      </c>
      <c r="L861" s="3">
        <v>865.71600000000012</v>
      </c>
      <c r="M861" t="s">
        <v>11</v>
      </c>
    </row>
    <row r="862" spans="1:13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F862" s="3">
        <v>2804.2651923076919</v>
      </c>
      <c r="G862" s="4">
        <v>1.1499999999999999</v>
      </c>
      <c r="H862" s="3">
        <v>8412.7955769230757</v>
      </c>
      <c r="I862" s="1">
        <v>45782</v>
      </c>
      <c r="J862" t="s">
        <v>40</v>
      </c>
      <c r="K862" t="s">
        <v>23</v>
      </c>
      <c r="L862" s="3">
        <v>-1261.9193365384606</v>
      </c>
      <c r="M862" t="s">
        <v>2518</v>
      </c>
    </row>
    <row r="863" spans="1:13" x14ac:dyDescent="0.3">
      <c r="A863">
        <v>1861</v>
      </c>
      <c r="B863" t="s">
        <v>906</v>
      </c>
      <c r="C863" t="s">
        <v>20</v>
      </c>
      <c r="D863" t="s">
        <v>80</v>
      </c>
      <c r="E863">
        <v>2</v>
      </c>
      <c r="F863" s="3">
        <v>2483.5844000000002</v>
      </c>
      <c r="G863" s="4">
        <v>0.6</v>
      </c>
      <c r="H863" s="3">
        <v>4967.1688000000004</v>
      </c>
      <c r="I863" s="1">
        <v>45681</v>
      </c>
      <c r="J863" t="s">
        <v>18</v>
      </c>
      <c r="K863" t="s">
        <v>23</v>
      </c>
      <c r="L863" s="3">
        <v>1986.8675200000002</v>
      </c>
      <c r="M863" t="s">
        <v>11</v>
      </c>
    </row>
    <row r="864" spans="1:13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 s="3">
        <v>4739.66</v>
      </c>
      <c r="G864" s="4">
        <v>0.6</v>
      </c>
      <c r="H864" s="3">
        <v>23698.3</v>
      </c>
      <c r="I864" s="1">
        <v>45782</v>
      </c>
      <c r="J864" t="s">
        <v>15</v>
      </c>
      <c r="K864" t="s">
        <v>16</v>
      </c>
      <c r="L864" s="3">
        <v>9479.32</v>
      </c>
      <c r="M864" t="s">
        <v>11</v>
      </c>
    </row>
    <row r="865" spans="1:13" x14ac:dyDescent="0.3">
      <c r="A865">
        <v>1863</v>
      </c>
      <c r="B865" t="s">
        <v>908</v>
      </c>
      <c r="C865" t="s">
        <v>25</v>
      </c>
      <c r="D865" t="s">
        <v>54</v>
      </c>
      <c r="E865">
        <v>2</v>
      </c>
      <c r="F865" s="3">
        <v>3521.17</v>
      </c>
      <c r="G865" s="4">
        <v>0.79</v>
      </c>
      <c r="H865" s="3">
        <v>7042.34</v>
      </c>
      <c r="I865" s="1">
        <v>45419</v>
      </c>
      <c r="J865" t="s">
        <v>18</v>
      </c>
      <c r="K865" t="s">
        <v>23</v>
      </c>
      <c r="L865" s="3">
        <v>1478.8913999999997</v>
      </c>
      <c r="M865" t="s">
        <v>11</v>
      </c>
    </row>
    <row r="866" spans="1:13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 s="3">
        <v>1570.06</v>
      </c>
      <c r="G866" s="4">
        <v>0.6</v>
      </c>
      <c r="H866" s="3">
        <v>6280.24</v>
      </c>
      <c r="I866" s="1">
        <v>45342</v>
      </c>
      <c r="J866" t="s">
        <v>15</v>
      </c>
      <c r="K866" t="s">
        <v>23</v>
      </c>
      <c r="L866" s="3">
        <v>2512.096</v>
      </c>
      <c r="M866" t="s">
        <v>11</v>
      </c>
    </row>
    <row r="867" spans="1:13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 s="3">
        <v>2496.81</v>
      </c>
      <c r="G867" s="4">
        <v>0.6</v>
      </c>
      <c r="H867" s="3">
        <v>4993.62</v>
      </c>
      <c r="I867" s="1">
        <v>45401</v>
      </c>
      <c r="J867" t="s">
        <v>56</v>
      </c>
      <c r="K867" t="s">
        <v>23</v>
      </c>
      <c r="L867" s="3">
        <v>1997.4480000000001</v>
      </c>
      <c r="M867" t="s">
        <v>11</v>
      </c>
    </row>
    <row r="868" spans="1:13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 s="3">
        <v>4471.17</v>
      </c>
      <c r="G868" s="4">
        <v>0.6</v>
      </c>
      <c r="H868" s="3">
        <v>17884.68</v>
      </c>
      <c r="I868" s="1">
        <v>45770</v>
      </c>
      <c r="J868" t="s">
        <v>46</v>
      </c>
      <c r="K868" t="s">
        <v>16</v>
      </c>
      <c r="L868" s="3">
        <v>7153.8720000000003</v>
      </c>
      <c r="M868" t="s">
        <v>11</v>
      </c>
    </row>
    <row r="869" spans="1:13" x14ac:dyDescent="0.3">
      <c r="A869">
        <v>1867</v>
      </c>
      <c r="B869" t="s">
        <v>912</v>
      </c>
      <c r="C869" t="s">
        <v>38</v>
      </c>
      <c r="D869" t="s">
        <v>91</v>
      </c>
      <c r="E869">
        <v>2</v>
      </c>
      <c r="F869" s="3">
        <v>1892.54</v>
      </c>
      <c r="G869" s="4">
        <v>0.09</v>
      </c>
      <c r="H869" s="3">
        <v>3785.08</v>
      </c>
      <c r="I869" s="1">
        <v>45702</v>
      </c>
      <c r="J869" t="s">
        <v>18</v>
      </c>
      <c r="K869" t="s">
        <v>16</v>
      </c>
      <c r="L869" s="3">
        <v>3444.4227999999998</v>
      </c>
      <c r="M869" t="s">
        <v>11</v>
      </c>
    </row>
    <row r="870" spans="1:13" x14ac:dyDescent="0.3">
      <c r="A870">
        <v>1868</v>
      </c>
      <c r="B870" t="s">
        <v>913</v>
      </c>
      <c r="C870" t="s">
        <v>25</v>
      </c>
      <c r="D870" t="s">
        <v>86</v>
      </c>
      <c r="E870">
        <v>2</v>
      </c>
      <c r="F870" s="3">
        <v>2501.5309999999999</v>
      </c>
      <c r="G870" s="4">
        <v>0.6</v>
      </c>
      <c r="H870" s="3">
        <v>5003.0619999999999</v>
      </c>
      <c r="I870" s="1">
        <v>45517</v>
      </c>
      <c r="J870" t="s">
        <v>15</v>
      </c>
      <c r="K870" t="s">
        <v>23</v>
      </c>
      <c r="L870" s="3">
        <v>2001.2248</v>
      </c>
      <c r="M870" t="s">
        <v>11</v>
      </c>
    </row>
    <row r="871" spans="1:13" x14ac:dyDescent="0.3">
      <c r="A871">
        <v>1869</v>
      </c>
      <c r="B871" t="s">
        <v>914</v>
      </c>
      <c r="C871" t="s">
        <v>20</v>
      </c>
      <c r="D871" t="s">
        <v>88</v>
      </c>
      <c r="E871">
        <v>2</v>
      </c>
      <c r="F871" s="3">
        <v>2725.8557142857148</v>
      </c>
      <c r="G871" s="4">
        <v>0.6</v>
      </c>
      <c r="H871" s="3">
        <v>5451.7114285714297</v>
      </c>
      <c r="I871" s="1">
        <v>45782</v>
      </c>
      <c r="J871" t="s">
        <v>18</v>
      </c>
      <c r="K871" t="s">
        <v>16</v>
      </c>
      <c r="L871" s="3">
        <v>2180.6845714285719</v>
      </c>
      <c r="M871" t="s">
        <v>11</v>
      </c>
    </row>
    <row r="872" spans="1:13" x14ac:dyDescent="0.3">
      <c r="A872">
        <v>1870</v>
      </c>
      <c r="B872" t="s">
        <v>915</v>
      </c>
      <c r="C872" t="s">
        <v>25</v>
      </c>
      <c r="D872" t="s">
        <v>54</v>
      </c>
      <c r="E872">
        <v>2</v>
      </c>
      <c r="F872" s="3">
        <v>1870.68</v>
      </c>
      <c r="G872" s="4">
        <v>0.6</v>
      </c>
      <c r="H872" s="3">
        <v>3741.36</v>
      </c>
      <c r="I872" s="1">
        <v>45782</v>
      </c>
      <c r="J872" t="s">
        <v>46</v>
      </c>
      <c r="K872" t="s">
        <v>23</v>
      </c>
      <c r="L872" s="3">
        <v>1496.5440000000001</v>
      </c>
      <c r="M872" t="s">
        <v>11</v>
      </c>
    </row>
    <row r="873" spans="1:13" x14ac:dyDescent="0.3">
      <c r="A873">
        <v>1871</v>
      </c>
      <c r="B873" t="s">
        <v>916</v>
      </c>
      <c r="C873" t="s">
        <v>38</v>
      </c>
      <c r="D873" t="s">
        <v>63</v>
      </c>
      <c r="E873">
        <v>2</v>
      </c>
      <c r="F873" s="3">
        <v>2845.2419672131159</v>
      </c>
      <c r="G873" s="4">
        <v>0.6</v>
      </c>
      <c r="H873" s="3">
        <v>5690.4839344262318</v>
      </c>
      <c r="I873" s="1">
        <v>45588</v>
      </c>
      <c r="J873" t="s">
        <v>40</v>
      </c>
      <c r="K873" t="s">
        <v>16</v>
      </c>
      <c r="L873" s="3">
        <v>2276.193573770493</v>
      </c>
      <c r="M873" t="s">
        <v>11</v>
      </c>
    </row>
    <row r="874" spans="1:13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 s="3">
        <v>3381.64</v>
      </c>
      <c r="G874" s="4">
        <v>0.48</v>
      </c>
      <c r="H874" s="3">
        <v>3381.64</v>
      </c>
      <c r="I874" s="1">
        <v>45782</v>
      </c>
      <c r="J874" t="s">
        <v>15</v>
      </c>
      <c r="K874" t="s">
        <v>23</v>
      </c>
      <c r="L874" s="3">
        <v>1758.4528</v>
      </c>
      <c r="M874" t="s">
        <v>11</v>
      </c>
    </row>
    <row r="875" spans="1:13" x14ac:dyDescent="0.3">
      <c r="A875">
        <v>1873</v>
      </c>
      <c r="B875" t="s">
        <v>918</v>
      </c>
      <c r="C875" t="s">
        <v>20</v>
      </c>
      <c r="D875" t="s">
        <v>80</v>
      </c>
      <c r="E875">
        <v>2</v>
      </c>
      <c r="F875" s="3">
        <v>2483.5844000000002</v>
      </c>
      <c r="G875" s="4">
        <v>0.6</v>
      </c>
      <c r="H875" s="3">
        <v>4967.1688000000004</v>
      </c>
      <c r="I875" s="1">
        <v>45466</v>
      </c>
      <c r="J875" t="s">
        <v>15</v>
      </c>
      <c r="K875" t="s">
        <v>23</v>
      </c>
      <c r="L875" s="3">
        <v>1986.8675200000002</v>
      </c>
      <c r="M875" t="s">
        <v>11</v>
      </c>
    </row>
    <row r="876" spans="1:13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 s="3">
        <v>2847.02</v>
      </c>
      <c r="G876" s="4">
        <v>0.6</v>
      </c>
      <c r="H876" s="3">
        <v>14235.1</v>
      </c>
      <c r="I876" s="1">
        <v>45378</v>
      </c>
      <c r="J876" t="s">
        <v>18</v>
      </c>
      <c r="K876" t="s">
        <v>23</v>
      </c>
      <c r="L876" s="3">
        <v>5694.0400000000009</v>
      </c>
      <c r="M876" t="s">
        <v>11</v>
      </c>
    </row>
    <row r="877" spans="1:13" x14ac:dyDescent="0.3">
      <c r="A877">
        <v>1875</v>
      </c>
      <c r="B877" t="s">
        <v>920</v>
      </c>
      <c r="C877" t="s">
        <v>29</v>
      </c>
      <c r="D877" t="s">
        <v>120</v>
      </c>
      <c r="E877">
        <v>2</v>
      </c>
      <c r="F877" s="3">
        <v>2830.1325714285731</v>
      </c>
      <c r="G877" s="4">
        <v>0.6</v>
      </c>
      <c r="H877" s="3">
        <v>5660.2651428571462</v>
      </c>
      <c r="I877" s="1">
        <v>45524</v>
      </c>
      <c r="J877" t="s">
        <v>46</v>
      </c>
      <c r="K877" t="s">
        <v>16</v>
      </c>
      <c r="L877" s="3">
        <v>2264.1060571428584</v>
      </c>
      <c r="M877" t="s">
        <v>11</v>
      </c>
    </row>
    <row r="878" spans="1:13" x14ac:dyDescent="0.3">
      <c r="A878">
        <v>1876</v>
      </c>
      <c r="B878" t="s">
        <v>921</v>
      </c>
      <c r="C878" t="s">
        <v>25</v>
      </c>
      <c r="D878" t="s">
        <v>26</v>
      </c>
      <c r="E878">
        <v>2</v>
      </c>
      <c r="F878" s="3">
        <v>2888.8714285714286</v>
      </c>
      <c r="G878" s="4">
        <v>0.32</v>
      </c>
      <c r="H878" s="3">
        <v>5777.7428571428572</v>
      </c>
      <c r="I878" s="1">
        <v>45744</v>
      </c>
      <c r="J878" t="s">
        <v>22</v>
      </c>
      <c r="K878" t="s">
        <v>23</v>
      </c>
      <c r="L878" s="3">
        <v>3928.8651428571425</v>
      </c>
      <c r="M878" t="s">
        <v>11</v>
      </c>
    </row>
    <row r="879" spans="1:13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F879" s="3">
        <v>2487.039615384615</v>
      </c>
      <c r="G879" s="4">
        <v>0.6</v>
      </c>
      <c r="H879" s="3">
        <v>-2487.039615384615</v>
      </c>
      <c r="I879" s="1">
        <v>45836</v>
      </c>
      <c r="J879" t="s">
        <v>46</v>
      </c>
      <c r="K879" t="s">
        <v>23</v>
      </c>
      <c r="L879" s="3">
        <v>-994.815846153846</v>
      </c>
      <c r="M879" t="s">
        <v>2518</v>
      </c>
    </row>
    <row r="880" spans="1:13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F880" s="3">
        <v>2804.2651923076919</v>
      </c>
      <c r="G880" s="4">
        <v>0.6</v>
      </c>
      <c r="H880" s="3">
        <v>11217.060769230768</v>
      </c>
      <c r="I880" s="1">
        <v>45783</v>
      </c>
      <c r="J880" t="s">
        <v>40</v>
      </c>
      <c r="K880" t="s">
        <v>16</v>
      </c>
      <c r="L880" s="3">
        <v>4486.8243076923072</v>
      </c>
      <c r="M880" t="s">
        <v>11</v>
      </c>
    </row>
    <row r="881" spans="1:13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 s="3">
        <v>444.11</v>
      </c>
      <c r="G881" s="4">
        <v>0.6</v>
      </c>
      <c r="H881" s="3">
        <v>0</v>
      </c>
      <c r="I881" s="1">
        <v>45547</v>
      </c>
      <c r="J881" t="s">
        <v>18</v>
      </c>
      <c r="K881" t="s">
        <v>16</v>
      </c>
      <c r="L881" s="3">
        <v>0</v>
      </c>
      <c r="M881" t="s">
        <v>2518</v>
      </c>
    </row>
    <row r="882" spans="1:13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 s="3">
        <v>772.97</v>
      </c>
      <c r="G882" s="4">
        <v>0.9</v>
      </c>
      <c r="H882" s="3">
        <v>772.97</v>
      </c>
      <c r="I882" s="1">
        <v>45575</v>
      </c>
      <c r="J882" t="s">
        <v>46</v>
      </c>
      <c r="K882" t="s">
        <v>23</v>
      </c>
      <c r="L882" s="3">
        <v>77.296999999999983</v>
      </c>
      <c r="M882" t="s">
        <v>2518</v>
      </c>
    </row>
    <row r="883" spans="1:13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 s="3">
        <v>1772.6</v>
      </c>
      <c r="G883" s="4">
        <v>0.6</v>
      </c>
      <c r="H883" s="3">
        <v>5317.7999999999993</v>
      </c>
      <c r="I883" s="1">
        <v>45836</v>
      </c>
      <c r="J883" t="s">
        <v>40</v>
      </c>
      <c r="K883" t="s">
        <v>23</v>
      </c>
      <c r="L883" s="3">
        <v>2127.12</v>
      </c>
      <c r="M883" t="s">
        <v>11</v>
      </c>
    </row>
    <row r="884" spans="1:13" x14ac:dyDescent="0.3">
      <c r="A884">
        <v>1882</v>
      </c>
      <c r="B884" t="s">
        <v>927</v>
      </c>
      <c r="C884" t="s">
        <v>20</v>
      </c>
      <c r="D884" t="s">
        <v>88</v>
      </c>
      <c r="E884">
        <v>2</v>
      </c>
      <c r="F884" s="3">
        <v>1622.79</v>
      </c>
      <c r="G884" s="4">
        <v>0.6</v>
      </c>
      <c r="H884" s="3">
        <v>3245.58</v>
      </c>
      <c r="I884" s="1">
        <v>45831</v>
      </c>
      <c r="J884" t="s">
        <v>15</v>
      </c>
      <c r="K884" t="s">
        <v>16</v>
      </c>
      <c r="L884" s="3">
        <v>1298.232</v>
      </c>
      <c r="M884" t="s">
        <v>11</v>
      </c>
    </row>
    <row r="885" spans="1:13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 s="3">
        <v>4350.8599999999997</v>
      </c>
      <c r="G885" s="4">
        <v>0.6</v>
      </c>
      <c r="H885" s="3">
        <v>-4350.8599999999997</v>
      </c>
      <c r="I885" s="1">
        <v>45782</v>
      </c>
      <c r="J885" t="s">
        <v>46</v>
      </c>
      <c r="K885" t="s">
        <v>23</v>
      </c>
      <c r="L885" s="3">
        <v>-1740.3440000000001</v>
      </c>
      <c r="M885" t="s">
        <v>2518</v>
      </c>
    </row>
    <row r="886" spans="1:13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F886" s="3">
        <v>2572.7764000000006</v>
      </c>
      <c r="G886" s="4">
        <v>0.6</v>
      </c>
      <c r="H886" s="3">
        <v>15436.658400000004</v>
      </c>
      <c r="I886" s="1">
        <v>45860</v>
      </c>
      <c r="J886" t="s">
        <v>15</v>
      </c>
      <c r="K886" t="s">
        <v>16</v>
      </c>
      <c r="L886" s="3">
        <v>6174.6633600000023</v>
      </c>
      <c r="M886" t="s">
        <v>11</v>
      </c>
    </row>
    <row r="887" spans="1:13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F887" s="3">
        <v>2715.5458490566025</v>
      </c>
      <c r="G887" s="4">
        <v>0.6</v>
      </c>
      <c r="H887" s="3">
        <v>0</v>
      </c>
      <c r="I887" s="1">
        <v>45669</v>
      </c>
      <c r="J887" t="s">
        <v>15</v>
      </c>
      <c r="K887" t="s">
        <v>23</v>
      </c>
      <c r="L887" s="3">
        <v>0</v>
      </c>
      <c r="M887" t="s">
        <v>2518</v>
      </c>
    </row>
    <row r="888" spans="1:13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 s="3">
        <v>1229.0999999999999</v>
      </c>
      <c r="G888" s="4">
        <v>0.6</v>
      </c>
      <c r="H888" s="3">
        <v>7374.5999999999995</v>
      </c>
      <c r="I888" s="1">
        <v>45782</v>
      </c>
      <c r="J888" t="s">
        <v>56</v>
      </c>
      <c r="K888" t="s">
        <v>16</v>
      </c>
      <c r="L888" s="3">
        <v>2949.84</v>
      </c>
      <c r="M888" t="s">
        <v>11</v>
      </c>
    </row>
    <row r="889" spans="1:13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F889" s="3">
        <v>2715.5458490566025</v>
      </c>
      <c r="G889" s="4">
        <v>0.6</v>
      </c>
      <c r="H889" s="3">
        <v>8146.6375471698075</v>
      </c>
      <c r="I889" s="1">
        <v>45775</v>
      </c>
      <c r="J889" t="s">
        <v>18</v>
      </c>
      <c r="K889" t="s">
        <v>23</v>
      </c>
      <c r="L889" s="3">
        <v>3258.655018867923</v>
      </c>
      <c r="M889" t="s">
        <v>11</v>
      </c>
    </row>
    <row r="890" spans="1:13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F890" s="3">
        <v>2530.3836538461546</v>
      </c>
      <c r="G890" s="4">
        <v>0.39</v>
      </c>
      <c r="H890" s="3">
        <v>15182.301923076928</v>
      </c>
      <c r="I890" s="1">
        <v>45782</v>
      </c>
      <c r="J890" t="s">
        <v>22</v>
      </c>
      <c r="K890" t="s">
        <v>23</v>
      </c>
      <c r="L890" s="3">
        <v>9261.2041730769251</v>
      </c>
      <c r="M890" t="s">
        <v>11</v>
      </c>
    </row>
    <row r="891" spans="1:13" x14ac:dyDescent="0.3">
      <c r="A891">
        <v>1889</v>
      </c>
      <c r="B891" t="s">
        <v>934</v>
      </c>
      <c r="C891" t="s">
        <v>38</v>
      </c>
      <c r="D891" t="s">
        <v>59</v>
      </c>
      <c r="E891">
        <v>2</v>
      </c>
      <c r="F891" s="3">
        <v>3948.83</v>
      </c>
      <c r="G891" s="4">
        <v>0.6</v>
      </c>
      <c r="H891" s="3">
        <v>7897.66</v>
      </c>
      <c r="I891" s="1">
        <v>45458</v>
      </c>
      <c r="J891" t="s">
        <v>46</v>
      </c>
      <c r="K891" t="s">
        <v>23</v>
      </c>
      <c r="L891" s="3">
        <v>3159.0640000000003</v>
      </c>
      <c r="M891" t="s">
        <v>11</v>
      </c>
    </row>
    <row r="892" spans="1:13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 s="3">
        <v>3772.51</v>
      </c>
      <c r="G892" s="4">
        <v>0.6</v>
      </c>
      <c r="H892" s="3">
        <v>7545.02</v>
      </c>
      <c r="I892" s="1">
        <v>45782</v>
      </c>
      <c r="J892" t="s">
        <v>40</v>
      </c>
      <c r="K892" t="s">
        <v>23</v>
      </c>
      <c r="L892" s="3">
        <v>3018.0080000000003</v>
      </c>
      <c r="M892" t="s">
        <v>11</v>
      </c>
    </row>
    <row r="893" spans="1:13" x14ac:dyDescent="0.3">
      <c r="A893">
        <v>1891</v>
      </c>
      <c r="B893" t="s">
        <v>936</v>
      </c>
      <c r="C893" t="s">
        <v>33</v>
      </c>
      <c r="D893" t="s">
        <v>34</v>
      </c>
      <c r="E893">
        <v>2</v>
      </c>
      <c r="F893" s="3">
        <v>2727.86</v>
      </c>
      <c r="G893" s="4">
        <v>0.6</v>
      </c>
      <c r="H893" s="3">
        <v>5455.72</v>
      </c>
      <c r="I893" s="1">
        <v>45521</v>
      </c>
      <c r="J893" t="s">
        <v>18</v>
      </c>
      <c r="K893" t="s">
        <v>16</v>
      </c>
      <c r="L893" s="3">
        <v>2182.288</v>
      </c>
      <c r="M893" t="s">
        <v>11</v>
      </c>
    </row>
    <row r="894" spans="1:13" x14ac:dyDescent="0.3">
      <c r="A894">
        <v>1892</v>
      </c>
      <c r="B894" t="s">
        <v>937</v>
      </c>
      <c r="C894" t="s">
        <v>13</v>
      </c>
      <c r="D894" t="s">
        <v>14</v>
      </c>
      <c r="E894">
        <v>2</v>
      </c>
      <c r="F894" s="3">
        <v>2381.2677586206896</v>
      </c>
      <c r="G894" s="4">
        <v>1.1399999999999999</v>
      </c>
      <c r="H894" s="3">
        <v>4762.5355172413792</v>
      </c>
      <c r="I894" s="1">
        <v>45782</v>
      </c>
      <c r="J894" t="s">
        <v>15</v>
      </c>
      <c r="K894" t="s">
        <v>23</v>
      </c>
      <c r="L894" s="3">
        <v>-666.75497241379264</v>
      </c>
      <c r="M894" t="s">
        <v>2518</v>
      </c>
    </row>
    <row r="895" spans="1:13" x14ac:dyDescent="0.3">
      <c r="A895">
        <v>1893</v>
      </c>
      <c r="B895" t="s">
        <v>938</v>
      </c>
      <c r="C895" t="s">
        <v>29</v>
      </c>
      <c r="D895" t="s">
        <v>120</v>
      </c>
      <c r="E895">
        <v>2</v>
      </c>
      <c r="F895" s="3">
        <v>4456.45</v>
      </c>
      <c r="G895" s="4">
        <v>0.6</v>
      </c>
      <c r="H895" s="3">
        <v>8912.9</v>
      </c>
      <c r="I895" s="1">
        <v>45782</v>
      </c>
      <c r="J895" t="s">
        <v>15</v>
      </c>
      <c r="K895" t="s">
        <v>23</v>
      </c>
      <c r="L895" s="3">
        <v>3565.16</v>
      </c>
      <c r="M895" t="s">
        <v>11</v>
      </c>
    </row>
    <row r="896" spans="1:13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 s="3">
        <v>2793.89</v>
      </c>
      <c r="G896" s="4">
        <v>0.6</v>
      </c>
      <c r="H896" s="3">
        <v>5587.78</v>
      </c>
      <c r="I896" s="1">
        <v>45160</v>
      </c>
      <c r="J896" t="s">
        <v>56</v>
      </c>
      <c r="K896" t="s">
        <v>23</v>
      </c>
      <c r="L896" s="3">
        <v>2235.1120000000001</v>
      </c>
      <c r="M896" t="s">
        <v>11</v>
      </c>
    </row>
    <row r="897" spans="1:13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F897" s="3">
        <v>2576.3056896551716</v>
      </c>
      <c r="G897" s="4">
        <v>0.6</v>
      </c>
      <c r="H897" s="3">
        <v>-5152.6113793103432</v>
      </c>
      <c r="I897" s="1">
        <v>45741</v>
      </c>
      <c r="J897" t="s">
        <v>46</v>
      </c>
      <c r="K897" t="s">
        <v>23</v>
      </c>
      <c r="L897" s="3">
        <v>-2061.0445517241374</v>
      </c>
      <c r="M897" t="s">
        <v>2518</v>
      </c>
    </row>
    <row r="898" spans="1:13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 s="3">
        <v>4829.8500000000004</v>
      </c>
      <c r="G898" s="4">
        <v>0.6</v>
      </c>
      <c r="H898" s="3">
        <v>24149.25</v>
      </c>
      <c r="I898" s="1">
        <v>45782</v>
      </c>
      <c r="J898" t="s">
        <v>56</v>
      </c>
      <c r="K898" t="s">
        <v>23</v>
      </c>
      <c r="L898" s="3">
        <v>9659.7000000000007</v>
      </c>
      <c r="M898" t="s">
        <v>11</v>
      </c>
    </row>
    <row r="899" spans="1:13" x14ac:dyDescent="0.3">
      <c r="A899">
        <v>1897</v>
      </c>
      <c r="B899" t="s">
        <v>942</v>
      </c>
      <c r="C899" t="s">
        <v>13</v>
      </c>
      <c r="D899" t="s">
        <v>49</v>
      </c>
      <c r="E899">
        <v>2</v>
      </c>
      <c r="F899" s="3">
        <v>2785.0877966101693</v>
      </c>
      <c r="G899" s="4">
        <v>0.34</v>
      </c>
      <c r="H899" s="3">
        <v>5570.1755932203387</v>
      </c>
      <c r="I899" s="1">
        <v>45747</v>
      </c>
      <c r="J899" t="s">
        <v>56</v>
      </c>
      <c r="K899" t="s">
        <v>16</v>
      </c>
      <c r="L899" s="3">
        <v>3676.315891525423</v>
      </c>
      <c r="M899" t="s">
        <v>11</v>
      </c>
    </row>
    <row r="900" spans="1:13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 s="3">
        <v>776.98</v>
      </c>
      <c r="G900" s="4">
        <v>0.6</v>
      </c>
      <c r="H900" s="3">
        <v>3884.9</v>
      </c>
      <c r="I900" s="1">
        <v>45643</v>
      </c>
      <c r="J900" t="s">
        <v>22</v>
      </c>
      <c r="K900" t="s">
        <v>16</v>
      </c>
      <c r="L900" s="3">
        <v>1553.96</v>
      </c>
      <c r="M900" t="s">
        <v>11</v>
      </c>
    </row>
    <row r="901" spans="1:13" x14ac:dyDescent="0.3">
      <c r="A901">
        <v>1899</v>
      </c>
      <c r="B901" t="s">
        <v>944</v>
      </c>
      <c r="C901" t="s">
        <v>25</v>
      </c>
      <c r="D901" t="s">
        <v>54</v>
      </c>
      <c r="E901">
        <v>2</v>
      </c>
      <c r="F901" s="3">
        <v>2530.3836538461546</v>
      </c>
      <c r="G901" s="4">
        <v>0.6</v>
      </c>
      <c r="H901" s="3">
        <v>5060.7673076923093</v>
      </c>
      <c r="I901" s="1">
        <v>45782</v>
      </c>
      <c r="J901" t="s">
        <v>15</v>
      </c>
      <c r="K901" t="s">
        <v>16</v>
      </c>
      <c r="L901" s="3">
        <v>2024.3069230769238</v>
      </c>
      <c r="M901" t="s">
        <v>11</v>
      </c>
    </row>
    <row r="902" spans="1:13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F902" s="3">
        <v>2841.7630612244907</v>
      </c>
      <c r="G902" s="4">
        <v>0.6</v>
      </c>
      <c r="H902" s="3">
        <v>8525.2891836734725</v>
      </c>
      <c r="I902" s="1">
        <v>45552</v>
      </c>
      <c r="J902" t="s">
        <v>15</v>
      </c>
      <c r="K902" t="s">
        <v>23</v>
      </c>
      <c r="L902" s="3">
        <v>3410.1156734693891</v>
      </c>
      <c r="M902" t="s">
        <v>11</v>
      </c>
    </row>
    <row r="903" spans="1:13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 s="3">
        <v>781.91</v>
      </c>
      <c r="G903" s="4">
        <v>1.2</v>
      </c>
      <c r="H903" s="3">
        <v>3127.64</v>
      </c>
      <c r="I903" s="1">
        <v>45773</v>
      </c>
      <c r="J903" t="s">
        <v>46</v>
      </c>
      <c r="K903" t="s">
        <v>23</v>
      </c>
      <c r="L903" s="3">
        <v>-625.52799999999979</v>
      </c>
      <c r="M903" t="s">
        <v>2518</v>
      </c>
    </row>
    <row r="904" spans="1:13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 s="3">
        <v>3402.85</v>
      </c>
      <c r="G904" s="4">
        <v>0.63</v>
      </c>
      <c r="H904" s="3">
        <v>0</v>
      </c>
      <c r="I904" s="1">
        <v>45782</v>
      </c>
      <c r="J904" t="s">
        <v>46</v>
      </c>
      <c r="K904" t="s">
        <v>23</v>
      </c>
      <c r="L904" s="3">
        <v>0</v>
      </c>
      <c r="M904" t="s">
        <v>2518</v>
      </c>
    </row>
    <row r="905" spans="1:13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F905" s="3">
        <v>2804.2651923076919</v>
      </c>
      <c r="G905" s="4">
        <v>0.08</v>
      </c>
      <c r="H905" s="3">
        <v>-2804.2651923076919</v>
      </c>
      <c r="I905" s="1">
        <v>45764</v>
      </c>
      <c r="J905" t="s">
        <v>22</v>
      </c>
      <c r="K905" t="s">
        <v>23</v>
      </c>
      <c r="L905" s="3">
        <v>-2579.9239769230767</v>
      </c>
      <c r="M905" t="s">
        <v>2518</v>
      </c>
    </row>
    <row r="906" spans="1:13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 s="3">
        <v>1339.18</v>
      </c>
      <c r="G906" s="4">
        <v>0.6</v>
      </c>
      <c r="H906" s="3">
        <v>-1339.18</v>
      </c>
      <c r="I906" s="1">
        <v>45851</v>
      </c>
      <c r="J906" t="s">
        <v>40</v>
      </c>
      <c r="K906" t="s">
        <v>16</v>
      </c>
      <c r="L906" s="3">
        <v>-535.67200000000003</v>
      </c>
      <c r="M906" t="s">
        <v>2518</v>
      </c>
    </row>
    <row r="907" spans="1:13" x14ac:dyDescent="0.3">
      <c r="A907">
        <v>1905</v>
      </c>
      <c r="B907" t="s">
        <v>950</v>
      </c>
      <c r="C907" t="s">
        <v>38</v>
      </c>
      <c r="D907" t="s">
        <v>91</v>
      </c>
      <c r="E907">
        <v>2</v>
      </c>
      <c r="F907" s="3">
        <v>759.78</v>
      </c>
      <c r="G907" s="4">
        <v>0.6</v>
      </c>
      <c r="H907" s="3">
        <v>1519.56</v>
      </c>
      <c r="I907" s="1">
        <v>45782</v>
      </c>
      <c r="J907" t="s">
        <v>46</v>
      </c>
      <c r="K907" t="s">
        <v>23</v>
      </c>
      <c r="L907" s="3">
        <v>607.82399999999996</v>
      </c>
      <c r="M907" t="s">
        <v>11</v>
      </c>
    </row>
    <row r="908" spans="1:13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F908" s="3">
        <v>2868.7768181818178</v>
      </c>
      <c r="G908" s="4">
        <v>0.6</v>
      </c>
      <c r="H908" s="3">
        <v>-2868.7768181818178</v>
      </c>
      <c r="I908" s="1">
        <v>45853</v>
      </c>
      <c r="J908" t="s">
        <v>40</v>
      </c>
      <c r="K908" t="s">
        <v>23</v>
      </c>
      <c r="L908" s="3">
        <v>-1147.5107272727271</v>
      </c>
      <c r="M908" t="s">
        <v>2518</v>
      </c>
    </row>
    <row r="909" spans="1:13" x14ac:dyDescent="0.3">
      <c r="A909">
        <v>1907</v>
      </c>
      <c r="B909" t="s">
        <v>952</v>
      </c>
      <c r="C909" t="s">
        <v>20</v>
      </c>
      <c r="D909" t="s">
        <v>21</v>
      </c>
      <c r="E909">
        <v>2</v>
      </c>
      <c r="F909" s="3">
        <v>2681.1743636363635</v>
      </c>
      <c r="G909" s="4">
        <v>0.6</v>
      </c>
      <c r="H909" s="3">
        <v>5362.348727272727</v>
      </c>
      <c r="I909" s="1">
        <v>45633</v>
      </c>
      <c r="J909" t="s">
        <v>56</v>
      </c>
      <c r="K909" t="s">
        <v>23</v>
      </c>
      <c r="L909" s="3">
        <v>2144.9394909090911</v>
      </c>
      <c r="M909" t="s">
        <v>11</v>
      </c>
    </row>
    <row r="910" spans="1:13" x14ac:dyDescent="0.3">
      <c r="A910">
        <v>1908</v>
      </c>
      <c r="B910" t="s">
        <v>953</v>
      </c>
      <c r="C910" t="s">
        <v>13</v>
      </c>
      <c r="D910" t="s">
        <v>36</v>
      </c>
      <c r="E910">
        <v>2</v>
      </c>
      <c r="F910" s="3">
        <v>2882.5046551724135</v>
      </c>
      <c r="G910" s="4">
        <v>0.6</v>
      </c>
      <c r="H910" s="3">
        <v>5765.0093103448271</v>
      </c>
      <c r="I910" s="1">
        <v>45782</v>
      </c>
      <c r="J910" t="s">
        <v>56</v>
      </c>
      <c r="K910" t="s">
        <v>23</v>
      </c>
      <c r="L910" s="3">
        <v>2306.0037241379309</v>
      </c>
      <c r="M910" t="s">
        <v>11</v>
      </c>
    </row>
    <row r="911" spans="1:13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 s="3">
        <v>3114.13</v>
      </c>
      <c r="G911" s="4">
        <v>0.6</v>
      </c>
      <c r="H911" s="3">
        <v>3114.13</v>
      </c>
      <c r="I911" s="1">
        <v>45799</v>
      </c>
      <c r="J911" t="s">
        <v>46</v>
      </c>
      <c r="K911" t="s">
        <v>23</v>
      </c>
      <c r="L911" s="3">
        <v>1245.652</v>
      </c>
      <c r="M911" t="s">
        <v>11</v>
      </c>
    </row>
    <row r="912" spans="1:13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 s="3">
        <v>2155.16</v>
      </c>
      <c r="G912" s="4">
        <v>0.6</v>
      </c>
      <c r="H912" s="3">
        <v>0</v>
      </c>
      <c r="I912" s="1">
        <v>45710</v>
      </c>
      <c r="J912" t="s">
        <v>18</v>
      </c>
      <c r="K912" t="s">
        <v>23</v>
      </c>
      <c r="L912" s="3">
        <v>0</v>
      </c>
      <c r="M912" t="s">
        <v>2518</v>
      </c>
    </row>
    <row r="913" spans="1:13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 s="3">
        <v>2357.6999999999998</v>
      </c>
      <c r="G913" s="4">
        <v>0.6</v>
      </c>
      <c r="H913" s="3">
        <v>14146.199999999999</v>
      </c>
      <c r="I913" s="1">
        <v>45521</v>
      </c>
      <c r="J913" t="s">
        <v>18</v>
      </c>
      <c r="K913" t="s">
        <v>23</v>
      </c>
      <c r="L913" s="3">
        <v>5658.48</v>
      </c>
      <c r="M913" t="s">
        <v>11</v>
      </c>
    </row>
    <row r="914" spans="1:13" x14ac:dyDescent="0.3">
      <c r="A914">
        <v>1912</v>
      </c>
      <c r="B914" t="s">
        <v>957</v>
      </c>
      <c r="C914" t="s">
        <v>29</v>
      </c>
      <c r="D914" t="s">
        <v>30</v>
      </c>
      <c r="E914">
        <v>2</v>
      </c>
      <c r="F914" s="3">
        <v>2617.6390384615388</v>
      </c>
      <c r="G914" s="4">
        <v>0.6</v>
      </c>
      <c r="H914" s="3">
        <v>5235.2780769230776</v>
      </c>
      <c r="I914" s="1">
        <v>45782</v>
      </c>
      <c r="J914" t="s">
        <v>46</v>
      </c>
      <c r="K914" t="s">
        <v>16</v>
      </c>
      <c r="L914" s="3">
        <v>2094.111230769231</v>
      </c>
      <c r="M914" t="s">
        <v>11</v>
      </c>
    </row>
    <row r="915" spans="1:13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F915" s="3">
        <v>2830.1325714285731</v>
      </c>
      <c r="G915" s="4">
        <v>0.6</v>
      </c>
      <c r="H915" s="3">
        <v>14150.662857142866</v>
      </c>
      <c r="I915" s="1">
        <v>45782</v>
      </c>
      <c r="J915" t="s">
        <v>22</v>
      </c>
      <c r="K915" t="s">
        <v>16</v>
      </c>
      <c r="L915" s="3">
        <v>5660.2651428571471</v>
      </c>
      <c r="M915" t="s">
        <v>11</v>
      </c>
    </row>
    <row r="916" spans="1:13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 s="3">
        <v>3661.49</v>
      </c>
      <c r="G916" s="4">
        <v>0.11</v>
      </c>
      <c r="H916" s="3">
        <v>21968.94</v>
      </c>
      <c r="I916" s="1">
        <v>45848</v>
      </c>
      <c r="J916" t="s">
        <v>46</v>
      </c>
      <c r="K916" t="s">
        <v>23</v>
      </c>
      <c r="L916" s="3">
        <v>19552.356599999999</v>
      </c>
      <c r="M916" t="s">
        <v>11</v>
      </c>
    </row>
    <row r="917" spans="1:13" x14ac:dyDescent="0.3">
      <c r="A917">
        <v>1915</v>
      </c>
      <c r="B917" t="s">
        <v>960</v>
      </c>
      <c r="C917" t="s">
        <v>29</v>
      </c>
      <c r="D917" t="s">
        <v>42</v>
      </c>
      <c r="E917">
        <v>2</v>
      </c>
      <c r="F917" s="3">
        <v>2559.6667307692314</v>
      </c>
      <c r="G917" s="4">
        <v>0.6</v>
      </c>
      <c r="H917" s="3">
        <v>5119.3334615384629</v>
      </c>
      <c r="I917" s="1">
        <v>45367</v>
      </c>
      <c r="J917" t="s">
        <v>15</v>
      </c>
      <c r="K917" t="s">
        <v>23</v>
      </c>
      <c r="L917" s="3">
        <v>2047.7333846153851</v>
      </c>
      <c r="M917" t="s">
        <v>11</v>
      </c>
    </row>
    <row r="918" spans="1:13" x14ac:dyDescent="0.3">
      <c r="A918">
        <v>1916</v>
      </c>
      <c r="B918" t="s">
        <v>961</v>
      </c>
      <c r="C918" t="s">
        <v>38</v>
      </c>
      <c r="D918" t="s">
        <v>59</v>
      </c>
      <c r="E918">
        <v>2</v>
      </c>
      <c r="F918" s="3">
        <v>2117.0700000000002</v>
      </c>
      <c r="G918" s="4">
        <v>0.13</v>
      </c>
      <c r="H918" s="3">
        <v>4234.1400000000003</v>
      </c>
      <c r="I918" s="1">
        <v>45686</v>
      </c>
      <c r="J918" t="s">
        <v>15</v>
      </c>
      <c r="K918" t="s">
        <v>23</v>
      </c>
      <c r="L918" s="3">
        <v>3683.7018000000003</v>
      </c>
      <c r="M918" t="s">
        <v>11</v>
      </c>
    </row>
    <row r="919" spans="1:13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F919" s="3">
        <v>2572.7764000000006</v>
      </c>
      <c r="G919" s="4">
        <v>0.6</v>
      </c>
      <c r="H919" s="3">
        <v>5145.5528000000013</v>
      </c>
      <c r="I919" s="1">
        <v>45630</v>
      </c>
      <c r="J919" t="s">
        <v>18</v>
      </c>
      <c r="K919" t="s">
        <v>23</v>
      </c>
      <c r="L919" s="3">
        <v>2058.2211200000006</v>
      </c>
      <c r="M919" t="s">
        <v>11</v>
      </c>
    </row>
    <row r="920" spans="1:13" x14ac:dyDescent="0.3">
      <c r="A920">
        <v>1918</v>
      </c>
      <c r="B920" t="s">
        <v>963</v>
      </c>
      <c r="C920" t="s">
        <v>38</v>
      </c>
      <c r="D920" t="s">
        <v>91</v>
      </c>
      <c r="E920">
        <v>2</v>
      </c>
      <c r="F920" s="3">
        <v>581.49</v>
      </c>
      <c r="G920" s="4">
        <v>0.6</v>
      </c>
      <c r="H920" s="3">
        <v>1162.98</v>
      </c>
      <c r="I920" s="1">
        <v>45297</v>
      </c>
      <c r="J920" t="s">
        <v>18</v>
      </c>
      <c r="K920" t="s">
        <v>23</v>
      </c>
      <c r="L920" s="3">
        <v>465.19200000000001</v>
      </c>
      <c r="M920" t="s">
        <v>2518</v>
      </c>
    </row>
    <row r="921" spans="1:13" x14ac:dyDescent="0.3">
      <c r="A921">
        <v>1919</v>
      </c>
      <c r="B921" t="s">
        <v>964</v>
      </c>
      <c r="C921" t="s">
        <v>38</v>
      </c>
      <c r="D921" t="s">
        <v>59</v>
      </c>
      <c r="E921">
        <v>2</v>
      </c>
      <c r="F921" s="3">
        <v>1460.71</v>
      </c>
      <c r="G921" s="4">
        <v>0.6</v>
      </c>
      <c r="H921" s="3">
        <v>2921.42</v>
      </c>
      <c r="I921" s="1">
        <v>45782</v>
      </c>
      <c r="J921" t="s">
        <v>18</v>
      </c>
      <c r="K921" t="s">
        <v>16</v>
      </c>
      <c r="L921" s="3">
        <v>1168.568</v>
      </c>
      <c r="M921" t="s">
        <v>11</v>
      </c>
    </row>
    <row r="922" spans="1:13" x14ac:dyDescent="0.3">
      <c r="A922">
        <v>1920</v>
      </c>
      <c r="B922" t="s">
        <v>965</v>
      </c>
      <c r="C922" t="s">
        <v>20</v>
      </c>
      <c r="D922" t="s">
        <v>88</v>
      </c>
      <c r="E922">
        <v>2</v>
      </c>
      <c r="F922" s="3">
        <v>4141.2299999999996</v>
      </c>
      <c r="G922" s="4">
        <v>0.6</v>
      </c>
      <c r="H922" s="3">
        <v>8282.4599999999991</v>
      </c>
      <c r="I922" s="1">
        <v>45552</v>
      </c>
      <c r="J922" t="s">
        <v>22</v>
      </c>
      <c r="K922" t="s">
        <v>23</v>
      </c>
      <c r="L922" s="3">
        <v>3312.9839999999999</v>
      </c>
      <c r="M922" t="s">
        <v>11</v>
      </c>
    </row>
    <row r="923" spans="1:13" x14ac:dyDescent="0.3">
      <c r="A923">
        <v>1921</v>
      </c>
      <c r="B923" t="s">
        <v>966</v>
      </c>
      <c r="C923" t="s">
        <v>29</v>
      </c>
      <c r="D923" t="s">
        <v>120</v>
      </c>
      <c r="E923">
        <v>2</v>
      </c>
      <c r="F923" s="3">
        <v>4224.3100000000004</v>
      </c>
      <c r="G923" s="4">
        <v>0.6</v>
      </c>
      <c r="H923" s="3">
        <v>8448.6200000000008</v>
      </c>
      <c r="I923" s="1">
        <v>45782</v>
      </c>
      <c r="J923" t="s">
        <v>56</v>
      </c>
      <c r="K923" t="s">
        <v>23</v>
      </c>
      <c r="L923" s="3">
        <v>3379.4480000000003</v>
      </c>
      <c r="M923" t="s">
        <v>11</v>
      </c>
    </row>
    <row r="924" spans="1:13" x14ac:dyDescent="0.3">
      <c r="A924">
        <v>1922</v>
      </c>
      <c r="B924" t="s">
        <v>967</v>
      </c>
      <c r="C924" t="s">
        <v>38</v>
      </c>
      <c r="D924" t="s">
        <v>63</v>
      </c>
      <c r="E924">
        <v>2</v>
      </c>
      <c r="F924" s="3">
        <v>2845.2419672131159</v>
      </c>
      <c r="G924" s="4">
        <v>0.6</v>
      </c>
      <c r="H924" s="3">
        <v>5690.4839344262318</v>
      </c>
      <c r="I924" s="1">
        <v>45693</v>
      </c>
      <c r="J924" t="s">
        <v>15</v>
      </c>
      <c r="K924" t="s">
        <v>23</v>
      </c>
      <c r="L924" s="3">
        <v>2276.193573770493</v>
      </c>
      <c r="M924" t="s">
        <v>11</v>
      </c>
    </row>
    <row r="925" spans="1:13" x14ac:dyDescent="0.3">
      <c r="A925">
        <v>1923</v>
      </c>
      <c r="B925" t="s">
        <v>968</v>
      </c>
      <c r="C925" t="s">
        <v>20</v>
      </c>
      <c r="D925" t="s">
        <v>21</v>
      </c>
      <c r="E925">
        <v>2</v>
      </c>
      <c r="F925" s="3">
        <v>3865.62</v>
      </c>
      <c r="G925" s="4">
        <v>0.6</v>
      </c>
      <c r="H925" s="3">
        <v>7731.24</v>
      </c>
      <c r="I925" s="1">
        <v>45807</v>
      </c>
      <c r="J925" t="s">
        <v>40</v>
      </c>
      <c r="K925" t="s">
        <v>23</v>
      </c>
      <c r="L925" s="3">
        <v>3092.4960000000001</v>
      </c>
      <c r="M925" t="s">
        <v>11</v>
      </c>
    </row>
    <row r="926" spans="1:13" x14ac:dyDescent="0.3">
      <c r="A926">
        <v>1924</v>
      </c>
      <c r="B926" t="s">
        <v>969</v>
      </c>
      <c r="C926" t="s">
        <v>13</v>
      </c>
      <c r="D926" t="s">
        <v>36</v>
      </c>
      <c r="E926">
        <v>2</v>
      </c>
      <c r="F926" s="3">
        <v>2999.49</v>
      </c>
      <c r="G926" s="4">
        <v>0.6</v>
      </c>
      <c r="H926" s="3">
        <v>5998.98</v>
      </c>
      <c r="I926" s="1">
        <v>45304</v>
      </c>
      <c r="J926" t="s">
        <v>18</v>
      </c>
      <c r="K926" t="s">
        <v>23</v>
      </c>
      <c r="L926" s="3">
        <v>2399.5920000000001</v>
      </c>
      <c r="M926" t="s">
        <v>11</v>
      </c>
    </row>
    <row r="927" spans="1:13" x14ac:dyDescent="0.3">
      <c r="A927">
        <v>1925</v>
      </c>
      <c r="B927" t="s">
        <v>970</v>
      </c>
      <c r="C927" t="s">
        <v>29</v>
      </c>
      <c r="D927" t="s">
        <v>141</v>
      </c>
      <c r="E927">
        <v>2</v>
      </c>
      <c r="F927" s="3">
        <v>1429.24</v>
      </c>
      <c r="G927" s="4">
        <v>0.6</v>
      </c>
      <c r="H927" s="3">
        <v>2858.48</v>
      </c>
      <c r="I927" s="1">
        <v>45604</v>
      </c>
      <c r="J927" t="s">
        <v>15</v>
      </c>
      <c r="K927" t="s">
        <v>23</v>
      </c>
      <c r="L927" s="3">
        <v>1143.3920000000001</v>
      </c>
      <c r="M927" t="s">
        <v>11</v>
      </c>
    </row>
    <row r="928" spans="1:13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 s="3">
        <v>2533.37</v>
      </c>
      <c r="G928" s="4">
        <v>0.6</v>
      </c>
      <c r="H928" s="3">
        <v>-5066.74</v>
      </c>
      <c r="I928" s="1">
        <v>45508</v>
      </c>
      <c r="J928" t="s">
        <v>40</v>
      </c>
      <c r="K928" t="s">
        <v>16</v>
      </c>
      <c r="L928" s="3">
        <v>-2026.6959999999999</v>
      </c>
      <c r="M928" t="s">
        <v>2518</v>
      </c>
    </row>
    <row r="929" spans="1:13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F929" s="3">
        <v>2715.5458490566025</v>
      </c>
      <c r="G929" s="4">
        <v>0.6</v>
      </c>
      <c r="H929" s="3">
        <v>13577.729245283012</v>
      </c>
      <c r="I929" s="1">
        <v>45777</v>
      </c>
      <c r="J929" t="s">
        <v>56</v>
      </c>
      <c r="K929" t="s">
        <v>23</v>
      </c>
      <c r="L929" s="3">
        <v>5431.091698113205</v>
      </c>
      <c r="M929" t="s">
        <v>11</v>
      </c>
    </row>
    <row r="930" spans="1:13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F930" s="3">
        <v>3008.3844444444444</v>
      </c>
      <c r="G930" s="4">
        <v>0.6</v>
      </c>
      <c r="H930" s="3">
        <v>-6016.7688888888888</v>
      </c>
      <c r="I930" s="1">
        <v>45438</v>
      </c>
      <c r="J930" t="s">
        <v>15</v>
      </c>
      <c r="K930" t="s">
        <v>23</v>
      </c>
      <c r="L930" s="3">
        <v>-2406.7075555555557</v>
      </c>
      <c r="M930" t="s">
        <v>2518</v>
      </c>
    </row>
    <row r="931" spans="1:13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 s="3">
        <v>3618.48</v>
      </c>
      <c r="G931" s="4">
        <v>0.6</v>
      </c>
      <c r="H931" s="3">
        <v>-7236.96</v>
      </c>
      <c r="I931" s="1">
        <v>45782</v>
      </c>
      <c r="J931" t="s">
        <v>15</v>
      </c>
      <c r="K931" t="s">
        <v>23</v>
      </c>
      <c r="L931" s="3">
        <v>-2894.7840000000001</v>
      </c>
      <c r="M931" t="s">
        <v>2518</v>
      </c>
    </row>
    <row r="932" spans="1:13" x14ac:dyDescent="0.3">
      <c r="A932">
        <v>1930</v>
      </c>
      <c r="B932" t="s">
        <v>975</v>
      </c>
      <c r="C932" t="s">
        <v>13</v>
      </c>
      <c r="D932" t="s">
        <v>36</v>
      </c>
      <c r="E932">
        <v>2</v>
      </c>
      <c r="F932" s="3">
        <v>3017.82</v>
      </c>
      <c r="G932" s="4">
        <v>0.6</v>
      </c>
      <c r="H932" s="3">
        <v>6035.64</v>
      </c>
      <c r="I932" s="1">
        <v>45782</v>
      </c>
      <c r="J932" t="s">
        <v>18</v>
      </c>
      <c r="K932" t="s">
        <v>23</v>
      </c>
      <c r="L932" s="3">
        <v>2414.2560000000003</v>
      </c>
      <c r="M932" t="s">
        <v>11</v>
      </c>
    </row>
    <row r="933" spans="1:13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F933" s="3">
        <v>2882.5046551724135</v>
      </c>
      <c r="G933" s="4">
        <v>0.6</v>
      </c>
      <c r="H933" s="3">
        <v>-2882.5046551724135</v>
      </c>
      <c r="I933" s="1">
        <v>45782</v>
      </c>
      <c r="J933" t="s">
        <v>46</v>
      </c>
      <c r="K933" t="s">
        <v>23</v>
      </c>
      <c r="L933" s="3">
        <v>-1153.0018620689655</v>
      </c>
      <c r="M933" t="s">
        <v>2518</v>
      </c>
    </row>
    <row r="934" spans="1:13" x14ac:dyDescent="0.3">
      <c r="A934">
        <v>1932</v>
      </c>
      <c r="B934" t="s">
        <v>977</v>
      </c>
      <c r="C934" t="s">
        <v>33</v>
      </c>
      <c r="D934" t="s">
        <v>34</v>
      </c>
      <c r="E934">
        <v>2</v>
      </c>
      <c r="F934" s="3">
        <v>436.31</v>
      </c>
      <c r="G934" s="4">
        <v>0.6</v>
      </c>
      <c r="H934" s="3">
        <v>872.62</v>
      </c>
      <c r="I934" s="1">
        <v>45209</v>
      </c>
      <c r="J934" t="s">
        <v>46</v>
      </c>
      <c r="K934" t="s">
        <v>23</v>
      </c>
      <c r="L934" s="3">
        <v>349.048</v>
      </c>
      <c r="M934" t="s">
        <v>2518</v>
      </c>
    </row>
    <row r="935" spans="1:13" x14ac:dyDescent="0.3">
      <c r="A935">
        <v>1933</v>
      </c>
      <c r="B935" t="s">
        <v>978</v>
      </c>
      <c r="C935" t="s">
        <v>20</v>
      </c>
      <c r="D935" t="s">
        <v>122</v>
      </c>
      <c r="E935">
        <v>2</v>
      </c>
      <c r="F935" s="3">
        <v>1403.41</v>
      </c>
      <c r="G935" s="4">
        <v>0.6</v>
      </c>
      <c r="H935" s="3">
        <v>2806.82</v>
      </c>
      <c r="I935" s="1">
        <v>45782</v>
      </c>
      <c r="J935" t="s">
        <v>46</v>
      </c>
      <c r="K935" t="s">
        <v>23</v>
      </c>
      <c r="L935" s="3">
        <v>1122.7280000000001</v>
      </c>
      <c r="M935" t="s">
        <v>11</v>
      </c>
    </row>
    <row r="936" spans="1:13" x14ac:dyDescent="0.3">
      <c r="A936">
        <v>1934</v>
      </c>
      <c r="B936" t="s">
        <v>979</v>
      </c>
      <c r="C936" t="s">
        <v>13</v>
      </c>
      <c r="D936" t="s">
        <v>49</v>
      </c>
      <c r="E936">
        <v>2</v>
      </c>
      <c r="F936" s="3">
        <v>3369.03</v>
      </c>
      <c r="G936" s="4">
        <v>0.6</v>
      </c>
      <c r="H936" s="3">
        <v>6738.06</v>
      </c>
      <c r="I936" s="1">
        <v>45552</v>
      </c>
      <c r="J936" t="s">
        <v>56</v>
      </c>
      <c r="K936" t="s">
        <v>23</v>
      </c>
      <c r="L936" s="3">
        <v>2695.2240000000002</v>
      </c>
      <c r="M936" t="s">
        <v>11</v>
      </c>
    </row>
    <row r="937" spans="1:13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F937" s="3">
        <v>2681.1743636363635</v>
      </c>
      <c r="G937" s="4">
        <v>0.6</v>
      </c>
      <c r="H937" s="3">
        <v>16087.046181818181</v>
      </c>
      <c r="I937" s="1">
        <v>45654</v>
      </c>
      <c r="J937" t="s">
        <v>22</v>
      </c>
      <c r="K937" t="s">
        <v>23</v>
      </c>
      <c r="L937" s="3">
        <v>6434.8184727272728</v>
      </c>
      <c r="M937" t="s">
        <v>11</v>
      </c>
    </row>
    <row r="938" spans="1:13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 s="3">
        <v>804.78</v>
      </c>
      <c r="G938" s="4">
        <v>0.6</v>
      </c>
      <c r="H938" s="3">
        <v>4023.8999999999996</v>
      </c>
      <c r="I938" s="1">
        <v>45667</v>
      </c>
      <c r="J938" t="s">
        <v>18</v>
      </c>
      <c r="K938" t="s">
        <v>23</v>
      </c>
      <c r="L938" s="3">
        <v>1609.56</v>
      </c>
      <c r="M938" t="s">
        <v>11</v>
      </c>
    </row>
    <row r="939" spans="1:13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 s="3">
        <v>643.24</v>
      </c>
      <c r="G939" s="4">
        <v>0.6</v>
      </c>
      <c r="H939" s="3">
        <v>2572.96</v>
      </c>
      <c r="I939" s="1">
        <v>45795</v>
      </c>
      <c r="J939" t="s">
        <v>18</v>
      </c>
      <c r="K939" t="s">
        <v>16</v>
      </c>
      <c r="L939" s="3">
        <v>1029.184</v>
      </c>
      <c r="M939" t="s">
        <v>11</v>
      </c>
    </row>
    <row r="940" spans="1:13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F940" s="3">
        <v>2681.1743636363635</v>
      </c>
      <c r="G940" s="4">
        <v>0.34</v>
      </c>
      <c r="H940" s="3">
        <v>10724.697454545454</v>
      </c>
      <c r="I940" s="1">
        <v>45806</v>
      </c>
      <c r="J940" t="s">
        <v>56</v>
      </c>
      <c r="K940" t="s">
        <v>16</v>
      </c>
      <c r="L940" s="3">
        <v>7078.3003199999985</v>
      </c>
      <c r="M940" t="s">
        <v>11</v>
      </c>
    </row>
    <row r="941" spans="1:13" x14ac:dyDescent="0.3">
      <c r="A941">
        <v>1939</v>
      </c>
      <c r="B941" t="s">
        <v>984</v>
      </c>
      <c r="C941" t="s">
        <v>20</v>
      </c>
      <c r="D941" t="s">
        <v>122</v>
      </c>
      <c r="E941">
        <v>2</v>
      </c>
      <c r="F941" s="3">
        <v>2700.1263043478252</v>
      </c>
      <c r="G941" s="4">
        <v>0.99</v>
      </c>
      <c r="H941" s="3">
        <v>5400.2526086956505</v>
      </c>
      <c r="I941" s="1">
        <v>45840</v>
      </c>
      <c r="J941" t="s">
        <v>40</v>
      </c>
      <c r="K941" t="s">
        <v>23</v>
      </c>
      <c r="L941" s="3">
        <v>54.00252608695655</v>
      </c>
      <c r="M941" t="s">
        <v>2518</v>
      </c>
    </row>
    <row r="942" spans="1:13" x14ac:dyDescent="0.3">
      <c r="A942">
        <v>1940</v>
      </c>
      <c r="B942" t="s">
        <v>985</v>
      </c>
      <c r="C942" t="s">
        <v>38</v>
      </c>
      <c r="D942" t="s">
        <v>91</v>
      </c>
      <c r="E942">
        <v>2</v>
      </c>
      <c r="F942" s="3">
        <v>3428.02</v>
      </c>
      <c r="G942" s="4">
        <v>0.6</v>
      </c>
      <c r="H942" s="3">
        <v>6856.04</v>
      </c>
      <c r="I942" s="1">
        <v>45599</v>
      </c>
      <c r="J942" t="s">
        <v>22</v>
      </c>
      <c r="K942" t="s">
        <v>23</v>
      </c>
      <c r="L942" s="3">
        <v>2742.4160000000002</v>
      </c>
      <c r="M942" t="s">
        <v>11</v>
      </c>
    </row>
    <row r="943" spans="1:13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F943" s="3">
        <v>2888.8714285714286</v>
      </c>
      <c r="G943" s="4">
        <v>0.6</v>
      </c>
      <c r="H943" s="3">
        <v>11555.485714285714</v>
      </c>
      <c r="I943" s="1">
        <v>45666</v>
      </c>
      <c r="J943" t="s">
        <v>18</v>
      </c>
      <c r="K943" t="s">
        <v>23</v>
      </c>
      <c r="L943" s="3">
        <v>4622.1942857142858</v>
      </c>
      <c r="M943" t="s">
        <v>11</v>
      </c>
    </row>
    <row r="944" spans="1:13" x14ac:dyDescent="0.3">
      <c r="A944">
        <v>1942</v>
      </c>
      <c r="B944" t="s">
        <v>987</v>
      </c>
      <c r="C944" t="s">
        <v>20</v>
      </c>
      <c r="D944" t="s">
        <v>21</v>
      </c>
      <c r="E944">
        <v>2</v>
      </c>
      <c r="F944" s="3">
        <v>3710.07</v>
      </c>
      <c r="G944" s="4">
        <v>0.83</v>
      </c>
      <c r="H944" s="3">
        <v>7420.14</v>
      </c>
      <c r="I944" s="1">
        <v>45670</v>
      </c>
      <c r="J944" t="s">
        <v>22</v>
      </c>
      <c r="K944" t="s">
        <v>16</v>
      </c>
      <c r="L944" s="3">
        <v>1261.4238000000003</v>
      </c>
      <c r="M944" t="s">
        <v>11</v>
      </c>
    </row>
    <row r="945" spans="1:13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 s="3">
        <v>3153.49</v>
      </c>
      <c r="G945" s="4">
        <v>0.6</v>
      </c>
      <c r="H945" s="3">
        <v>12613.96</v>
      </c>
      <c r="I945" s="1">
        <v>45782</v>
      </c>
      <c r="J945" t="s">
        <v>18</v>
      </c>
      <c r="K945" t="s">
        <v>23</v>
      </c>
      <c r="L945" s="3">
        <v>5045.5839999999998</v>
      </c>
      <c r="M945" t="s">
        <v>11</v>
      </c>
    </row>
    <row r="946" spans="1:13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 s="3">
        <v>3227.22</v>
      </c>
      <c r="G946" s="4">
        <v>0.6</v>
      </c>
      <c r="H946" s="3">
        <v>-3227.22</v>
      </c>
      <c r="I946" s="1">
        <v>45782</v>
      </c>
      <c r="J946" t="s">
        <v>22</v>
      </c>
      <c r="K946" t="s">
        <v>23</v>
      </c>
      <c r="L946" s="3">
        <v>-1290.8879999999999</v>
      </c>
      <c r="M946" t="s">
        <v>2518</v>
      </c>
    </row>
    <row r="947" spans="1:13" x14ac:dyDescent="0.3">
      <c r="A947">
        <v>1945</v>
      </c>
      <c r="B947" t="s">
        <v>990</v>
      </c>
      <c r="C947" t="s">
        <v>13</v>
      </c>
      <c r="D947" t="s">
        <v>102</v>
      </c>
      <c r="E947">
        <v>2</v>
      </c>
      <c r="F947" s="3">
        <v>2803.56</v>
      </c>
      <c r="G947" s="4">
        <v>1.05</v>
      </c>
      <c r="H947" s="3">
        <v>5607.12</v>
      </c>
      <c r="I947" s="1">
        <v>45631</v>
      </c>
      <c r="J947" t="s">
        <v>15</v>
      </c>
      <c r="K947" t="s">
        <v>23</v>
      </c>
      <c r="L947" s="3">
        <v>-280.35600000000022</v>
      </c>
      <c r="M947" t="s">
        <v>2518</v>
      </c>
    </row>
    <row r="948" spans="1:13" x14ac:dyDescent="0.3">
      <c r="A948">
        <v>1946</v>
      </c>
      <c r="B948" t="s">
        <v>991</v>
      </c>
      <c r="C948" t="s">
        <v>13</v>
      </c>
      <c r="D948" t="s">
        <v>102</v>
      </c>
      <c r="E948">
        <v>2</v>
      </c>
      <c r="F948" s="3">
        <v>2355.36</v>
      </c>
      <c r="G948" s="4">
        <v>0.6</v>
      </c>
      <c r="H948" s="3">
        <v>4710.72</v>
      </c>
      <c r="I948" s="1">
        <v>45726</v>
      </c>
      <c r="J948" t="s">
        <v>15</v>
      </c>
      <c r="K948" t="s">
        <v>23</v>
      </c>
      <c r="L948" s="3">
        <v>1884.2880000000002</v>
      </c>
      <c r="M948" t="s">
        <v>11</v>
      </c>
    </row>
    <row r="949" spans="1:13" x14ac:dyDescent="0.3">
      <c r="A949">
        <v>1947</v>
      </c>
      <c r="B949" t="s">
        <v>992</v>
      </c>
      <c r="C949" t="s">
        <v>13</v>
      </c>
      <c r="D949" t="s">
        <v>49</v>
      </c>
      <c r="E949">
        <v>2</v>
      </c>
      <c r="F949" s="3">
        <v>2785.0877966101693</v>
      </c>
      <c r="G949" s="4">
        <v>0.2</v>
      </c>
      <c r="H949" s="3">
        <v>5570.1755932203387</v>
      </c>
      <c r="I949" s="1">
        <v>45642</v>
      </c>
      <c r="J949" t="s">
        <v>22</v>
      </c>
      <c r="K949" t="s">
        <v>16</v>
      </c>
      <c r="L949" s="3">
        <v>4456.1404745762711</v>
      </c>
      <c r="M949" t="s">
        <v>11</v>
      </c>
    </row>
    <row r="950" spans="1:13" x14ac:dyDescent="0.3">
      <c r="A950">
        <v>1948</v>
      </c>
      <c r="B950" t="s">
        <v>993</v>
      </c>
      <c r="C950" t="s">
        <v>13</v>
      </c>
      <c r="D950" t="s">
        <v>14</v>
      </c>
      <c r="E950">
        <v>2</v>
      </c>
      <c r="F950" s="3">
        <v>2755.59</v>
      </c>
      <c r="G950" s="4">
        <v>1.06</v>
      </c>
      <c r="H950" s="3">
        <v>5511.18</v>
      </c>
      <c r="I950" s="1">
        <v>45722</v>
      </c>
      <c r="J950" t="s">
        <v>18</v>
      </c>
      <c r="K950" t="s">
        <v>16</v>
      </c>
      <c r="L950" s="3">
        <v>-330.67080000000033</v>
      </c>
      <c r="M950" t="s">
        <v>2518</v>
      </c>
    </row>
    <row r="951" spans="1:13" x14ac:dyDescent="0.3">
      <c r="A951">
        <v>1949</v>
      </c>
      <c r="B951" t="s">
        <v>994</v>
      </c>
      <c r="C951" t="s">
        <v>25</v>
      </c>
      <c r="D951" t="s">
        <v>66</v>
      </c>
      <c r="E951">
        <v>2</v>
      </c>
      <c r="F951" s="3">
        <v>4000.18</v>
      </c>
      <c r="G951" s="4">
        <v>0.89</v>
      </c>
      <c r="H951" s="3">
        <v>8000.36</v>
      </c>
      <c r="I951" s="1">
        <v>45782</v>
      </c>
      <c r="J951" t="s">
        <v>22</v>
      </c>
      <c r="K951" t="s">
        <v>23</v>
      </c>
      <c r="L951" s="3">
        <v>880.03959999999984</v>
      </c>
      <c r="M951" t="s">
        <v>11</v>
      </c>
    </row>
    <row r="952" spans="1:13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 s="3">
        <v>2270.65</v>
      </c>
      <c r="G952" s="4">
        <v>0</v>
      </c>
      <c r="H952" s="3">
        <v>0</v>
      </c>
      <c r="I952" s="1">
        <v>45413</v>
      </c>
      <c r="J952" t="s">
        <v>18</v>
      </c>
      <c r="K952" t="s">
        <v>16</v>
      </c>
      <c r="L952" s="3">
        <v>0</v>
      </c>
      <c r="M952" t="s">
        <v>2518</v>
      </c>
    </row>
    <row r="953" spans="1:13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 s="3">
        <v>2390.4299999999998</v>
      </c>
      <c r="G953" s="4">
        <v>0.35</v>
      </c>
      <c r="H953" s="3">
        <v>4780.8599999999997</v>
      </c>
      <c r="I953" s="1">
        <v>45570</v>
      </c>
      <c r="J953" t="s">
        <v>15</v>
      </c>
      <c r="K953" t="s">
        <v>23</v>
      </c>
      <c r="L953" s="3">
        <v>3107.5589999999997</v>
      </c>
      <c r="M953" t="s">
        <v>11</v>
      </c>
    </row>
    <row r="954" spans="1:13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F954" s="3">
        <v>2576.3056896551716</v>
      </c>
      <c r="G954" s="4">
        <v>0.6</v>
      </c>
      <c r="H954" s="3">
        <v>12881.528448275858</v>
      </c>
      <c r="I954" s="1">
        <v>45365</v>
      </c>
      <c r="J954" t="s">
        <v>46</v>
      </c>
      <c r="K954" t="s">
        <v>16</v>
      </c>
      <c r="L954" s="3">
        <v>5152.6113793103432</v>
      </c>
      <c r="M954" t="s">
        <v>11</v>
      </c>
    </row>
    <row r="955" spans="1:13" x14ac:dyDescent="0.3">
      <c r="A955">
        <v>1953</v>
      </c>
      <c r="B955" t="s">
        <v>998</v>
      </c>
      <c r="C955" t="s">
        <v>20</v>
      </c>
      <c r="D955" t="s">
        <v>80</v>
      </c>
      <c r="E955">
        <v>2</v>
      </c>
      <c r="F955" s="3">
        <v>2483.5844000000002</v>
      </c>
      <c r="G955" s="4">
        <v>0.6</v>
      </c>
      <c r="H955" s="3">
        <v>4967.1688000000004</v>
      </c>
      <c r="I955" s="1">
        <v>45642</v>
      </c>
      <c r="J955" t="s">
        <v>22</v>
      </c>
      <c r="K955" t="s">
        <v>23</v>
      </c>
      <c r="L955" s="3">
        <v>1986.8675200000002</v>
      </c>
      <c r="M955" t="s">
        <v>11</v>
      </c>
    </row>
    <row r="956" spans="1:13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 s="3">
        <v>2315.7800000000002</v>
      </c>
      <c r="G956" s="4">
        <v>0.6</v>
      </c>
      <c r="H956" s="3">
        <v>-4631.5600000000004</v>
      </c>
      <c r="I956" s="1">
        <v>45803</v>
      </c>
      <c r="J956" t="s">
        <v>18</v>
      </c>
      <c r="K956" t="s">
        <v>23</v>
      </c>
      <c r="L956" s="3">
        <v>-1852.6240000000003</v>
      </c>
      <c r="M956" t="s">
        <v>2518</v>
      </c>
    </row>
    <row r="957" spans="1:13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 s="3">
        <v>2787.46</v>
      </c>
      <c r="G957" s="4">
        <v>0.92</v>
      </c>
      <c r="H957" s="3">
        <v>2787.46</v>
      </c>
      <c r="I957" s="1">
        <v>45668</v>
      </c>
      <c r="J957" t="s">
        <v>22</v>
      </c>
      <c r="K957" t="s">
        <v>23</v>
      </c>
      <c r="L957" s="3">
        <v>222.99679999999989</v>
      </c>
      <c r="M957" t="s">
        <v>2518</v>
      </c>
    </row>
    <row r="958" spans="1:13" x14ac:dyDescent="0.3">
      <c r="A958">
        <v>1956</v>
      </c>
      <c r="B958" t="s">
        <v>1001</v>
      </c>
      <c r="C958" t="s">
        <v>20</v>
      </c>
      <c r="D958" t="s">
        <v>21</v>
      </c>
      <c r="E958">
        <v>2</v>
      </c>
      <c r="F958" s="3">
        <v>2681.1743636363635</v>
      </c>
      <c r="G958" s="4">
        <v>0.6</v>
      </c>
      <c r="H958" s="3">
        <v>5362.348727272727</v>
      </c>
      <c r="I958" s="1">
        <v>45661</v>
      </c>
      <c r="J958" t="s">
        <v>40</v>
      </c>
      <c r="K958" t="s">
        <v>23</v>
      </c>
      <c r="L958" s="3">
        <v>2144.9394909090911</v>
      </c>
      <c r="M958" t="s">
        <v>11</v>
      </c>
    </row>
    <row r="959" spans="1:13" x14ac:dyDescent="0.3">
      <c r="A959">
        <v>1957</v>
      </c>
      <c r="B959" t="s">
        <v>1002</v>
      </c>
      <c r="C959" t="s">
        <v>29</v>
      </c>
      <c r="D959" t="s">
        <v>120</v>
      </c>
      <c r="E959">
        <v>2</v>
      </c>
      <c r="F959" s="3">
        <v>494.81</v>
      </c>
      <c r="G959" s="4">
        <v>0.6</v>
      </c>
      <c r="H959" s="3">
        <v>989.62</v>
      </c>
      <c r="I959" s="1">
        <v>45256</v>
      </c>
      <c r="J959" t="s">
        <v>56</v>
      </c>
      <c r="K959" t="s">
        <v>23</v>
      </c>
      <c r="L959" s="3">
        <v>395.84800000000001</v>
      </c>
      <c r="M959" t="s">
        <v>2518</v>
      </c>
    </row>
    <row r="960" spans="1:13" x14ac:dyDescent="0.3">
      <c r="A960">
        <v>1958</v>
      </c>
      <c r="B960" t="s">
        <v>1003</v>
      </c>
      <c r="C960" t="s">
        <v>33</v>
      </c>
      <c r="D960" t="s">
        <v>34</v>
      </c>
      <c r="E960">
        <v>2</v>
      </c>
      <c r="F960" s="3">
        <v>3068.38</v>
      </c>
      <c r="G960" s="4">
        <v>0.6</v>
      </c>
      <c r="H960" s="3">
        <v>6136.76</v>
      </c>
      <c r="I960" s="1">
        <v>45502</v>
      </c>
      <c r="J960" t="s">
        <v>40</v>
      </c>
      <c r="K960" t="s">
        <v>23</v>
      </c>
      <c r="L960" s="3">
        <v>2454.7040000000002</v>
      </c>
      <c r="M960" t="s">
        <v>11</v>
      </c>
    </row>
    <row r="961" spans="1:13" x14ac:dyDescent="0.3">
      <c r="A961">
        <v>1959</v>
      </c>
      <c r="B961" t="s">
        <v>1004</v>
      </c>
      <c r="C961" t="s">
        <v>20</v>
      </c>
      <c r="D961" t="s">
        <v>88</v>
      </c>
      <c r="E961">
        <v>2</v>
      </c>
      <c r="F961" s="3">
        <v>3805.09</v>
      </c>
      <c r="G961" s="4">
        <v>0.6</v>
      </c>
      <c r="H961" s="3">
        <v>7610.18</v>
      </c>
      <c r="I961" s="1">
        <v>45782</v>
      </c>
      <c r="J961" t="s">
        <v>18</v>
      </c>
      <c r="K961" t="s">
        <v>23</v>
      </c>
      <c r="L961" s="3">
        <v>3044.0720000000001</v>
      </c>
      <c r="M961" t="s">
        <v>11</v>
      </c>
    </row>
    <row r="962" spans="1:13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 s="3">
        <v>1369.81</v>
      </c>
      <c r="G962" s="4">
        <v>0.67</v>
      </c>
      <c r="H962" s="3">
        <v>2739.62</v>
      </c>
      <c r="I962" s="1">
        <v>45612</v>
      </c>
      <c r="J962" t="s">
        <v>46</v>
      </c>
      <c r="K962" t="s">
        <v>23</v>
      </c>
      <c r="L962" s="3">
        <v>904.0745999999998</v>
      </c>
      <c r="M962" t="s">
        <v>11</v>
      </c>
    </row>
    <row r="963" spans="1:13" x14ac:dyDescent="0.3">
      <c r="A963">
        <v>1961</v>
      </c>
      <c r="B963" t="s">
        <v>1006</v>
      </c>
      <c r="C963" t="s">
        <v>20</v>
      </c>
      <c r="D963" t="s">
        <v>88</v>
      </c>
      <c r="E963">
        <v>2</v>
      </c>
      <c r="F963" s="3">
        <v>2204.39</v>
      </c>
      <c r="G963" s="4">
        <v>0.6</v>
      </c>
      <c r="H963" s="3">
        <v>4408.78</v>
      </c>
      <c r="I963" s="1">
        <v>45374</v>
      </c>
      <c r="J963" t="s">
        <v>46</v>
      </c>
      <c r="K963" t="s">
        <v>23</v>
      </c>
      <c r="L963" s="3">
        <v>1763.5119999999999</v>
      </c>
      <c r="M963" t="s">
        <v>11</v>
      </c>
    </row>
    <row r="964" spans="1:13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F964" s="3">
        <v>2530.3836538461546</v>
      </c>
      <c r="G964" s="4">
        <v>0.6</v>
      </c>
      <c r="H964" s="3">
        <v>-5060.7673076923093</v>
      </c>
      <c r="I964" s="1">
        <v>45267</v>
      </c>
      <c r="J964" t="s">
        <v>15</v>
      </c>
      <c r="K964" t="s">
        <v>23</v>
      </c>
      <c r="L964" s="3">
        <v>-2024.3069230769238</v>
      </c>
      <c r="M964" t="s">
        <v>2518</v>
      </c>
    </row>
    <row r="965" spans="1:13" x14ac:dyDescent="0.3">
      <c r="A965">
        <v>1963</v>
      </c>
      <c r="B965" t="s">
        <v>1008</v>
      </c>
      <c r="C965" t="s">
        <v>25</v>
      </c>
      <c r="D965" t="s">
        <v>86</v>
      </c>
      <c r="E965">
        <v>2</v>
      </c>
      <c r="F965" s="3">
        <v>1935.29</v>
      </c>
      <c r="G965" s="4">
        <v>0.6</v>
      </c>
      <c r="H965" s="3">
        <v>3870.58</v>
      </c>
      <c r="I965" s="1">
        <v>45525</v>
      </c>
      <c r="J965" t="s">
        <v>22</v>
      </c>
      <c r="K965" t="s">
        <v>23</v>
      </c>
      <c r="L965" s="3">
        <v>1548.232</v>
      </c>
      <c r="M965" t="s">
        <v>11</v>
      </c>
    </row>
    <row r="966" spans="1:13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F966" s="3">
        <v>2841.7630612244907</v>
      </c>
      <c r="G966" s="4">
        <v>0.6</v>
      </c>
      <c r="H966" s="3">
        <v>-5683.5261224489814</v>
      </c>
      <c r="I966" s="1">
        <v>45782</v>
      </c>
      <c r="J966" t="s">
        <v>40</v>
      </c>
      <c r="K966" t="s">
        <v>23</v>
      </c>
      <c r="L966" s="3">
        <v>-2273.4104489795927</v>
      </c>
      <c r="M966" t="s">
        <v>2518</v>
      </c>
    </row>
    <row r="967" spans="1:13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F967" s="3">
        <v>2868.7768181818178</v>
      </c>
      <c r="G967" s="4">
        <v>0.6</v>
      </c>
      <c r="H967" s="3">
        <v>0</v>
      </c>
      <c r="I967" s="1">
        <v>45689</v>
      </c>
      <c r="J967" t="s">
        <v>46</v>
      </c>
      <c r="K967" t="s">
        <v>23</v>
      </c>
      <c r="L967" s="3">
        <v>0</v>
      </c>
      <c r="M967" t="s">
        <v>2518</v>
      </c>
    </row>
    <row r="968" spans="1:13" x14ac:dyDescent="0.3">
      <c r="A968">
        <v>1966</v>
      </c>
      <c r="B968" t="s">
        <v>1011</v>
      </c>
      <c r="C968" t="s">
        <v>25</v>
      </c>
      <c r="D968" t="s">
        <v>26</v>
      </c>
      <c r="E968">
        <v>2</v>
      </c>
      <c r="F968" s="3">
        <v>2888.8714285714286</v>
      </c>
      <c r="G968" s="4">
        <v>0.6</v>
      </c>
      <c r="H968" s="3">
        <v>5777.7428571428572</v>
      </c>
      <c r="I968" s="1">
        <v>45782</v>
      </c>
      <c r="J968" t="s">
        <v>46</v>
      </c>
      <c r="K968" t="s">
        <v>23</v>
      </c>
      <c r="L968" s="3">
        <v>2311.0971428571429</v>
      </c>
      <c r="M968" t="s">
        <v>11</v>
      </c>
    </row>
    <row r="969" spans="1:13" x14ac:dyDescent="0.3">
      <c r="A969">
        <v>1967</v>
      </c>
      <c r="B969" t="s">
        <v>1012</v>
      </c>
      <c r="C969" t="s">
        <v>33</v>
      </c>
      <c r="D969" t="s">
        <v>82</v>
      </c>
      <c r="E969">
        <v>2</v>
      </c>
      <c r="F969" s="3">
        <v>2776.2202000000002</v>
      </c>
      <c r="G969" s="4">
        <v>0.6</v>
      </c>
      <c r="H969" s="3">
        <v>5552.4404000000004</v>
      </c>
      <c r="I969" s="1">
        <v>45782</v>
      </c>
      <c r="J969" t="s">
        <v>18</v>
      </c>
      <c r="K969" t="s">
        <v>23</v>
      </c>
      <c r="L969" s="3">
        <v>2220.9761600000002</v>
      </c>
      <c r="M969" t="s">
        <v>11</v>
      </c>
    </row>
    <row r="970" spans="1:13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F970" s="3">
        <v>2681.1743636363635</v>
      </c>
      <c r="G970" s="4">
        <v>0.6</v>
      </c>
      <c r="H970" s="3">
        <v>13405.871818181819</v>
      </c>
      <c r="I970" s="1">
        <v>45855</v>
      </c>
      <c r="J970" t="s">
        <v>40</v>
      </c>
      <c r="K970" t="s">
        <v>23</v>
      </c>
      <c r="L970" s="3">
        <v>5362.348727272728</v>
      </c>
      <c r="M970" t="s">
        <v>11</v>
      </c>
    </row>
    <row r="971" spans="1:13" x14ac:dyDescent="0.3">
      <c r="A971">
        <v>1969</v>
      </c>
      <c r="B971" t="s">
        <v>1014</v>
      </c>
      <c r="C971" t="s">
        <v>13</v>
      </c>
      <c r="D971" t="s">
        <v>14</v>
      </c>
      <c r="E971">
        <v>2</v>
      </c>
      <c r="F971" s="3">
        <v>2153.5700000000002</v>
      </c>
      <c r="G971" s="4">
        <v>0.6</v>
      </c>
      <c r="H971" s="3">
        <v>4307.1400000000003</v>
      </c>
      <c r="I971" s="1">
        <v>45612</v>
      </c>
      <c r="J971" t="s">
        <v>22</v>
      </c>
      <c r="K971" t="s">
        <v>16</v>
      </c>
      <c r="L971" s="3">
        <v>1722.8560000000002</v>
      </c>
      <c r="M971" t="s">
        <v>11</v>
      </c>
    </row>
    <row r="972" spans="1:13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F972" s="3">
        <v>2725.8557142857148</v>
      </c>
      <c r="G972" s="4">
        <v>0.6</v>
      </c>
      <c r="H972" s="3">
        <v>16355.134285714288</v>
      </c>
      <c r="I972" s="1">
        <v>45782</v>
      </c>
      <c r="J972" t="s">
        <v>46</v>
      </c>
      <c r="K972" t="s">
        <v>23</v>
      </c>
      <c r="L972" s="3">
        <v>6542.0537142857156</v>
      </c>
      <c r="M972" t="s">
        <v>11</v>
      </c>
    </row>
    <row r="973" spans="1:13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 s="3">
        <v>4746.5200000000004</v>
      </c>
      <c r="G973" s="4">
        <v>0.6</v>
      </c>
      <c r="H973" s="3">
        <v>0</v>
      </c>
      <c r="I973" s="1">
        <v>45629</v>
      </c>
      <c r="J973" t="s">
        <v>22</v>
      </c>
      <c r="K973" t="s">
        <v>23</v>
      </c>
      <c r="L973" s="3">
        <v>0</v>
      </c>
      <c r="M973" t="s">
        <v>2518</v>
      </c>
    </row>
    <row r="974" spans="1:13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F974" s="3">
        <v>2483.5844000000002</v>
      </c>
      <c r="G974" s="4">
        <v>0.6</v>
      </c>
      <c r="H974" s="3">
        <v>-2483.5844000000002</v>
      </c>
      <c r="I974" s="1">
        <v>45525</v>
      </c>
      <c r="J974" t="s">
        <v>15</v>
      </c>
      <c r="K974" t="s">
        <v>16</v>
      </c>
      <c r="L974" s="3">
        <v>-993.43376000000012</v>
      </c>
      <c r="M974" t="s">
        <v>2518</v>
      </c>
    </row>
    <row r="975" spans="1:13" x14ac:dyDescent="0.3">
      <c r="A975">
        <v>1973</v>
      </c>
      <c r="B975" t="s">
        <v>1018</v>
      </c>
      <c r="C975" t="s">
        <v>29</v>
      </c>
      <c r="D975" t="s">
        <v>141</v>
      </c>
      <c r="E975">
        <v>2</v>
      </c>
      <c r="F975" s="3">
        <v>2462.79</v>
      </c>
      <c r="G975" s="4">
        <v>0.6</v>
      </c>
      <c r="H975" s="3">
        <v>4925.58</v>
      </c>
      <c r="I975" s="1">
        <v>45745</v>
      </c>
      <c r="J975" t="s">
        <v>46</v>
      </c>
      <c r="K975" t="s">
        <v>16</v>
      </c>
      <c r="L975" s="3">
        <v>1970.232</v>
      </c>
      <c r="M975" t="s">
        <v>11</v>
      </c>
    </row>
    <row r="976" spans="1:13" x14ac:dyDescent="0.3">
      <c r="A976">
        <v>1974</v>
      </c>
      <c r="B976" t="s">
        <v>1019</v>
      </c>
      <c r="C976" t="s">
        <v>13</v>
      </c>
      <c r="D976" t="s">
        <v>102</v>
      </c>
      <c r="E976">
        <v>2</v>
      </c>
      <c r="F976" s="3">
        <v>3286.66</v>
      </c>
      <c r="G976" s="4">
        <v>0.6</v>
      </c>
      <c r="H976" s="3">
        <v>6573.32</v>
      </c>
      <c r="I976" s="1">
        <v>45782</v>
      </c>
      <c r="J976" t="s">
        <v>18</v>
      </c>
      <c r="K976" t="s">
        <v>23</v>
      </c>
      <c r="L976" s="3">
        <v>2629.328</v>
      </c>
      <c r="M976" t="s">
        <v>11</v>
      </c>
    </row>
    <row r="977" spans="1:13" x14ac:dyDescent="0.3">
      <c r="A977">
        <v>1975</v>
      </c>
      <c r="B977" t="s">
        <v>1020</v>
      </c>
      <c r="C977" t="s">
        <v>33</v>
      </c>
      <c r="D977" t="s">
        <v>72</v>
      </c>
      <c r="E977">
        <v>2</v>
      </c>
      <c r="F977" s="3">
        <v>3853.49</v>
      </c>
      <c r="G977" s="4">
        <v>0.6</v>
      </c>
      <c r="H977" s="3">
        <v>7706.98</v>
      </c>
      <c r="I977" s="1">
        <v>45782</v>
      </c>
      <c r="J977" t="s">
        <v>22</v>
      </c>
      <c r="K977" t="s">
        <v>23</v>
      </c>
      <c r="L977" s="3">
        <v>3082.7919999999999</v>
      </c>
      <c r="M977" t="s">
        <v>11</v>
      </c>
    </row>
    <row r="978" spans="1:13" x14ac:dyDescent="0.3">
      <c r="A978">
        <v>1976</v>
      </c>
      <c r="B978" t="s">
        <v>1021</v>
      </c>
      <c r="C978" t="s">
        <v>13</v>
      </c>
      <c r="D978" t="s">
        <v>102</v>
      </c>
      <c r="E978">
        <v>2</v>
      </c>
      <c r="F978" s="3">
        <v>4363.08</v>
      </c>
      <c r="G978" s="4">
        <v>0.6</v>
      </c>
      <c r="H978" s="3">
        <v>8726.16</v>
      </c>
      <c r="I978" s="1">
        <v>45803</v>
      </c>
      <c r="J978" t="s">
        <v>15</v>
      </c>
      <c r="K978" t="s">
        <v>16</v>
      </c>
      <c r="L978" s="3">
        <v>3490.4639999999999</v>
      </c>
      <c r="M978" t="s">
        <v>11</v>
      </c>
    </row>
    <row r="979" spans="1:13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 s="3">
        <v>4126.29</v>
      </c>
      <c r="G979" s="4">
        <v>0.6</v>
      </c>
      <c r="H979" s="3">
        <v>8252.58</v>
      </c>
      <c r="I979" s="1">
        <v>45782</v>
      </c>
      <c r="J979" t="s">
        <v>22</v>
      </c>
      <c r="K979" t="s">
        <v>23</v>
      </c>
      <c r="L979" s="3">
        <v>3301.0320000000002</v>
      </c>
      <c r="M979" t="s">
        <v>11</v>
      </c>
    </row>
    <row r="980" spans="1:13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F980" s="3">
        <v>2715.5458490566025</v>
      </c>
      <c r="G980" s="4">
        <v>0.6</v>
      </c>
      <c r="H980" s="3">
        <v>10862.18339622641</v>
      </c>
      <c r="I980" s="1">
        <v>45522</v>
      </c>
      <c r="J980" t="s">
        <v>22</v>
      </c>
      <c r="K980" t="s">
        <v>23</v>
      </c>
      <c r="L980" s="3">
        <v>4344.873358490564</v>
      </c>
      <c r="M980" t="s">
        <v>11</v>
      </c>
    </row>
    <row r="981" spans="1:13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 s="3">
        <v>4375.7</v>
      </c>
      <c r="G981" s="4">
        <v>0.91</v>
      </c>
      <c r="H981" s="3">
        <v>-8751.4</v>
      </c>
      <c r="I981" s="1">
        <v>45821</v>
      </c>
      <c r="J981" t="s">
        <v>40</v>
      </c>
      <c r="K981" t="s">
        <v>23</v>
      </c>
      <c r="L981" s="3">
        <v>-787.62599999999975</v>
      </c>
      <c r="M981" t="s">
        <v>2518</v>
      </c>
    </row>
    <row r="982" spans="1:13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 s="3">
        <v>1426.73</v>
      </c>
      <c r="G982" s="4">
        <v>0.6</v>
      </c>
      <c r="H982" s="3">
        <v>1426.73</v>
      </c>
      <c r="I982" s="1">
        <v>45207</v>
      </c>
      <c r="J982" t="s">
        <v>46</v>
      </c>
      <c r="K982" t="s">
        <v>16</v>
      </c>
      <c r="L982" s="3">
        <v>570.69200000000001</v>
      </c>
      <c r="M982" t="s">
        <v>11</v>
      </c>
    </row>
    <row r="983" spans="1:13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F983" s="3">
        <v>2804.2651923076919</v>
      </c>
      <c r="G983" s="4">
        <v>0.6</v>
      </c>
      <c r="H983" s="3">
        <v>0</v>
      </c>
      <c r="I983" s="1">
        <v>45782</v>
      </c>
      <c r="J983" t="s">
        <v>15</v>
      </c>
      <c r="K983" t="s">
        <v>23</v>
      </c>
      <c r="L983" s="3">
        <v>0</v>
      </c>
      <c r="M983" t="s">
        <v>2518</v>
      </c>
    </row>
    <row r="984" spans="1:13" x14ac:dyDescent="0.3">
      <c r="A984">
        <v>1982</v>
      </c>
      <c r="B984" t="s">
        <v>1027</v>
      </c>
      <c r="C984" t="s">
        <v>38</v>
      </c>
      <c r="D984" t="s">
        <v>63</v>
      </c>
      <c r="E984">
        <v>2</v>
      </c>
      <c r="F984" s="3">
        <v>3701.72</v>
      </c>
      <c r="G984" s="4">
        <v>0.6</v>
      </c>
      <c r="H984" s="3">
        <v>7403.44</v>
      </c>
      <c r="I984" s="1">
        <v>45782</v>
      </c>
      <c r="J984" t="s">
        <v>18</v>
      </c>
      <c r="K984" t="s">
        <v>23</v>
      </c>
      <c r="L984" s="3">
        <v>2961.3760000000002</v>
      </c>
      <c r="M984" t="s">
        <v>11</v>
      </c>
    </row>
    <row r="985" spans="1:13" x14ac:dyDescent="0.3">
      <c r="A985">
        <v>1983</v>
      </c>
      <c r="B985" t="s">
        <v>1028</v>
      </c>
      <c r="C985" t="s">
        <v>20</v>
      </c>
      <c r="D985" t="s">
        <v>80</v>
      </c>
      <c r="E985">
        <v>2</v>
      </c>
      <c r="F985" s="3">
        <v>2348.2600000000002</v>
      </c>
      <c r="G985" s="4">
        <v>0.6</v>
      </c>
      <c r="H985" s="3">
        <v>4696.5200000000004</v>
      </c>
      <c r="I985" s="1">
        <v>45756</v>
      </c>
      <c r="J985" t="s">
        <v>40</v>
      </c>
      <c r="K985" t="s">
        <v>23</v>
      </c>
      <c r="L985" s="3">
        <v>1878.6080000000002</v>
      </c>
      <c r="M985" t="s">
        <v>11</v>
      </c>
    </row>
    <row r="986" spans="1:13" x14ac:dyDescent="0.3">
      <c r="A986">
        <v>1984</v>
      </c>
      <c r="B986" t="s">
        <v>1029</v>
      </c>
      <c r="C986" t="s">
        <v>38</v>
      </c>
      <c r="D986" t="s">
        <v>59</v>
      </c>
      <c r="E986">
        <v>2</v>
      </c>
      <c r="F986" s="3">
        <v>2804.2651923076919</v>
      </c>
      <c r="G986" s="4">
        <v>1.25</v>
      </c>
      <c r="H986" s="3">
        <v>5608.5303846153838</v>
      </c>
      <c r="I986" s="1">
        <v>45555</v>
      </c>
      <c r="J986" t="s">
        <v>40</v>
      </c>
      <c r="K986" t="s">
        <v>23</v>
      </c>
      <c r="L986" s="3">
        <v>-1402.132596153846</v>
      </c>
      <c r="M986" t="s">
        <v>2518</v>
      </c>
    </row>
    <row r="987" spans="1:13" x14ac:dyDescent="0.3">
      <c r="A987">
        <v>1985</v>
      </c>
      <c r="B987" t="s">
        <v>1030</v>
      </c>
      <c r="C987" t="s">
        <v>25</v>
      </c>
      <c r="D987" t="s">
        <v>86</v>
      </c>
      <c r="E987">
        <v>2</v>
      </c>
      <c r="F987" s="3">
        <v>1668.18</v>
      </c>
      <c r="G987" s="4">
        <v>0.63</v>
      </c>
      <c r="H987" s="3">
        <v>3336.36</v>
      </c>
      <c r="I987" s="1">
        <v>45638</v>
      </c>
      <c r="J987" t="s">
        <v>15</v>
      </c>
      <c r="K987" t="s">
        <v>23</v>
      </c>
      <c r="L987" s="3">
        <v>1234.4531999999999</v>
      </c>
      <c r="M987" t="s">
        <v>11</v>
      </c>
    </row>
    <row r="988" spans="1:13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F988" s="3">
        <v>3008.3844444444444</v>
      </c>
      <c r="G988" s="4">
        <v>0.06</v>
      </c>
      <c r="H988" s="3">
        <v>0</v>
      </c>
      <c r="I988" s="1">
        <v>45672</v>
      </c>
      <c r="J988" t="s">
        <v>56</v>
      </c>
      <c r="K988" t="s">
        <v>23</v>
      </c>
      <c r="L988" s="3">
        <v>0</v>
      </c>
      <c r="M988" t="s">
        <v>2518</v>
      </c>
    </row>
    <row r="989" spans="1:13" x14ac:dyDescent="0.3">
      <c r="A989">
        <v>1987</v>
      </c>
      <c r="B989" t="s">
        <v>1032</v>
      </c>
      <c r="C989" t="s">
        <v>29</v>
      </c>
      <c r="D989" t="s">
        <v>30</v>
      </c>
      <c r="E989">
        <v>2</v>
      </c>
      <c r="F989" s="3">
        <v>2617.6390384615388</v>
      </c>
      <c r="G989" s="4">
        <v>0.8</v>
      </c>
      <c r="H989" s="3">
        <v>5235.2780769230776</v>
      </c>
      <c r="I989" s="1">
        <v>45667</v>
      </c>
      <c r="J989" t="s">
        <v>56</v>
      </c>
      <c r="K989" t="s">
        <v>23</v>
      </c>
      <c r="L989" s="3">
        <v>1047.0556153846153</v>
      </c>
      <c r="M989" t="s">
        <v>11</v>
      </c>
    </row>
    <row r="990" spans="1:13" x14ac:dyDescent="0.3">
      <c r="A990">
        <v>1988</v>
      </c>
      <c r="B990" t="s">
        <v>1033</v>
      </c>
      <c r="C990" t="s">
        <v>25</v>
      </c>
      <c r="D990" t="s">
        <v>86</v>
      </c>
      <c r="E990">
        <v>2</v>
      </c>
      <c r="F990" s="3">
        <v>2501.5309999999999</v>
      </c>
      <c r="G990" s="4">
        <v>0.6</v>
      </c>
      <c r="H990" s="3">
        <v>5003.0619999999999</v>
      </c>
      <c r="I990" s="1">
        <v>45741</v>
      </c>
      <c r="J990" t="s">
        <v>40</v>
      </c>
      <c r="K990" t="s">
        <v>23</v>
      </c>
      <c r="L990" s="3">
        <v>2001.2248</v>
      </c>
      <c r="M990" t="s">
        <v>11</v>
      </c>
    </row>
    <row r="991" spans="1:13" x14ac:dyDescent="0.3">
      <c r="A991">
        <v>1989</v>
      </c>
      <c r="B991" t="s">
        <v>1034</v>
      </c>
      <c r="C991" t="s">
        <v>33</v>
      </c>
      <c r="D991" t="s">
        <v>34</v>
      </c>
      <c r="E991">
        <v>2</v>
      </c>
      <c r="F991" s="3">
        <v>2487.039615384615</v>
      </c>
      <c r="G991" s="4">
        <v>0.6</v>
      </c>
      <c r="H991" s="3">
        <v>4974.07923076923</v>
      </c>
      <c r="I991" s="1">
        <v>45740</v>
      </c>
      <c r="J991" t="s">
        <v>18</v>
      </c>
      <c r="K991" t="s">
        <v>23</v>
      </c>
      <c r="L991" s="3">
        <v>1989.631692307692</v>
      </c>
      <c r="M991" t="s">
        <v>11</v>
      </c>
    </row>
    <row r="992" spans="1:13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 s="3">
        <v>1203.45</v>
      </c>
      <c r="G992" s="4">
        <v>0.6</v>
      </c>
      <c r="H992" s="3">
        <v>-1203.45</v>
      </c>
      <c r="I992" s="1">
        <v>45774</v>
      </c>
      <c r="J992" t="s">
        <v>15</v>
      </c>
      <c r="K992" t="s">
        <v>16</v>
      </c>
      <c r="L992" s="3">
        <v>-481.38000000000005</v>
      </c>
      <c r="M992" t="s">
        <v>2518</v>
      </c>
    </row>
    <row r="993" spans="1:13" x14ac:dyDescent="0.3">
      <c r="A993">
        <v>1991</v>
      </c>
      <c r="B993" t="s">
        <v>1036</v>
      </c>
      <c r="C993" t="s">
        <v>20</v>
      </c>
      <c r="D993" t="s">
        <v>122</v>
      </c>
      <c r="E993">
        <v>2</v>
      </c>
      <c r="F993" s="3">
        <v>2808.46</v>
      </c>
      <c r="G993" s="4">
        <v>0.67</v>
      </c>
      <c r="H993" s="3">
        <v>5616.92</v>
      </c>
      <c r="I993" s="1">
        <v>45782</v>
      </c>
      <c r="J993" t="s">
        <v>22</v>
      </c>
      <c r="K993" t="s">
        <v>16</v>
      </c>
      <c r="L993" s="3">
        <v>1853.5835999999997</v>
      </c>
      <c r="M993" t="s">
        <v>11</v>
      </c>
    </row>
    <row r="994" spans="1:13" x14ac:dyDescent="0.3">
      <c r="A994">
        <v>1992</v>
      </c>
      <c r="B994" t="s">
        <v>1037</v>
      </c>
      <c r="C994" t="s">
        <v>33</v>
      </c>
      <c r="D994" t="s">
        <v>72</v>
      </c>
      <c r="E994">
        <v>2</v>
      </c>
      <c r="F994" s="3">
        <v>2715.5458490566025</v>
      </c>
      <c r="G994" s="4">
        <v>0.72</v>
      </c>
      <c r="H994" s="3">
        <v>5431.091698113205</v>
      </c>
      <c r="I994" s="1">
        <v>45782</v>
      </c>
      <c r="J994" t="s">
        <v>40</v>
      </c>
      <c r="K994" t="s">
        <v>23</v>
      </c>
      <c r="L994" s="3">
        <v>1520.7056754716975</v>
      </c>
      <c r="M994" t="s">
        <v>11</v>
      </c>
    </row>
    <row r="995" spans="1:13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F995" s="3">
        <v>2501.5309999999999</v>
      </c>
      <c r="G995" s="4">
        <v>0.6</v>
      </c>
      <c r="H995" s="3">
        <v>0</v>
      </c>
      <c r="I995" s="1">
        <v>45213</v>
      </c>
      <c r="J995" t="s">
        <v>46</v>
      </c>
      <c r="K995" t="s">
        <v>16</v>
      </c>
      <c r="L995" s="3">
        <v>0</v>
      </c>
      <c r="M995" t="s">
        <v>2518</v>
      </c>
    </row>
    <row r="996" spans="1:13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 s="3">
        <v>1010.48</v>
      </c>
      <c r="G996" s="4">
        <v>0.6</v>
      </c>
      <c r="H996" s="3">
        <v>-1010.48</v>
      </c>
      <c r="I996" s="1">
        <v>45499</v>
      </c>
      <c r="J996" t="s">
        <v>56</v>
      </c>
      <c r="K996" t="s">
        <v>16</v>
      </c>
      <c r="L996" s="3">
        <v>-404.19200000000001</v>
      </c>
      <c r="M996" t="s">
        <v>2518</v>
      </c>
    </row>
    <row r="997" spans="1:13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F997" s="3">
        <v>2700.1263043478252</v>
      </c>
      <c r="G997" s="4">
        <v>0.6</v>
      </c>
      <c r="H997" s="3">
        <v>10800.505217391301</v>
      </c>
      <c r="I997" s="1">
        <v>45721</v>
      </c>
      <c r="J997" t="s">
        <v>15</v>
      </c>
      <c r="K997" t="s">
        <v>16</v>
      </c>
      <c r="L997" s="3">
        <v>4320.2020869565204</v>
      </c>
      <c r="M997" t="s">
        <v>11</v>
      </c>
    </row>
    <row r="998" spans="1:13" x14ac:dyDescent="0.3">
      <c r="A998">
        <v>1996</v>
      </c>
      <c r="B998" t="s">
        <v>1041</v>
      </c>
      <c r="C998" t="s">
        <v>29</v>
      </c>
      <c r="D998" t="s">
        <v>120</v>
      </c>
      <c r="E998">
        <v>2</v>
      </c>
      <c r="F998" s="3">
        <v>2830.1325714285731</v>
      </c>
      <c r="G998" s="4">
        <v>0.6</v>
      </c>
      <c r="H998" s="3">
        <v>5660.2651428571462</v>
      </c>
      <c r="I998" s="1">
        <v>45777</v>
      </c>
      <c r="J998" t="s">
        <v>22</v>
      </c>
      <c r="K998" t="s">
        <v>23</v>
      </c>
      <c r="L998" s="3">
        <v>2264.1060571428584</v>
      </c>
      <c r="M998" t="s">
        <v>11</v>
      </c>
    </row>
    <row r="999" spans="1:13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F999" s="3">
        <v>2681.1743636363635</v>
      </c>
      <c r="G999" s="4">
        <v>0.53</v>
      </c>
      <c r="H999" s="3">
        <v>10724.697454545454</v>
      </c>
      <c r="I999" s="1">
        <v>45726</v>
      </c>
      <c r="J999" t="s">
        <v>15</v>
      </c>
      <c r="K999" t="s">
        <v>16</v>
      </c>
      <c r="L999" s="3">
        <v>5040.6078036363633</v>
      </c>
      <c r="M999" t="s">
        <v>11</v>
      </c>
    </row>
    <row r="1000" spans="1:13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 s="3">
        <v>2567.59</v>
      </c>
      <c r="G1000" s="4">
        <v>0.6</v>
      </c>
      <c r="H1000" s="3">
        <v>12837.95</v>
      </c>
      <c r="I1000" s="1">
        <v>45203</v>
      </c>
      <c r="J1000" t="s">
        <v>15</v>
      </c>
      <c r="K1000" t="s">
        <v>16</v>
      </c>
      <c r="L1000" s="3">
        <v>5135.18</v>
      </c>
      <c r="M1000" t="s">
        <v>11</v>
      </c>
    </row>
    <row r="1001" spans="1:13" x14ac:dyDescent="0.3">
      <c r="A1001">
        <v>1999</v>
      </c>
      <c r="B1001" t="s">
        <v>1044</v>
      </c>
      <c r="C1001" t="s">
        <v>25</v>
      </c>
      <c r="D1001" t="s">
        <v>66</v>
      </c>
      <c r="E1001">
        <v>2</v>
      </c>
      <c r="F1001" s="3">
        <v>2572.7764000000006</v>
      </c>
      <c r="G1001" s="4">
        <v>0.81</v>
      </c>
      <c r="H1001" s="3">
        <v>5145.5528000000013</v>
      </c>
      <c r="I1001" s="1">
        <v>45773</v>
      </c>
      <c r="J1001" t="s">
        <v>56</v>
      </c>
      <c r="K1001" t="s">
        <v>16</v>
      </c>
      <c r="L1001" s="3">
        <v>977.65503200000001</v>
      </c>
      <c r="M1001" t="s">
        <v>11</v>
      </c>
    </row>
    <row r="1002" spans="1:13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 s="3">
        <v>1966.21</v>
      </c>
      <c r="G1002" s="4">
        <v>0.6</v>
      </c>
      <c r="H1002" s="3">
        <v>-1966.21</v>
      </c>
      <c r="I1002" s="1">
        <v>45520</v>
      </c>
      <c r="J1002" t="s">
        <v>40</v>
      </c>
      <c r="K1002" t="s">
        <v>23</v>
      </c>
      <c r="L1002" s="3">
        <v>-786.48400000000004</v>
      </c>
      <c r="M1002" t="s">
        <v>2518</v>
      </c>
    </row>
    <row r="1003" spans="1:13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F1003" s="3">
        <v>2845.2419672131159</v>
      </c>
      <c r="G1003" s="4">
        <v>0.6</v>
      </c>
      <c r="H1003" s="3">
        <v>2845.2419672131159</v>
      </c>
      <c r="I1003" s="1">
        <v>45782</v>
      </c>
      <c r="J1003" t="s">
        <v>22</v>
      </c>
      <c r="K1003" t="s">
        <v>16</v>
      </c>
      <c r="L1003" s="3">
        <v>1138.0967868852465</v>
      </c>
      <c r="M1003" t="s">
        <v>11</v>
      </c>
    </row>
    <row r="1004" spans="1:13" x14ac:dyDescent="0.3">
      <c r="A1004">
        <v>2002</v>
      </c>
      <c r="B1004" t="s">
        <v>1047</v>
      </c>
      <c r="C1004" t="s">
        <v>33</v>
      </c>
      <c r="D1004" t="s">
        <v>34</v>
      </c>
      <c r="E1004">
        <v>2</v>
      </c>
      <c r="F1004" s="3">
        <v>1335.29</v>
      </c>
      <c r="G1004" s="4">
        <v>0.6</v>
      </c>
      <c r="H1004" s="3">
        <v>2670.58</v>
      </c>
      <c r="I1004" s="1">
        <v>45623</v>
      </c>
      <c r="J1004" t="s">
        <v>18</v>
      </c>
      <c r="K1004" t="s">
        <v>16</v>
      </c>
      <c r="L1004" s="3">
        <v>1068.232</v>
      </c>
      <c r="M1004" t="s">
        <v>11</v>
      </c>
    </row>
    <row r="1005" spans="1:13" x14ac:dyDescent="0.3">
      <c r="A1005">
        <v>2003</v>
      </c>
      <c r="B1005" t="s">
        <v>1048</v>
      </c>
      <c r="C1005" t="s">
        <v>20</v>
      </c>
      <c r="D1005" t="s">
        <v>88</v>
      </c>
      <c r="E1005">
        <v>2</v>
      </c>
      <c r="F1005" s="3">
        <v>2910.84</v>
      </c>
      <c r="G1005" s="4">
        <v>0.6</v>
      </c>
      <c r="H1005" s="3">
        <v>5821.68</v>
      </c>
      <c r="I1005" s="1">
        <v>45577</v>
      </c>
      <c r="J1005" t="s">
        <v>18</v>
      </c>
      <c r="K1005" t="s">
        <v>16</v>
      </c>
      <c r="L1005" s="3">
        <v>2328.672</v>
      </c>
      <c r="M1005" t="s">
        <v>11</v>
      </c>
    </row>
    <row r="1006" spans="1:13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F1006" s="3">
        <v>2483.5844000000002</v>
      </c>
      <c r="G1006" s="4">
        <v>0.6</v>
      </c>
      <c r="H1006" s="3">
        <v>-2483.5844000000002</v>
      </c>
      <c r="I1006" s="1">
        <v>45605</v>
      </c>
      <c r="J1006" t="s">
        <v>22</v>
      </c>
      <c r="K1006" t="s">
        <v>23</v>
      </c>
      <c r="L1006" s="3">
        <v>-993.43376000000012</v>
      </c>
      <c r="M1006" t="s">
        <v>2518</v>
      </c>
    </row>
    <row r="1007" spans="1:13" x14ac:dyDescent="0.3">
      <c r="A1007">
        <v>2005</v>
      </c>
      <c r="B1007" t="s">
        <v>1050</v>
      </c>
      <c r="C1007" t="s">
        <v>13</v>
      </c>
      <c r="D1007" t="s">
        <v>49</v>
      </c>
      <c r="E1007">
        <v>2</v>
      </c>
      <c r="F1007" s="3">
        <v>2785.0877966101693</v>
      </c>
      <c r="G1007" s="4">
        <v>0.6</v>
      </c>
      <c r="H1007" s="3">
        <v>5570.1755932203387</v>
      </c>
      <c r="I1007" s="1">
        <v>45559</v>
      </c>
      <c r="J1007" t="s">
        <v>15</v>
      </c>
      <c r="K1007" t="s">
        <v>23</v>
      </c>
      <c r="L1007" s="3">
        <v>2228.0702372881356</v>
      </c>
      <c r="M1007" t="s">
        <v>11</v>
      </c>
    </row>
    <row r="1008" spans="1:13" x14ac:dyDescent="0.3">
      <c r="A1008">
        <v>2006</v>
      </c>
      <c r="B1008" t="s">
        <v>1051</v>
      </c>
      <c r="C1008" t="s">
        <v>29</v>
      </c>
      <c r="D1008" t="s">
        <v>141</v>
      </c>
      <c r="E1008">
        <v>2</v>
      </c>
      <c r="F1008" s="3">
        <v>1283.6199999999999</v>
      </c>
      <c r="G1008" s="4">
        <v>0.6</v>
      </c>
      <c r="H1008" s="3">
        <v>2567.2399999999998</v>
      </c>
      <c r="I1008" s="1">
        <v>45782</v>
      </c>
      <c r="J1008" t="s">
        <v>18</v>
      </c>
      <c r="K1008" t="s">
        <v>16</v>
      </c>
      <c r="L1008" s="3">
        <v>1026.896</v>
      </c>
      <c r="M1008" t="s">
        <v>11</v>
      </c>
    </row>
    <row r="1009" spans="1:13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 s="3">
        <v>3413.11</v>
      </c>
      <c r="G1009" s="4">
        <v>0.9</v>
      </c>
      <c r="H1009" s="3">
        <v>10239.33</v>
      </c>
      <c r="I1009" s="1">
        <v>45782</v>
      </c>
      <c r="J1009" t="s">
        <v>56</v>
      </c>
      <c r="K1009" t="s">
        <v>23</v>
      </c>
      <c r="L1009" s="3">
        <v>1023.9329999999998</v>
      </c>
      <c r="M1009" t="s">
        <v>11</v>
      </c>
    </row>
    <row r="1010" spans="1:13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 s="3">
        <v>1284.3599999999999</v>
      </c>
      <c r="G1010" s="4">
        <v>0.6</v>
      </c>
      <c r="H1010" s="3">
        <v>3853.08</v>
      </c>
      <c r="I1010" s="1">
        <v>45782</v>
      </c>
      <c r="J1010" t="s">
        <v>18</v>
      </c>
      <c r="K1010" t="s">
        <v>16</v>
      </c>
      <c r="L1010" s="3">
        <v>1541.232</v>
      </c>
      <c r="M1010" t="s">
        <v>11</v>
      </c>
    </row>
    <row r="1011" spans="1:13" x14ac:dyDescent="0.3">
      <c r="A1011">
        <v>2009</v>
      </c>
      <c r="B1011" t="s">
        <v>1054</v>
      </c>
      <c r="C1011" t="s">
        <v>13</v>
      </c>
      <c r="D1011" t="s">
        <v>49</v>
      </c>
      <c r="E1011">
        <v>2</v>
      </c>
      <c r="F1011" s="3">
        <v>3385.59</v>
      </c>
      <c r="G1011" s="4">
        <v>0.02</v>
      </c>
      <c r="H1011" s="3">
        <v>6771.18</v>
      </c>
      <c r="I1011" s="1">
        <v>45520</v>
      </c>
      <c r="J1011" t="s">
        <v>40</v>
      </c>
      <c r="K1011" t="s">
        <v>23</v>
      </c>
      <c r="L1011" s="3">
        <v>6635.7564000000002</v>
      </c>
      <c r="M1011" t="s">
        <v>11</v>
      </c>
    </row>
    <row r="1012" spans="1:13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 s="3">
        <v>3630.24</v>
      </c>
      <c r="G1012" s="4">
        <v>0.6</v>
      </c>
      <c r="H1012" s="3">
        <v>-3630.24</v>
      </c>
      <c r="I1012" s="1">
        <v>45582</v>
      </c>
      <c r="J1012" t="s">
        <v>18</v>
      </c>
      <c r="K1012" t="s">
        <v>23</v>
      </c>
      <c r="L1012" s="3">
        <v>-1452.096</v>
      </c>
      <c r="M1012" t="s">
        <v>2518</v>
      </c>
    </row>
    <row r="1013" spans="1:13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 s="3">
        <v>3989.68</v>
      </c>
      <c r="G1013" s="4">
        <v>0.6</v>
      </c>
      <c r="H1013" s="3">
        <v>3989.68</v>
      </c>
      <c r="I1013" s="1">
        <v>45747</v>
      </c>
      <c r="J1013" t="s">
        <v>22</v>
      </c>
      <c r="K1013" t="s">
        <v>16</v>
      </c>
      <c r="L1013" s="3">
        <v>1595.8720000000001</v>
      </c>
      <c r="M1013" t="s">
        <v>11</v>
      </c>
    </row>
    <row r="1014" spans="1:13" x14ac:dyDescent="0.3">
      <c r="A1014">
        <v>2012</v>
      </c>
      <c r="B1014" t="s">
        <v>1057</v>
      </c>
      <c r="C1014" t="s">
        <v>33</v>
      </c>
      <c r="D1014" t="s">
        <v>44</v>
      </c>
      <c r="E1014">
        <v>2</v>
      </c>
      <c r="F1014" s="3">
        <v>2674.79</v>
      </c>
      <c r="G1014" s="4">
        <v>0.8</v>
      </c>
      <c r="H1014" s="3">
        <v>5349.58</v>
      </c>
      <c r="I1014" s="1">
        <v>45737</v>
      </c>
      <c r="J1014" t="s">
        <v>18</v>
      </c>
      <c r="K1014" t="s">
        <v>16</v>
      </c>
      <c r="L1014" s="3">
        <v>1069.9159999999997</v>
      </c>
      <c r="M1014" t="s">
        <v>11</v>
      </c>
    </row>
    <row r="1015" spans="1:13" x14ac:dyDescent="0.3">
      <c r="A1015">
        <v>2013</v>
      </c>
      <c r="B1015" t="s">
        <v>1058</v>
      </c>
      <c r="C1015" t="s">
        <v>25</v>
      </c>
      <c r="D1015" t="s">
        <v>54</v>
      </c>
      <c r="E1015">
        <v>2</v>
      </c>
      <c r="F1015" s="3">
        <v>2530.3836538461546</v>
      </c>
      <c r="G1015" s="4">
        <v>0.6</v>
      </c>
      <c r="H1015" s="3">
        <v>5060.7673076923093</v>
      </c>
      <c r="I1015" s="1">
        <v>45796</v>
      </c>
      <c r="J1015" t="s">
        <v>22</v>
      </c>
      <c r="K1015" t="s">
        <v>16</v>
      </c>
      <c r="L1015" s="3">
        <v>2024.3069230769238</v>
      </c>
      <c r="M1015" t="s">
        <v>11</v>
      </c>
    </row>
    <row r="1016" spans="1:13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F1016" s="3">
        <v>2700.1263043478252</v>
      </c>
      <c r="G1016" s="4">
        <v>0.6</v>
      </c>
      <c r="H1016" s="3">
        <v>5400.2526086956505</v>
      </c>
      <c r="I1016" s="1">
        <v>45782</v>
      </c>
      <c r="J1016" t="s">
        <v>15</v>
      </c>
      <c r="K1016" t="s">
        <v>23</v>
      </c>
      <c r="L1016" s="3">
        <v>2160.1010434782602</v>
      </c>
      <c r="M1016" t="s">
        <v>11</v>
      </c>
    </row>
    <row r="1017" spans="1:13" x14ac:dyDescent="0.3">
      <c r="A1017">
        <v>2015</v>
      </c>
      <c r="B1017" t="s">
        <v>1060</v>
      </c>
      <c r="C1017" t="s">
        <v>38</v>
      </c>
      <c r="D1017" t="s">
        <v>39</v>
      </c>
      <c r="E1017">
        <v>2</v>
      </c>
      <c r="F1017" s="3">
        <v>3008.3844444444444</v>
      </c>
      <c r="G1017" s="4">
        <v>0.6</v>
      </c>
      <c r="H1017" s="3">
        <v>6016.7688888888888</v>
      </c>
      <c r="I1017" s="1">
        <v>45735</v>
      </c>
      <c r="J1017" t="s">
        <v>15</v>
      </c>
      <c r="K1017" t="s">
        <v>23</v>
      </c>
      <c r="L1017" s="3">
        <v>2406.7075555555557</v>
      </c>
      <c r="M1017" t="s">
        <v>11</v>
      </c>
    </row>
    <row r="1018" spans="1:13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 s="3">
        <v>1435.85</v>
      </c>
      <c r="G1018" s="4">
        <v>0.6</v>
      </c>
      <c r="H1018" s="3">
        <v>-2871.7</v>
      </c>
      <c r="I1018" s="1">
        <v>45786</v>
      </c>
      <c r="J1018" t="s">
        <v>56</v>
      </c>
      <c r="K1018" t="s">
        <v>23</v>
      </c>
      <c r="L1018" s="3">
        <v>-1148.68</v>
      </c>
      <c r="M1018" t="s">
        <v>2518</v>
      </c>
    </row>
    <row r="1019" spans="1:13" x14ac:dyDescent="0.3">
      <c r="A1019">
        <v>2017</v>
      </c>
      <c r="B1019" t="s">
        <v>1062</v>
      </c>
      <c r="C1019" t="s">
        <v>13</v>
      </c>
      <c r="D1019" t="s">
        <v>102</v>
      </c>
      <c r="E1019">
        <v>2</v>
      </c>
      <c r="F1019" s="3">
        <v>3549.93</v>
      </c>
      <c r="G1019" s="4">
        <v>0.6</v>
      </c>
      <c r="H1019" s="3">
        <v>7099.86</v>
      </c>
      <c r="I1019" s="1">
        <v>45782</v>
      </c>
      <c r="J1019" t="s">
        <v>18</v>
      </c>
      <c r="K1019" t="s">
        <v>16</v>
      </c>
      <c r="L1019" s="3">
        <v>2839.944</v>
      </c>
      <c r="M1019" t="s">
        <v>11</v>
      </c>
    </row>
    <row r="1020" spans="1:13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F1020" s="3">
        <v>2576.3056896551716</v>
      </c>
      <c r="G1020" s="4">
        <v>0.91</v>
      </c>
      <c r="H1020" s="3">
        <v>12881.528448275858</v>
      </c>
      <c r="I1020" s="1">
        <v>45551</v>
      </c>
      <c r="J1020" t="s">
        <v>22</v>
      </c>
      <c r="K1020" t="s">
        <v>16</v>
      </c>
      <c r="L1020" s="3">
        <v>1159.3375603448269</v>
      </c>
      <c r="M1020" t="s">
        <v>11</v>
      </c>
    </row>
    <row r="1021" spans="1:13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 s="3">
        <v>1797.91</v>
      </c>
      <c r="G1021" s="4">
        <v>0.6</v>
      </c>
      <c r="H1021" s="3">
        <v>3595.82</v>
      </c>
      <c r="I1021" s="1">
        <v>45680</v>
      </c>
      <c r="J1021" t="s">
        <v>18</v>
      </c>
      <c r="K1021" t="s">
        <v>16</v>
      </c>
      <c r="L1021" s="3">
        <v>1438.3280000000002</v>
      </c>
      <c r="M1021" t="s">
        <v>11</v>
      </c>
    </row>
    <row r="1022" spans="1:13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 s="3">
        <v>3954.73</v>
      </c>
      <c r="G1022" s="4">
        <v>0.3</v>
      </c>
      <c r="H1022" s="3">
        <v>-7909.46</v>
      </c>
      <c r="I1022" s="1">
        <v>45788</v>
      </c>
      <c r="J1022" t="s">
        <v>40</v>
      </c>
      <c r="K1022" t="s">
        <v>23</v>
      </c>
      <c r="L1022" s="3">
        <v>-5536.6219999999994</v>
      </c>
      <c r="M1022" t="s">
        <v>2518</v>
      </c>
    </row>
    <row r="1023" spans="1:13" x14ac:dyDescent="0.3">
      <c r="A1023">
        <v>2021</v>
      </c>
      <c r="B1023" t="s">
        <v>1066</v>
      </c>
      <c r="C1023" t="s">
        <v>25</v>
      </c>
      <c r="D1023" t="s">
        <v>54</v>
      </c>
      <c r="E1023">
        <v>2</v>
      </c>
      <c r="F1023" s="3">
        <v>4178.18</v>
      </c>
      <c r="G1023" s="4">
        <v>1.27</v>
      </c>
      <c r="H1023" s="3">
        <v>8356.36</v>
      </c>
      <c r="I1023" s="1">
        <v>45153</v>
      </c>
      <c r="J1023" t="s">
        <v>22</v>
      </c>
      <c r="K1023" t="s">
        <v>23</v>
      </c>
      <c r="L1023" s="3">
        <v>-2256.2172000000005</v>
      </c>
      <c r="M1023" t="s">
        <v>2518</v>
      </c>
    </row>
    <row r="1024" spans="1:13" x14ac:dyDescent="0.3">
      <c r="A1024">
        <v>2022</v>
      </c>
      <c r="B1024" t="s">
        <v>1067</v>
      </c>
      <c r="C1024" t="s">
        <v>25</v>
      </c>
      <c r="D1024" t="s">
        <v>26</v>
      </c>
      <c r="E1024">
        <v>2</v>
      </c>
      <c r="F1024" s="3">
        <v>3094.77</v>
      </c>
      <c r="G1024" s="4">
        <v>0.6</v>
      </c>
      <c r="H1024" s="3">
        <v>6189.54</v>
      </c>
      <c r="I1024" s="1">
        <v>45817</v>
      </c>
      <c r="J1024" t="s">
        <v>46</v>
      </c>
      <c r="K1024" t="s">
        <v>23</v>
      </c>
      <c r="L1024" s="3">
        <v>2475.8160000000003</v>
      </c>
      <c r="M1024" t="s">
        <v>11</v>
      </c>
    </row>
    <row r="1025" spans="1:13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 s="3">
        <v>618.17999999999995</v>
      </c>
      <c r="G1025" s="4">
        <v>0.6</v>
      </c>
      <c r="H1025" s="3">
        <v>1854.54</v>
      </c>
      <c r="I1025" s="1">
        <v>45782</v>
      </c>
      <c r="J1025" t="s">
        <v>18</v>
      </c>
      <c r="K1025" t="s">
        <v>16</v>
      </c>
      <c r="L1025" s="3">
        <v>741.81600000000003</v>
      </c>
      <c r="M1025" t="s">
        <v>11</v>
      </c>
    </row>
    <row r="1026" spans="1:13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 s="3">
        <v>4220.2</v>
      </c>
      <c r="G1026" s="4">
        <v>0.6</v>
      </c>
      <c r="H1026" s="3">
        <v>16880.8</v>
      </c>
      <c r="I1026" s="1">
        <v>45274</v>
      </c>
      <c r="J1026" t="s">
        <v>15</v>
      </c>
      <c r="K1026" t="s">
        <v>16</v>
      </c>
      <c r="L1026" s="3">
        <v>6752.32</v>
      </c>
      <c r="M1026" t="s">
        <v>11</v>
      </c>
    </row>
    <row r="1027" spans="1:13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F1027" s="3">
        <v>2830.1325714285731</v>
      </c>
      <c r="G1027" s="4">
        <v>0.6</v>
      </c>
      <c r="H1027" s="3">
        <v>11320.530285714292</v>
      </c>
      <c r="I1027" s="1">
        <v>45750</v>
      </c>
      <c r="J1027" t="s">
        <v>15</v>
      </c>
      <c r="K1027" t="s">
        <v>23</v>
      </c>
      <c r="L1027" s="3">
        <v>4528.2121142857168</v>
      </c>
      <c r="M1027" t="s">
        <v>11</v>
      </c>
    </row>
    <row r="1028" spans="1:13" x14ac:dyDescent="0.3">
      <c r="A1028">
        <v>2026</v>
      </c>
      <c r="B1028" t="s">
        <v>1071</v>
      </c>
      <c r="C1028" t="s">
        <v>25</v>
      </c>
      <c r="D1028" t="s">
        <v>54</v>
      </c>
      <c r="E1028">
        <v>2</v>
      </c>
      <c r="F1028" s="3">
        <v>2530.3836538461546</v>
      </c>
      <c r="G1028" s="4">
        <v>0.6</v>
      </c>
      <c r="H1028" s="3">
        <v>5060.7673076923093</v>
      </c>
      <c r="I1028" s="1">
        <v>45812</v>
      </c>
      <c r="J1028" t="s">
        <v>18</v>
      </c>
      <c r="K1028" t="s">
        <v>23</v>
      </c>
      <c r="L1028" s="3">
        <v>2024.3069230769238</v>
      </c>
      <c r="M1028" t="s">
        <v>11</v>
      </c>
    </row>
    <row r="1029" spans="1:13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 s="3">
        <v>2734.95</v>
      </c>
      <c r="G1029" s="4">
        <v>0.17</v>
      </c>
      <c r="H1029" s="3">
        <v>13674.75</v>
      </c>
      <c r="I1029" s="1">
        <v>45661</v>
      </c>
      <c r="J1029" t="s">
        <v>22</v>
      </c>
      <c r="K1029" t="s">
        <v>16</v>
      </c>
      <c r="L1029" s="3">
        <v>11350.0425</v>
      </c>
      <c r="M1029" t="s">
        <v>11</v>
      </c>
    </row>
    <row r="1030" spans="1:13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F1030" s="3">
        <v>2700.1263043478252</v>
      </c>
      <c r="G1030" s="4">
        <v>0.6</v>
      </c>
      <c r="H1030" s="3">
        <v>5400.2526086956505</v>
      </c>
      <c r="I1030" s="1">
        <v>45549</v>
      </c>
      <c r="J1030" t="s">
        <v>40</v>
      </c>
      <c r="K1030" t="s">
        <v>23</v>
      </c>
      <c r="L1030" s="3">
        <v>2160.1010434782602</v>
      </c>
      <c r="M1030" t="s">
        <v>11</v>
      </c>
    </row>
    <row r="1031" spans="1:13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F1031" s="3">
        <v>2483.5844000000002</v>
      </c>
      <c r="G1031" s="4">
        <v>0.6</v>
      </c>
      <c r="H1031" s="3">
        <v>14901.506400000002</v>
      </c>
      <c r="I1031" s="1">
        <v>45625</v>
      </c>
      <c r="J1031" t="s">
        <v>40</v>
      </c>
      <c r="K1031" t="s">
        <v>23</v>
      </c>
      <c r="L1031" s="3">
        <v>5960.6025600000012</v>
      </c>
      <c r="M1031" t="s">
        <v>11</v>
      </c>
    </row>
    <row r="1032" spans="1:13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 s="3">
        <v>1354.69</v>
      </c>
      <c r="G1032" s="4">
        <v>0.6</v>
      </c>
      <c r="H1032" s="3">
        <v>1354.69</v>
      </c>
      <c r="I1032" s="1">
        <v>45637</v>
      </c>
      <c r="J1032" t="s">
        <v>56</v>
      </c>
      <c r="K1032" t="s">
        <v>16</v>
      </c>
      <c r="L1032" s="3">
        <v>541.87600000000009</v>
      </c>
      <c r="M1032" t="s">
        <v>11</v>
      </c>
    </row>
    <row r="1033" spans="1:13" x14ac:dyDescent="0.3">
      <c r="A1033">
        <v>2031</v>
      </c>
      <c r="B1033" t="s">
        <v>1076</v>
      </c>
      <c r="C1033" t="s">
        <v>38</v>
      </c>
      <c r="D1033" t="s">
        <v>59</v>
      </c>
      <c r="E1033">
        <v>2</v>
      </c>
      <c r="F1033" s="3">
        <v>2804.2651923076919</v>
      </c>
      <c r="G1033" s="4">
        <v>0.6</v>
      </c>
      <c r="H1033" s="3">
        <v>5608.5303846153838</v>
      </c>
      <c r="I1033" s="1">
        <v>45832</v>
      </c>
      <c r="J1033" t="s">
        <v>15</v>
      </c>
      <c r="K1033" t="s">
        <v>23</v>
      </c>
      <c r="L1033" s="3">
        <v>2243.4121538461536</v>
      </c>
      <c r="M1033" t="s">
        <v>11</v>
      </c>
    </row>
    <row r="1034" spans="1:13" x14ac:dyDescent="0.3">
      <c r="A1034">
        <v>2032</v>
      </c>
      <c r="B1034" t="s">
        <v>1077</v>
      </c>
      <c r="C1034" t="s">
        <v>29</v>
      </c>
      <c r="D1034" t="s">
        <v>42</v>
      </c>
      <c r="E1034">
        <v>2</v>
      </c>
      <c r="F1034" s="3">
        <v>4910.91</v>
      </c>
      <c r="G1034" s="4">
        <v>1.1200000000000001</v>
      </c>
      <c r="H1034" s="3">
        <v>9821.82</v>
      </c>
      <c r="I1034" s="1">
        <v>45153</v>
      </c>
      <c r="J1034" t="s">
        <v>56</v>
      </c>
      <c r="K1034" t="s">
        <v>23</v>
      </c>
      <c r="L1034" s="3">
        <v>-1178.618400000001</v>
      </c>
      <c r="M1034" t="s">
        <v>2518</v>
      </c>
    </row>
    <row r="1035" spans="1:13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F1035" s="3">
        <v>3008.3844444444444</v>
      </c>
      <c r="G1035" s="4">
        <v>0.6</v>
      </c>
      <c r="H1035" s="3">
        <v>18050.306666666667</v>
      </c>
      <c r="I1035" s="1">
        <v>45782</v>
      </c>
      <c r="J1035" t="s">
        <v>56</v>
      </c>
      <c r="K1035" t="s">
        <v>23</v>
      </c>
      <c r="L1035" s="3">
        <v>7220.1226666666671</v>
      </c>
      <c r="M1035" t="s">
        <v>11</v>
      </c>
    </row>
    <row r="1036" spans="1:13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 s="3">
        <v>3080.12</v>
      </c>
      <c r="G1036" s="4">
        <v>0.26</v>
      </c>
      <c r="H1036" s="3">
        <v>18480.72</v>
      </c>
      <c r="I1036" s="1">
        <v>45831</v>
      </c>
      <c r="J1036" t="s">
        <v>56</v>
      </c>
      <c r="K1036" t="s">
        <v>16</v>
      </c>
      <c r="L1036" s="3">
        <v>13675.732800000002</v>
      </c>
      <c r="M1036" t="s">
        <v>11</v>
      </c>
    </row>
    <row r="1037" spans="1:13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 s="3">
        <v>2516.6</v>
      </c>
      <c r="G1037" s="4">
        <v>0.6</v>
      </c>
      <c r="H1037" s="3">
        <v>0</v>
      </c>
      <c r="I1037" s="1">
        <v>45769</v>
      </c>
      <c r="J1037" t="s">
        <v>18</v>
      </c>
      <c r="K1037" t="s">
        <v>16</v>
      </c>
      <c r="L1037" s="3">
        <v>0</v>
      </c>
      <c r="M1037" t="s">
        <v>2518</v>
      </c>
    </row>
    <row r="1038" spans="1:13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F1038" s="3">
        <v>2776.2202000000002</v>
      </c>
      <c r="G1038" s="4">
        <v>0.72</v>
      </c>
      <c r="H1038" s="3">
        <v>-5552.4404000000004</v>
      </c>
      <c r="I1038" s="1">
        <v>45782</v>
      </c>
      <c r="J1038" t="s">
        <v>18</v>
      </c>
      <c r="K1038" t="s">
        <v>23</v>
      </c>
      <c r="L1038" s="3">
        <v>-1554.6833120000003</v>
      </c>
      <c r="M1038" t="s">
        <v>2518</v>
      </c>
    </row>
    <row r="1039" spans="1:13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 s="3">
        <v>1120.52</v>
      </c>
      <c r="G1039" s="4">
        <v>0.6</v>
      </c>
      <c r="H1039" s="3">
        <v>1120.52</v>
      </c>
      <c r="I1039" s="1">
        <v>45849</v>
      </c>
      <c r="J1039" t="s">
        <v>56</v>
      </c>
      <c r="K1039" t="s">
        <v>23</v>
      </c>
      <c r="L1039" s="3">
        <v>448.20800000000003</v>
      </c>
      <c r="M1039" t="s">
        <v>2518</v>
      </c>
    </row>
    <row r="1040" spans="1:13" x14ac:dyDescent="0.3">
      <c r="A1040">
        <v>2038</v>
      </c>
      <c r="B1040" t="s">
        <v>1083</v>
      </c>
      <c r="C1040" t="s">
        <v>33</v>
      </c>
      <c r="D1040" t="s">
        <v>44</v>
      </c>
      <c r="E1040">
        <v>2</v>
      </c>
      <c r="F1040" s="3">
        <v>2841.7630612244907</v>
      </c>
      <c r="G1040" s="4">
        <v>0.6</v>
      </c>
      <c r="H1040" s="3">
        <v>5683.5261224489814</v>
      </c>
      <c r="I1040" s="1">
        <v>45367</v>
      </c>
      <c r="J1040" t="s">
        <v>56</v>
      </c>
      <c r="K1040" t="s">
        <v>23</v>
      </c>
      <c r="L1040" s="3">
        <v>2273.4104489795927</v>
      </c>
      <c r="M1040" t="s">
        <v>11</v>
      </c>
    </row>
    <row r="1041" spans="1:13" x14ac:dyDescent="0.3">
      <c r="A1041">
        <v>2039</v>
      </c>
      <c r="B1041" t="s">
        <v>1084</v>
      </c>
      <c r="C1041" t="s">
        <v>20</v>
      </c>
      <c r="D1041" t="s">
        <v>21</v>
      </c>
      <c r="E1041">
        <v>2</v>
      </c>
      <c r="F1041" s="3">
        <v>1802.43</v>
      </c>
      <c r="G1041" s="4">
        <v>0.6</v>
      </c>
      <c r="H1041" s="3">
        <v>3604.86</v>
      </c>
      <c r="I1041" s="1">
        <v>45782</v>
      </c>
      <c r="J1041" t="s">
        <v>56</v>
      </c>
      <c r="K1041" t="s">
        <v>23</v>
      </c>
      <c r="L1041" s="3">
        <v>1441.9440000000002</v>
      </c>
      <c r="M1041" t="s">
        <v>11</v>
      </c>
    </row>
    <row r="1042" spans="1:13" x14ac:dyDescent="0.3">
      <c r="A1042">
        <v>2040</v>
      </c>
      <c r="B1042" t="s">
        <v>1085</v>
      </c>
      <c r="C1042" t="s">
        <v>38</v>
      </c>
      <c r="D1042" t="s">
        <v>91</v>
      </c>
      <c r="E1042">
        <v>2</v>
      </c>
      <c r="F1042" s="3">
        <v>2868.7768181818178</v>
      </c>
      <c r="G1042" s="4">
        <v>0.34</v>
      </c>
      <c r="H1042" s="3">
        <v>5737.5536363636356</v>
      </c>
      <c r="I1042" s="1">
        <v>45531</v>
      </c>
      <c r="J1042" t="s">
        <v>56</v>
      </c>
      <c r="K1042" t="s">
        <v>16</v>
      </c>
      <c r="L1042" s="3">
        <v>3786.7853999999988</v>
      </c>
      <c r="M1042" t="s">
        <v>11</v>
      </c>
    </row>
    <row r="1043" spans="1:13" x14ac:dyDescent="0.3">
      <c r="A1043">
        <v>2041</v>
      </c>
      <c r="B1043" t="s">
        <v>1086</v>
      </c>
      <c r="C1043" t="s">
        <v>38</v>
      </c>
      <c r="D1043" t="s">
        <v>91</v>
      </c>
      <c r="E1043">
        <v>2</v>
      </c>
      <c r="F1043" s="3">
        <v>854.8</v>
      </c>
      <c r="G1043" s="4">
        <v>0.6</v>
      </c>
      <c r="H1043" s="3">
        <v>1709.6</v>
      </c>
      <c r="I1043" s="1">
        <v>45619</v>
      </c>
      <c r="J1043" t="s">
        <v>15</v>
      </c>
      <c r="K1043" t="s">
        <v>16</v>
      </c>
      <c r="L1043" s="3">
        <v>683.84</v>
      </c>
      <c r="M1043" t="s">
        <v>11</v>
      </c>
    </row>
    <row r="1044" spans="1:13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F1044" s="3">
        <v>2715.5458490566025</v>
      </c>
      <c r="G1044" s="4">
        <v>0.6</v>
      </c>
      <c r="H1044" s="3">
        <v>8146.6375471698075</v>
      </c>
      <c r="I1044" s="1">
        <v>45782</v>
      </c>
      <c r="J1044" t="s">
        <v>22</v>
      </c>
      <c r="K1044" t="s">
        <v>16</v>
      </c>
      <c r="L1044" s="3">
        <v>3258.655018867923</v>
      </c>
      <c r="M1044" t="s">
        <v>11</v>
      </c>
    </row>
    <row r="1045" spans="1:13" x14ac:dyDescent="0.3">
      <c r="A1045">
        <v>2043</v>
      </c>
      <c r="B1045" t="s">
        <v>1088</v>
      </c>
      <c r="C1045" t="s">
        <v>33</v>
      </c>
      <c r="D1045" t="s">
        <v>34</v>
      </c>
      <c r="E1045">
        <v>2</v>
      </c>
      <c r="F1045" s="3">
        <v>2487.039615384615</v>
      </c>
      <c r="G1045" s="4">
        <v>0.74</v>
      </c>
      <c r="H1045" s="3">
        <v>4974.07923076923</v>
      </c>
      <c r="I1045" s="1">
        <v>45801</v>
      </c>
      <c r="J1045" t="s">
        <v>40</v>
      </c>
      <c r="K1045" t="s">
        <v>16</v>
      </c>
      <c r="L1045" s="3">
        <v>1293.2605999999998</v>
      </c>
      <c r="M1045" t="s">
        <v>11</v>
      </c>
    </row>
    <row r="1046" spans="1:13" x14ac:dyDescent="0.3">
      <c r="A1046">
        <v>2044</v>
      </c>
      <c r="B1046" t="s">
        <v>1089</v>
      </c>
      <c r="C1046" t="s">
        <v>29</v>
      </c>
      <c r="D1046" t="s">
        <v>30</v>
      </c>
      <c r="E1046">
        <v>2</v>
      </c>
      <c r="F1046" s="3">
        <v>2912.48</v>
      </c>
      <c r="G1046" s="4">
        <v>0.39</v>
      </c>
      <c r="H1046" s="3">
        <v>5824.96</v>
      </c>
      <c r="I1046" s="1">
        <v>45786</v>
      </c>
      <c r="J1046" t="s">
        <v>22</v>
      </c>
      <c r="K1046" t="s">
        <v>16</v>
      </c>
      <c r="L1046" s="3">
        <v>3553.2255999999998</v>
      </c>
      <c r="M1046" t="s">
        <v>11</v>
      </c>
    </row>
    <row r="1047" spans="1:13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 s="3">
        <v>473.68</v>
      </c>
      <c r="G1047" s="4">
        <v>0.6</v>
      </c>
      <c r="H1047" s="3">
        <v>-473.68</v>
      </c>
      <c r="I1047" s="1">
        <v>45782</v>
      </c>
      <c r="J1047" t="s">
        <v>56</v>
      </c>
      <c r="K1047" t="s">
        <v>16</v>
      </c>
      <c r="L1047" s="3">
        <v>-189.47200000000001</v>
      </c>
      <c r="M1047" t="s">
        <v>2518</v>
      </c>
    </row>
    <row r="1048" spans="1:13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F1048" s="3">
        <v>2830.1325714285731</v>
      </c>
      <c r="G1048" s="4">
        <v>0.6</v>
      </c>
      <c r="H1048" s="3">
        <v>16980.795428571437</v>
      </c>
      <c r="I1048" s="1">
        <v>45242</v>
      </c>
      <c r="J1048" t="s">
        <v>22</v>
      </c>
      <c r="K1048" t="s">
        <v>16</v>
      </c>
      <c r="L1048" s="3">
        <v>6792.3181714285747</v>
      </c>
      <c r="M1048" t="s">
        <v>11</v>
      </c>
    </row>
    <row r="1049" spans="1:13" x14ac:dyDescent="0.3">
      <c r="A1049">
        <v>2047</v>
      </c>
      <c r="B1049" t="s">
        <v>1092</v>
      </c>
      <c r="C1049" t="s">
        <v>13</v>
      </c>
      <c r="D1049" t="s">
        <v>36</v>
      </c>
      <c r="E1049">
        <v>2</v>
      </c>
      <c r="F1049" s="3">
        <v>2882.5046551724135</v>
      </c>
      <c r="G1049" s="4">
        <v>0.6</v>
      </c>
      <c r="H1049" s="3">
        <v>5765.0093103448271</v>
      </c>
      <c r="I1049" s="1">
        <v>45767</v>
      </c>
      <c r="J1049" t="s">
        <v>22</v>
      </c>
      <c r="K1049" t="s">
        <v>16</v>
      </c>
      <c r="L1049" s="3">
        <v>2306.0037241379309</v>
      </c>
      <c r="M1049" t="s">
        <v>11</v>
      </c>
    </row>
    <row r="1050" spans="1:13" x14ac:dyDescent="0.3">
      <c r="A1050">
        <v>2048</v>
      </c>
      <c r="B1050" t="s">
        <v>1093</v>
      </c>
      <c r="C1050" t="s">
        <v>25</v>
      </c>
      <c r="D1050" t="s">
        <v>66</v>
      </c>
      <c r="E1050">
        <v>2</v>
      </c>
      <c r="F1050" s="3">
        <v>1469.13</v>
      </c>
      <c r="G1050" s="4">
        <v>0.11</v>
      </c>
      <c r="H1050" s="3">
        <v>2938.26</v>
      </c>
      <c r="I1050" s="1">
        <v>45569</v>
      </c>
      <c r="J1050" t="s">
        <v>18</v>
      </c>
      <c r="K1050" t="s">
        <v>16</v>
      </c>
      <c r="L1050" s="3">
        <v>2615.0514000000003</v>
      </c>
      <c r="M1050" t="s">
        <v>11</v>
      </c>
    </row>
    <row r="1051" spans="1:13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 s="3">
        <v>2462.92</v>
      </c>
      <c r="G1051" s="4">
        <v>0.6</v>
      </c>
      <c r="H1051" s="3">
        <v>-2462.92</v>
      </c>
      <c r="I1051" s="1">
        <v>45782</v>
      </c>
      <c r="J1051" t="s">
        <v>15</v>
      </c>
      <c r="K1051" t="s">
        <v>23</v>
      </c>
      <c r="L1051" s="3">
        <v>-985.16800000000012</v>
      </c>
      <c r="M1051" t="s">
        <v>2518</v>
      </c>
    </row>
    <row r="1052" spans="1:13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 s="3">
        <v>4234.28</v>
      </c>
      <c r="G1052" s="4">
        <v>1.03</v>
      </c>
      <c r="H1052" s="3">
        <v>4234.28</v>
      </c>
      <c r="I1052" s="1">
        <v>45457</v>
      </c>
      <c r="J1052" t="s">
        <v>22</v>
      </c>
      <c r="K1052" t="s">
        <v>23</v>
      </c>
      <c r="L1052" s="3">
        <v>-127.0284000000001</v>
      </c>
      <c r="M1052" t="s">
        <v>2518</v>
      </c>
    </row>
    <row r="1053" spans="1:13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 s="3">
        <v>1234.27</v>
      </c>
      <c r="G1053" s="4">
        <v>0.6</v>
      </c>
      <c r="H1053" s="3">
        <v>2468.54</v>
      </c>
      <c r="I1053" s="1">
        <v>45716</v>
      </c>
      <c r="J1053" t="s">
        <v>46</v>
      </c>
      <c r="K1053" t="s">
        <v>23</v>
      </c>
      <c r="L1053" s="3">
        <v>987.41600000000005</v>
      </c>
      <c r="M1053" t="s">
        <v>11</v>
      </c>
    </row>
    <row r="1054" spans="1:13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 s="3">
        <v>4971.74</v>
      </c>
      <c r="G1054" s="4">
        <v>0.6</v>
      </c>
      <c r="H1054" s="3">
        <v>14915.22</v>
      </c>
      <c r="I1054" s="1">
        <v>45443</v>
      </c>
      <c r="J1054" t="s">
        <v>40</v>
      </c>
      <c r="K1054" t="s">
        <v>23</v>
      </c>
      <c r="L1054" s="3">
        <v>5966.0879999999997</v>
      </c>
      <c r="M1054" t="s">
        <v>11</v>
      </c>
    </row>
    <row r="1055" spans="1:13" x14ac:dyDescent="0.3">
      <c r="A1055">
        <v>2053</v>
      </c>
      <c r="B1055" t="s">
        <v>1098</v>
      </c>
      <c r="C1055" t="s">
        <v>29</v>
      </c>
      <c r="D1055" t="s">
        <v>30</v>
      </c>
      <c r="E1055">
        <v>2</v>
      </c>
      <c r="F1055" s="3">
        <v>2617.6390384615388</v>
      </c>
      <c r="G1055" s="4">
        <v>0.6</v>
      </c>
      <c r="H1055" s="3">
        <v>5235.2780769230776</v>
      </c>
      <c r="I1055" s="1">
        <v>45501</v>
      </c>
      <c r="J1055" t="s">
        <v>46</v>
      </c>
      <c r="K1055" t="s">
        <v>23</v>
      </c>
      <c r="L1055" s="3">
        <v>2094.111230769231</v>
      </c>
      <c r="M1055" t="s">
        <v>11</v>
      </c>
    </row>
    <row r="1056" spans="1:13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 s="3">
        <v>1254.77</v>
      </c>
      <c r="G1056" s="4">
        <v>0.62</v>
      </c>
      <c r="H1056" s="3">
        <v>1254.77</v>
      </c>
      <c r="I1056" s="1">
        <v>45782</v>
      </c>
      <c r="J1056" t="s">
        <v>56</v>
      </c>
      <c r="K1056" t="s">
        <v>23</v>
      </c>
      <c r="L1056" s="3">
        <v>476.81259999999997</v>
      </c>
      <c r="M1056" t="s">
        <v>2518</v>
      </c>
    </row>
    <row r="1057" spans="1:13" x14ac:dyDescent="0.3">
      <c r="A1057">
        <v>2055</v>
      </c>
      <c r="B1057" t="s">
        <v>1100</v>
      </c>
      <c r="C1057" t="s">
        <v>13</v>
      </c>
      <c r="D1057" t="s">
        <v>14</v>
      </c>
      <c r="E1057">
        <v>2</v>
      </c>
      <c r="F1057" s="3">
        <v>677.9</v>
      </c>
      <c r="G1057" s="4">
        <v>0.15</v>
      </c>
      <c r="H1057" s="3">
        <v>1355.8</v>
      </c>
      <c r="I1057" s="1">
        <v>45782</v>
      </c>
      <c r="J1057" t="s">
        <v>56</v>
      </c>
      <c r="K1057" t="s">
        <v>23</v>
      </c>
      <c r="L1057" s="3">
        <v>1152.4299999999998</v>
      </c>
      <c r="M1057" t="s">
        <v>11</v>
      </c>
    </row>
    <row r="1058" spans="1:13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F1058" s="3">
        <v>2845.2419672131159</v>
      </c>
      <c r="G1058" s="4">
        <v>0.7</v>
      </c>
      <c r="H1058" s="3">
        <v>0</v>
      </c>
      <c r="I1058" s="1">
        <v>45184</v>
      </c>
      <c r="J1058" t="s">
        <v>18</v>
      </c>
      <c r="K1058" t="s">
        <v>23</v>
      </c>
      <c r="L1058" s="3">
        <v>0</v>
      </c>
      <c r="M1058" t="s">
        <v>2518</v>
      </c>
    </row>
    <row r="1059" spans="1:13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F1059" s="3">
        <v>2576.3056896551716</v>
      </c>
      <c r="G1059" s="4">
        <v>0.6</v>
      </c>
      <c r="H1059" s="3">
        <v>-2576.3056896551716</v>
      </c>
      <c r="I1059" s="1">
        <v>45596</v>
      </c>
      <c r="J1059" t="s">
        <v>22</v>
      </c>
      <c r="K1059" t="s">
        <v>23</v>
      </c>
      <c r="L1059" s="3">
        <v>-1030.5222758620687</v>
      </c>
      <c r="M1059" t="s">
        <v>2518</v>
      </c>
    </row>
    <row r="1060" spans="1:13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F1060" s="3">
        <v>2715.5458490566025</v>
      </c>
      <c r="G1060" s="4">
        <v>0.6</v>
      </c>
      <c r="H1060" s="3">
        <v>16293.275094339615</v>
      </c>
      <c r="I1060" s="1">
        <v>45573</v>
      </c>
      <c r="J1060" t="s">
        <v>18</v>
      </c>
      <c r="K1060" t="s">
        <v>23</v>
      </c>
      <c r="L1060" s="3">
        <v>6517.310037735846</v>
      </c>
      <c r="M1060" t="s">
        <v>11</v>
      </c>
    </row>
    <row r="1061" spans="1:13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 s="3">
        <v>1193.03</v>
      </c>
      <c r="G1061" s="4">
        <v>0.6</v>
      </c>
      <c r="H1061" s="3">
        <v>3579.09</v>
      </c>
      <c r="I1061" s="1">
        <v>45723</v>
      </c>
      <c r="J1061" t="s">
        <v>22</v>
      </c>
      <c r="K1061" t="s">
        <v>23</v>
      </c>
      <c r="L1061" s="3">
        <v>1431.6360000000002</v>
      </c>
      <c r="M1061" t="s">
        <v>11</v>
      </c>
    </row>
    <row r="1062" spans="1:13" x14ac:dyDescent="0.3">
      <c r="A1062">
        <v>2060</v>
      </c>
      <c r="B1062" t="s">
        <v>1105</v>
      </c>
      <c r="C1062" t="s">
        <v>33</v>
      </c>
      <c r="D1062" t="s">
        <v>44</v>
      </c>
      <c r="E1062">
        <v>2</v>
      </c>
      <c r="F1062" s="3">
        <v>3725.58</v>
      </c>
      <c r="G1062" s="4">
        <v>0.6</v>
      </c>
      <c r="H1062" s="3">
        <v>7451.16</v>
      </c>
      <c r="I1062" s="1">
        <v>45581</v>
      </c>
      <c r="J1062" t="s">
        <v>46</v>
      </c>
      <c r="K1062" t="s">
        <v>23</v>
      </c>
      <c r="L1062" s="3">
        <v>2980.4639999999999</v>
      </c>
      <c r="M1062" t="s">
        <v>11</v>
      </c>
    </row>
    <row r="1063" spans="1:13" x14ac:dyDescent="0.3">
      <c r="A1063">
        <v>2061</v>
      </c>
      <c r="B1063" t="s">
        <v>1106</v>
      </c>
      <c r="C1063" t="s">
        <v>25</v>
      </c>
      <c r="D1063" t="s">
        <v>86</v>
      </c>
      <c r="E1063">
        <v>2</v>
      </c>
      <c r="F1063" s="3">
        <v>2077.8200000000002</v>
      </c>
      <c r="G1063" s="4">
        <v>0.6</v>
      </c>
      <c r="H1063" s="3">
        <v>4155.6400000000003</v>
      </c>
      <c r="I1063" s="1">
        <v>45722</v>
      </c>
      <c r="J1063" t="s">
        <v>46</v>
      </c>
      <c r="K1063" t="s">
        <v>23</v>
      </c>
      <c r="L1063" s="3">
        <v>1662.2560000000003</v>
      </c>
      <c r="M1063" t="s">
        <v>11</v>
      </c>
    </row>
    <row r="1064" spans="1:13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 s="3">
        <v>2975.64</v>
      </c>
      <c r="G1064" s="4">
        <v>0.6</v>
      </c>
      <c r="H1064" s="3">
        <v>11902.56</v>
      </c>
      <c r="I1064" s="1">
        <v>45502</v>
      </c>
      <c r="J1064" t="s">
        <v>56</v>
      </c>
      <c r="K1064" t="s">
        <v>23</v>
      </c>
      <c r="L1064" s="3">
        <v>4761.0240000000003</v>
      </c>
      <c r="M1064" t="s">
        <v>11</v>
      </c>
    </row>
    <row r="1065" spans="1:13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F1065" s="3">
        <v>2841.7630612244907</v>
      </c>
      <c r="G1065" s="4">
        <v>0.6</v>
      </c>
      <c r="H1065" s="3">
        <v>14208.815306122453</v>
      </c>
      <c r="I1065" s="1">
        <v>45587</v>
      </c>
      <c r="J1065" t="s">
        <v>46</v>
      </c>
      <c r="K1065" t="s">
        <v>23</v>
      </c>
      <c r="L1065" s="3">
        <v>5683.5261224489814</v>
      </c>
      <c r="M1065" t="s">
        <v>11</v>
      </c>
    </row>
    <row r="1066" spans="1:13" x14ac:dyDescent="0.3">
      <c r="A1066">
        <v>2064</v>
      </c>
      <c r="B1066" t="s">
        <v>1109</v>
      </c>
      <c r="C1066" t="s">
        <v>29</v>
      </c>
      <c r="D1066" t="s">
        <v>42</v>
      </c>
      <c r="E1066">
        <v>2</v>
      </c>
      <c r="F1066" s="3">
        <v>702.86</v>
      </c>
      <c r="G1066" s="4">
        <v>0.6</v>
      </c>
      <c r="H1066" s="3">
        <v>1405.72</v>
      </c>
      <c r="I1066" s="1">
        <v>45596</v>
      </c>
      <c r="J1066" t="s">
        <v>46</v>
      </c>
      <c r="K1066" t="s">
        <v>16</v>
      </c>
      <c r="L1066" s="3">
        <v>562.28800000000001</v>
      </c>
      <c r="M1066" t="s">
        <v>11</v>
      </c>
    </row>
    <row r="1067" spans="1:13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 s="3">
        <v>3590.4</v>
      </c>
      <c r="G1067" s="4">
        <v>0.6</v>
      </c>
      <c r="H1067" s="3">
        <v>14361.6</v>
      </c>
      <c r="I1067" s="1">
        <v>45526</v>
      </c>
      <c r="J1067" t="s">
        <v>40</v>
      </c>
      <c r="K1067" t="s">
        <v>23</v>
      </c>
      <c r="L1067" s="3">
        <v>5744.64</v>
      </c>
      <c r="M1067" t="s">
        <v>11</v>
      </c>
    </row>
    <row r="1068" spans="1:13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F1068" s="3">
        <v>2785.0877966101693</v>
      </c>
      <c r="G1068" s="4">
        <v>0.6</v>
      </c>
      <c r="H1068" s="3">
        <v>0</v>
      </c>
      <c r="I1068" s="1">
        <v>45782</v>
      </c>
      <c r="J1068" t="s">
        <v>22</v>
      </c>
      <c r="K1068" t="s">
        <v>16</v>
      </c>
      <c r="L1068" s="3">
        <v>0</v>
      </c>
      <c r="M1068" t="s">
        <v>2518</v>
      </c>
    </row>
    <row r="1069" spans="1:13" x14ac:dyDescent="0.3">
      <c r="A1069">
        <v>2067</v>
      </c>
      <c r="B1069" t="s">
        <v>559</v>
      </c>
      <c r="C1069" t="s">
        <v>38</v>
      </c>
      <c r="D1069" t="s">
        <v>63</v>
      </c>
      <c r="E1069">
        <v>2</v>
      </c>
      <c r="F1069" s="3">
        <v>2975.33</v>
      </c>
      <c r="G1069" s="4">
        <v>0.6</v>
      </c>
      <c r="H1069" s="3">
        <v>5950.66</v>
      </c>
      <c r="I1069" s="1">
        <v>45749</v>
      </c>
      <c r="J1069" t="s">
        <v>56</v>
      </c>
      <c r="K1069" t="s">
        <v>23</v>
      </c>
      <c r="L1069" s="3">
        <v>2380.2640000000001</v>
      </c>
      <c r="M1069" t="s">
        <v>11</v>
      </c>
    </row>
    <row r="1070" spans="1:13" x14ac:dyDescent="0.3">
      <c r="A1070">
        <v>2068</v>
      </c>
      <c r="B1070" t="s">
        <v>1112</v>
      </c>
      <c r="C1070" t="s">
        <v>25</v>
      </c>
      <c r="D1070" t="s">
        <v>66</v>
      </c>
      <c r="E1070">
        <v>2</v>
      </c>
      <c r="F1070" s="3">
        <v>2572.7764000000006</v>
      </c>
      <c r="G1070" s="4">
        <v>1</v>
      </c>
      <c r="H1070" s="3">
        <v>5145.5528000000013</v>
      </c>
      <c r="I1070" s="1">
        <v>45295</v>
      </c>
      <c r="J1070" t="s">
        <v>15</v>
      </c>
      <c r="K1070" t="s">
        <v>23</v>
      </c>
      <c r="L1070" s="3">
        <v>0</v>
      </c>
      <c r="M1070" t="s">
        <v>2518</v>
      </c>
    </row>
    <row r="1071" spans="1:13" x14ac:dyDescent="0.3">
      <c r="A1071">
        <v>2069</v>
      </c>
      <c r="B1071" t="s">
        <v>1113</v>
      </c>
      <c r="C1071" t="s">
        <v>33</v>
      </c>
      <c r="D1071" t="s">
        <v>82</v>
      </c>
      <c r="E1071">
        <v>2</v>
      </c>
      <c r="F1071" s="3">
        <v>3266.05</v>
      </c>
      <c r="G1071" s="4">
        <v>0.6</v>
      </c>
      <c r="H1071" s="3">
        <v>6532.1</v>
      </c>
      <c r="I1071" s="1">
        <v>45500</v>
      </c>
      <c r="J1071" t="s">
        <v>22</v>
      </c>
      <c r="K1071" t="s">
        <v>16</v>
      </c>
      <c r="L1071" s="3">
        <v>2612.84</v>
      </c>
      <c r="M1071" t="s">
        <v>11</v>
      </c>
    </row>
    <row r="1072" spans="1:13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F1072" s="3">
        <v>2559.6667307692314</v>
      </c>
      <c r="G1072" s="4">
        <v>0.6</v>
      </c>
      <c r="H1072" s="3">
        <v>-2559.6667307692314</v>
      </c>
      <c r="I1072" s="1">
        <v>45726</v>
      </c>
      <c r="J1072" t="s">
        <v>22</v>
      </c>
      <c r="K1072" t="s">
        <v>23</v>
      </c>
      <c r="L1072" s="3">
        <v>-1023.8666923076926</v>
      </c>
      <c r="M1072" t="s">
        <v>2518</v>
      </c>
    </row>
    <row r="1073" spans="1:13" x14ac:dyDescent="0.3">
      <c r="A1073">
        <v>2071</v>
      </c>
      <c r="B1073" t="s">
        <v>1115</v>
      </c>
      <c r="C1073" t="s">
        <v>25</v>
      </c>
      <c r="D1073" t="s">
        <v>66</v>
      </c>
      <c r="E1073">
        <v>2</v>
      </c>
      <c r="F1073" s="3">
        <v>2572.7764000000006</v>
      </c>
      <c r="G1073" s="4">
        <v>0.98</v>
      </c>
      <c r="H1073" s="3">
        <v>5145.5528000000013</v>
      </c>
      <c r="I1073" s="1">
        <v>45834</v>
      </c>
      <c r="J1073" t="s">
        <v>22</v>
      </c>
      <c r="K1073" t="s">
        <v>16</v>
      </c>
      <c r="L1073" s="3">
        <v>102.91105600000012</v>
      </c>
      <c r="M1073" t="s">
        <v>2518</v>
      </c>
    </row>
    <row r="1074" spans="1:13" x14ac:dyDescent="0.3">
      <c r="A1074">
        <v>2072</v>
      </c>
      <c r="B1074" t="s">
        <v>1116</v>
      </c>
      <c r="C1074" t="s">
        <v>38</v>
      </c>
      <c r="D1074" t="s">
        <v>39</v>
      </c>
      <c r="E1074">
        <v>2</v>
      </c>
      <c r="F1074" s="3">
        <v>3008.3844444444444</v>
      </c>
      <c r="G1074" s="4">
        <v>0.6</v>
      </c>
      <c r="H1074" s="3">
        <v>6016.7688888888888</v>
      </c>
      <c r="I1074" s="1">
        <v>45778</v>
      </c>
      <c r="J1074" t="s">
        <v>56</v>
      </c>
      <c r="K1074" t="s">
        <v>23</v>
      </c>
      <c r="L1074" s="3">
        <v>2406.7075555555557</v>
      </c>
      <c r="M1074" t="s">
        <v>11</v>
      </c>
    </row>
    <row r="1075" spans="1:13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 s="3">
        <v>1596.02</v>
      </c>
      <c r="G1075" s="4">
        <v>0.6</v>
      </c>
      <c r="H1075" s="3">
        <v>4788.0599999999995</v>
      </c>
      <c r="I1075" s="1">
        <v>45782</v>
      </c>
      <c r="J1075" t="s">
        <v>18</v>
      </c>
      <c r="K1075" t="s">
        <v>16</v>
      </c>
      <c r="L1075" s="3">
        <v>1915.2239999999999</v>
      </c>
      <c r="M1075" t="s">
        <v>11</v>
      </c>
    </row>
    <row r="1076" spans="1:13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F1076" s="3">
        <v>2462.79</v>
      </c>
      <c r="G1076" s="4">
        <v>0.6</v>
      </c>
      <c r="H1076" s="3">
        <v>9851.16</v>
      </c>
      <c r="I1076" s="1">
        <v>45573</v>
      </c>
      <c r="J1076" t="s">
        <v>40</v>
      </c>
      <c r="K1076" t="s">
        <v>16</v>
      </c>
      <c r="L1076" s="3">
        <v>3940.4639999999999</v>
      </c>
      <c r="M1076" t="s">
        <v>11</v>
      </c>
    </row>
    <row r="1077" spans="1:13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F1077" s="3">
        <v>2681.1743636363635</v>
      </c>
      <c r="G1077" s="4">
        <v>0.6</v>
      </c>
      <c r="H1077" s="3">
        <v>0</v>
      </c>
      <c r="I1077" s="1">
        <v>45782</v>
      </c>
      <c r="J1077" t="s">
        <v>40</v>
      </c>
      <c r="K1077" t="s">
        <v>23</v>
      </c>
      <c r="L1077" s="3">
        <v>0</v>
      </c>
      <c r="M1077" t="s">
        <v>2518</v>
      </c>
    </row>
    <row r="1078" spans="1:13" x14ac:dyDescent="0.3">
      <c r="A1078">
        <v>2076</v>
      </c>
      <c r="B1078" t="s">
        <v>1120</v>
      </c>
      <c r="C1078" t="s">
        <v>25</v>
      </c>
      <c r="D1078" t="s">
        <v>54</v>
      </c>
      <c r="E1078">
        <v>2</v>
      </c>
      <c r="F1078" s="3">
        <v>1151.07</v>
      </c>
      <c r="G1078" s="4">
        <v>0.6</v>
      </c>
      <c r="H1078" s="3">
        <v>2302.14</v>
      </c>
      <c r="I1078" s="1">
        <v>45798</v>
      </c>
      <c r="J1078" t="s">
        <v>40</v>
      </c>
      <c r="K1078" t="s">
        <v>23</v>
      </c>
      <c r="L1078" s="3">
        <v>920.85599999999999</v>
      </c>
      <c r="M1078" t="s">
        <v>11</v>
      </c>
    </row>
    <row r="1079" spans="1:13" x14ac:dyDescent="0.3">
      <c r="A1079">
        <v>2077</v>
      </c>
      <c r="B1079" t="s">
        <v>1121</v>
      </c>
      <c r="C1079" t="s">
        <v>33</v>
      </c>
      <c r="D1079" t="s">
        <v>44</v>
      </c>
      <c r="E1079">
        <v>2</v>
      </c>
      <c r="F1079" s="3">
        <v>2841.7630612244907</v>
      </c>
      <c r="G1079" s="4">
        <v>0.6</v>
      </c>
      <c r="H1079" s="3">
        <v>5683.5261224489814</v>
      </c>
      <c r="I1079" s="1">
        <v>45782</v>
      </c>
      <c r="J1079" t="s">
        <v>46</v>
      </c>
      <c r="K1079" t="s">
        <v>16</v>
      </c>
      <c r="L1079" s="3">
        <v>2273.4104489795927</v>
      </c>
      <c r="M1079" t="s">
        <v>11</v>
      </c>
    </row>
    <row r="1080" spans="1:13" x14ac:dyDescent="0.3">
      <c r="A1080">
        <v>2078</v>
      </c>
      <c r="B1080" t="s">
        <v>1122</v>
      </c>
      <c r="C1080" t="s">
        <v>33</v>
      </c>
      <c r="D1080" t="s">
        <v>72</v>
      </c>
      <c r="E1080">
        <v>2</v>
      </c>
      <c r="F1080" s="3">
        <v>1760.85</v>
      </c>
      <c r="G1080" s="4">
        <v>0.6</v>
      </c>
      <c r="H1080" s="3">
        <v>3521.7</v>
      </c>
      <c r="I1080" s="1">
        <v>45808</v>
      </c>
      <c r="J1080" t="s">
        <v>46</v>
      </c>
      <c r="K1080" t="s">
        <v>23</v>
      </c>
      <c r="L1080" s="3">
        <v>1408.68</v>
      </c>
      <c r="M1080" t="s">
        <v>11</v>
      </c>
    </row>
    <row r="1081" spans="1:13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 s="3">
        <v>2778.14</v>
      </c>
      <c r="G1081" s="4">
        <v>1.21</v>
      </c>
      <c r="H1081" s="3">
        <v>5556.28</v>
      </c>
      <c r="I1081" s="1">
        <v>45782</v>
      </c>
      <c r="J1081" t="s">
        <v>18</v>
      </c>
      <c r="K1081" t="s">
        <v>23</v>
      </c>
      <c r="L1081" s="3">
        <v>-1166.8187999999998</v>
      </c>
      <c r="M1081" t="s">
        <v>2518</v>
      </c>
    </row>
    <row r="1082" spans="1:13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 s="3">
        <v>4672.3500000000004</v>
      </c>
      <c r="G1082" s="4">
        <v>0.6</v>
      </c>
      <c r="H1082" s="3">
        <v>14017.050000000001</v>
      </c>
      <c r="I1082" s="1">
        <v>45782</v>
      </c>
      <c r="J1082" t="s">
        <v>15</v>
      </c>
      <c r="K1082" t="s">
        <v>23</v>
      </c>
      <c r="L1082" s="3">
        <v>5606.8200000000006</v>
      </c>
      <c r="M1082" t="s">
        <v>11</v>
      </c>
    </row>
    <row r="1083" spans="1:13" x14ac:dyDescent="0.3">
      <c r="A1083">
        <v>2081</v>
      </c>
      <c r="B1083" t="s">
        <v>1125</v>
      </c>
      <c r="C1083" t="s">
        <v>33</v>
      </c>
      <c r="D1083" t="s">
        <v>34</v>
      </c>
      <c r="E1083">
        <v>2</v>
      </c>
      <c r="F1083" s="3">
        <v>2809.88</v>
      </c>
      <c r="G1083" s="4">
        <v>0.6</v>
      </c>
      <c r="H1083" s="3">
        <v>5619.76</v>
      </c>
      <c r="I1083" s="1">
        <v>45850</v>
      </c>
      <c r="J1083" t="s">
        <v>18</v>
      </c>
      <c r="K1083" t="s">
        <v>23</v>
      </c>
      <c r="L1083" s="3">
        <v>2247.904</v>
      </c>
      <c r="M1083" t="s">
        <v>11</v>
      </c>
    </row>
    <row r="1084" spans="1:13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F1084" s="3">
        <v>2700.1263043478252</v>
      </c>
      <c r="G1084" s="4">
        <v>1.1499999999999999</v>
      </c>
      <c r="H1084" s="3">
        <v>13500.631521739126</v>
      </c>
      <c r="I1084" s="1">
        <v>45411</v>
      </c>
      <c r="J1084" t="s">
        <v>22</v>
      </c>
      <c r="K1084" t="s">
        <v>23</v>
      </c>
      <c r="L1084" s="3">
        <v>-2025.0947282608677</v>
      </c>
      <c r="M1084" t="s">
        <v>2518</v>
      </c>
    </row>
    <row r="1085" spans="1:13" x14ac:dyDescent="0.3">
      <c r="A1085">
        <v>2083</v>
      </c>
      <c r="B1085" t="s">
        <v>1127</v>
      </c>
      <c r="C1085" t="s">
        <v>25</v>
      </c>
      <c r="D1085" t="s">
        <v>66</v>
      </c>
      <c r="E1085">
        <v>2</v>
      </c>
      <c r="F1085" s="3">
        <v>2105.7399999999998</v>
      </c>
      <c r="G1085" s="4">
        <v>0.34</v>
      </c>
      <c r="H1085" s="3">
        <v>4211.4799999999996</v>
      </c>
      <c r="I1085" s="1">
        <v>45710</v>
      </c>
      <c r="J1085" t="s">
        <v>15</v>
      </c>
      <c r="K1085" t="s">
        <v>16</v>
      </c>
      <c r="L1085" s="3">
        <v>2779.5767999999994</v>
      </c>
      <c r="M1085" t="s">
        <v>11</v>
      </c>
    </row>
    <row r="1086" spans="1:13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 s="3">
        <v>4068.82</v>
      </c>
      <c r="G1086" s="4">
        <v>0.6</v>
      </c>
      <c r="H1086" s="3">
        <v>24412.920000000002</v>
      </c>
      <c r="I1086" s="1">
        <v>45750</v>
      </c>
      <c r="J1086" t="s">
        <v>18</v>
      </c>
      <c r="K1086" t="s">
        <v>23</v>
      </c>
      <c r="L1086" s="3">
        <v>9765.1680000000015</v>
      </c>
      <c r="M1086" t="s">
        <v>11</v>
      </c>
    </row>
    <row r="1087" spans="1:13" x14ac:dyDescent="0.3">
      <c r="A1087">
        <v>2085</v>
      </c>
      <c r="B1087" t="s">
        <v>1129</v>
      </c>
      <c r="C1087" t="s">
        <v>20</v>
      </c>
      <c r="D1087" t="s">
        <v>88</v>
      </c>
      <c r="E1087">
        <v>2</v>
      </c>
      <c r="F1087" s="3">
        <v>2725.8557142857148</v>
      </c>
      <c r="G1087" s="4">
        <v>0.6</v>
      </c>
      <c r="H1087" s="3">
        <v>5451.7114285714297</v>
      </c>
      <c r="I1087" s="1">
        <v>45554</v>
      </c>
      <c r="J1087" t="s">
        <v>56</v>
      </c>
      <c r="K1087" t="s">
        <v>23</v>
      </c>
      <c r="L1087" s="3">
        <v>2180.6845714285719</v>
      </c>
      <c r="M1087" t="s">
        <v>11</v>
      </c>
    </row>
    <row r="1088" spans="1:13" x14ac:dyDescent="0.3">
      <c r="A1088">
        <v>1015</v>
      </c>
      <c r="B1088" t="s">
        <v>1130</v>
      </c>
      <c r="C1088" t="s">
        <v>33</v>
      </c>
      <c r="D1088" t="s">
        <v>72</v>
      </c>
      <c r="E1088">
        <v>2</v>
      </c>
      <c r="F1088" s="3">
        <v>2715.5458490566025</v>
      </c>
      <c r="G1088" s="4">
        <v>0.6</v>
      </c>
      <c r="H1088" s="3">
        <v>5431.091698113205</v>
      </c>
      <c r="I1088" s="1">
        <v>45782</v>
      </c>
      <c r="J1088" t="s">
        <v>46</v>
      </c>
      <c r="K1088" t="s">
        <v>16</v>
      </c>
      <c r="L1088" s="3">
        <v>2172.436679245282</v>
      </c>
      <c r="M1088" t="s">
        <v>11</v>
      </c>
    </row>
    <row r="1089" spans="1:13" x14ac:dyDescent="0.3">
      <c r="A1089">
        <v>2087</v>
      </c>
      <c r="B1089" t="s">
        <v>1131</v>
      </c>
      <c r="C1089" t="s">
        <v>38</v>
      </c>
      <c r="D1089" t="s">
        <v>63</v>
      </c>
      <c r="E1089">
        <v>2</v>
      </c>
      <c r="F1089" s="3">
        <v>2610.84</v>
      </c>
      <c r="G1089" s="4">
        <v>0.6</v>
      </c>
      <c r="H1089" s="3">
        <v>5221.68</v>
      </c>
      <c r="I1089" s="1">
        <v>45501</v>
      </c>
      <c r="J1089" t="s">
        <v>40</v>
      </c>
      <c r="K1089" t="s">
        <v>16</v>
      </c>
      <c r="L1089" s="3">
        <v>2088.672</v>
      </c>
      <c r="M1089" t="s">
        <v>11</v>
      </c>
    </row>
    <row r="1090" spans="1:13" x14ac:dyDescent="0.3">
      <c r="A1090">
        <v>2088</v>
      </c>
      <c r="B1090" t="s">
        <v>1132</v>
      </c>
      <c r="C1090" t="s">
        <v>25</v>
      </c>
      <c r="D1090" t="s">
        <v>54</v>
      </c>
      <c r="E1090">
        <v>2</v>
      </c>
      <c r="F1090" s="3">
        <v>2530.3836538461546</v>
      </c>
      <c r="G1090" s="4">
        <v>0.6</v>
      </c>
      <c r="H1090" s="3">
        <v>5060.7673076923093</v>
      </c>
      <c r="I1090" s="1">
        <v>45670</v>
      </c>
      <c r="J1090" t="s">
        <v>22</v>
      </c>
      <c r="K1090" t="s">
        <v>16</v>
      </c>
      <c r="L1090" s="3">
        <v>2024.3069230769238</v>
      </c>
      <c r="M1090" t="s">
        <v>11</v>
      </c>
    </row>
    <row r="1091" spans="1:13" x14ac:dyDescent="0.3">
      <c r="A1091">
        <v>2089</v>
      </c>
      <c r="B1091" t="s">
        <v>1133</v>
      </c>
      <c r="C1091" t="s">
        <v>29</v>
      </c>
      <c r="D1091" t="s">
        <v>141</v>
      </c>
      <c r="E1091">
        <v>2</v>
      </c>
      <c r="F1091" s="3">
        <v>1571.58</v>
      </c>
      <c r="G1091" s="4">
        <v>1.17</v>
      </c>
      <c r="H1091" s="3">
        <v>3143.16</v>
      </c>
      <c r="I1091" s="1">
        <v>45192</v>
      </c>
      <c r="J1091" t="s">
        <v>56</v>
      </c>
      <c r="K1091" t="s">
        <v>23</v>
      </c>
      <c r="L1091" s="3">
        <v>-534.33719999999971</v>
      </c>
      <c r="M1091" t="s">
        <v>2518</v>
      </c>
    </row>
    <row r="1092" spans="1:13" x14ac:dyDescent="0.3">
      <c r="A1092">
        <v>2090</v>
      </c>
      <c r="B1092" t="s">
        <v>1134</v>
      </c>
      <c r="C1092" t="s">
        <v>29</v>
      </c>
      <c r="D1092" t="s">
        <v>141</v>
      </c>
      <c r="E1092">
        <v>2</v>
      </c>
      <c r="F1092" s="3">
        <v>940.71</v>
      </c>
      <c r="G1092" s="4">
        <v>0.6</v>
      </c>
      <c r="H1092" s="3">
        <v>1881.42</v>
      </c>
      <c r="I1092" s="1">
        <v>45736</v>
      </c>
      <c r="J1092" t="s">
        <v>15</v>
      </c>
      <c r="K1092" t="s">
        <v>23</v>
      </c>
      <c r="L1092" s="3">
        <v>752.5680000000001</v>
      </c>
      <c r="M1092" t="s">
        <v>11</v>
      </c>
    </row>
    <row r="1093" spans="1:13" x14ac:dyDescent="0.3">
      <c r="A1093">
        <v>2091</v>
      </c>
      <c r="B1093" t="s">
        <v>1135</v>
      </c>
      <c r="C1093" t="s">
        <v>38</v>
      </c>
      <c r="D1093" t="s">
        <v>39</v>
      </c>
      <c r="E1093">
        <v>2</v>
      </c>
      <c r="F1093" s="3">
        <v>1323.61</v>
      </c>
      <c r="G1093" s="4">
        <v>0.6</v>
      </c>
      <c r="H1093" s="3">
        <v>2647.22</v>
      </c>
      <c r="I1093" s="1">
        <v>45781</v>
      </c>
      <c r="J1093" t="s">
        <v>15</v>
      </c>
      <c r="K1093" t="s">
        <v>16</v>
      </c>
      <c r="L1093" s="3">
        <v>1058.8879999999999</v>
      </c>
      <c r="M1093" t="s">
        <v>11</v>
      </c>
    </row>
    <row r="1094" spans="1:13" x14ac:dyDescent="0.3">
      <c r="A1094">
        <v>2092</v>
      </c>
      <c r="B1094" t="s">
        <v>1136</v>
      </c>
      <c r="C1094" t="s">
        <v>25</v>
      </c>
      <c r="D1094" t="s">
        <v>86</v>
      </c>
      <c r="E1094">
        <v>2</v>
      </c>
      <c r="F1094" s="3">
        <v>4459.2</v>
      </c>
      <c r="G1094" s="4">
        <v>0.6</v>
      </c>
      <c r="H1094" s="3">
        <v>8918.4</v>
      </c>
      <c r="I1094" s="1">
        <v>45739</v>
      </c>
      <c r="J1094" t="s">
        <v>15</v>
      </c>
      <c r="K1094" t="s">
        <v>23</v>
      </c>
      <c r="L1094" s="3">
        <v>3567.36</v>
      </c>
      <c r="M1094" t="s">
        <v>11</v>
      </c>
    </row>
    <row r="1095" spans="1:13" x14ac:dyDescent="0.3">
      <c r="A1095">
        <v>2093</v>
      </c>
      <c r="B1095" t="s">
        <v>1137</v>
      </c>
      <c r="C1095" t="s">
        <v>33</v>
      </c>
      <c r="D1095" t="s">
        <v>72</v>
      </c>
      <c r="E1095">
        <v>2</v>
      </c>
      <c r="F1095" s="3">
        <v>3163.95</v>
      </c>
      <c r="G1095" s="4">
        <v>0.6</v>
      </c>
      <c r="H1095" s="3">
        <v>6327.9</v>
      </c>
      <c r="I1095" s="1">
        <v>45677</v>
      </c>
      <c r="J1095" t="s">
        <v>22</v>
      </c>
      <c r="K1095" t="s">
        <v>23</v>
      </c>
      <c r="L1095" s="3">
        <v>2531.16</v>
      </c>
      <c r="M1095" t="s">
        <v>11</v>
      </c>
    </row>
    <row r="1096" spans="1:13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F1096" s="3">
        <v>2868.7768181818178</v>
      </c>
      <c r="G1096" s="4">
        <v>0.6</v>
      </c>
      <c r="H1096" s="3">
        <v>14343.884090909089</v>
      </c>
      <c r="I1096" s="1">
        <v>45782</v>
      </c>
      <c r="J1096" t="s">
        <v>22</v>
      </c>
      <c r="K1096" t="s">
        <v>16</v>
      </c>
      <c r="L1096" s="3">
        <v>5737.5536363636356</v>
      </c>
      <c r="M1096" t="s">
        <v>11</v>
      </c>
    </row>
    <row r="1097" spans="1:13" x14ac:dyDescent="0.3">
      <c r="A1097">
        <v>2095</v>
      </c>
      <c r="B1097" t="s">
        <v>1139</v>
      </c>
      <c r="C1097" t="s">
        <v>33</v>
      </c>
      <c r="D1097" t="s">
        <v>72</v>
      </c>
      <c r="E1097">
        <v>2</v>
      </c>
      <c r="F1097" s="3">
        <v>3809.95</v>
      </c>
      <c r="G1097" s="4">
        <v>1.29</v>
      </c>
      <c r="H1097" s="3">
        <v>7619.9</v>
      </c>
      <c r="I1097" s="1">
        <v>45572</v>
      </c>
      <c r="J1097" t="s">
        <v>40</v>
      </c>
      <c r="K1097" t="s">
        <v>23</v>
      </c>
      <c r="L1097" s="3">
        <v>-2209.7710000000002</v>
      </c>
      <c r="M1097" t="s">
        <v>2518</v>
      </c>
    </row>
    <row r="1098" spans="1:13" x14ac:dyDescent="0.3">
      <c r="A1098">
        <v>2096</v>
      </c>
      <c r="B1098" t="s">
        <v>1140</v>
      </c>
      <c r="C1098" t="s">
        <v>13</v>
      </c>
      <c r="D1098" t="s">
        <v>102</v>
      </c>
      <c r="E1098">
        <v>2</v>
      </c>
      <c r="F1098" s="3">
        <v>3906.15</v>
      </c>
      <c r="G1098" s="4">
        <v>1.19</v>
      </c>
      <c r="H1098" s="3">
        <v>7812.3</v>
      </c>
      <c r="I1098" s="1">
        <v>45782</v>
      </c>
      <c r="J1098" t="s">
        <v>40</v>
      </c>
      <c r="K1098" t="s">
        <v>23</v>
      </c>
      <c r="L1098" s="3">
        <v>-1484.3369999999995</v>
      </c>
      <c r="M1098" t="s">
        <v>2518</v>
      </c>
    </row>
    <row r="1099" spans="1:13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F1099" s="3">
        <v>2715.5458490566025</v>
      </c>
      <c r="G1099" s="4">
        <v>0.64</v>
      </c>
      <c r="H1099" s="3">
        <v>8146.6375471698075</v>
      </c>
      <c r="I1099" s="1">
        <v>45756</v>
      </c>
      <c r="J1099" t="s">
        <v>22</v>
      </c>
      <c r="K1099" t="s">
        <v>16</v>
      </c>
      <c r="L1099" s="3">
        <v>2932.7895169811304</v>
      </c>
      <c r="M1099" t="s">
        <v>11</v>
      </c>
    </row>
    <row r="1100" spans="1:13" x14ac:dyDescent="0.3">
      <c r="A1100">
        <v>2098</v>
      </c>
      <c r="B1100" t="s">
        <v>1142</v>
      </c>
      <c r="C1100" t="s">
        <v>20</v>
      </c>
      <c r="D1100" t="s">
        <v>80</v>
      </c>
      <c r="E1100">
        <v>2</v>
      </c>
      <c r="F1100" s="3">
        <v>431.18</v>
      </c>
      <c r="G1100" s="4">
        <v>0.6</v>
      </c>
      <c r="H1100" s="3">
        <v>862.36</v>
      </c>
      <c r="I1100" s="1">
        <v>45708</v>
      </c>
      <c r="J1100" t="s">
        <v>46</v>
      </c>
      <c r="K1100" t="s">
        <v>23</v>
      </c>
      <c r="L1100" s="3">
        <v>344.94400000000002</v>
      </c>
      <c r="M1100" t="s">
        <v>2518</v>
      </c>
    </row>
    <row r="1101" spans="1:13" x14ac:dyDescent="0.3">
      <c r="A1101">
        <v>2099</v>
      </c>
      <c r="B1101" t="s">
        <v>1143</v>
      </c>
      <c r="C1101" t="s">
        <v>33</v>
      </c>
      <c r="D1101" t="s">
        <v>34</v>
      </c>
      <c r="E1101">
        <v>2</v>
      </c>
      <c r="F1101" s="3">
        <v>1806.81</v>
      </c>
      <c r="G1101" s="4">
        <v>1.1000000000000001</v>
      </c>
      <c r="H1101" s="3">
        <v>3613.62</v>
      </c>
      <c r="I1101" s="1">
        <v>45581</v>
      </c>
      <c r="J1101" t="s">
        <v>18</v>
      </c>
      <c r="K1101" t="s">
        <v>23</v>
      </c>
      <c r="L1101" s="3">
        <v>-361.36200000000031</v>
      </c>
      <c r="M1101" t="s">
        <v>2518</v>
      </c>
    </row>
    <row r="1102" spans="1:13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 s="3">
        <v>1528.94</v>
      </c>
      <c r="G1102" s="4">
        <v>0.67</v>
      </c>
      <c r="H1102" s="3">
        <v>-1528.94</v>
      </c>
      <c r="I1102" s="1">
        <v>45683</v>
      </c>
      <c r="J1102" t="s">
        <v>15</v>
      </c>
      <c r="K1102" t="s">
        <v>23</v>
      </c>
      <c r="L1102" s="3">
        <v>-504.55019999999996</v>
      </c>
      <c r="M1102" t="s">
        <v>2518</v>
      </c>
    </row>
    <row r="1103" spans="1:13" x14ac:dyDescent="0.3">
      <c r="A1103">
        <v>2101</v>
      </c>
      <c r="B1103" t="s">
        <v>1145</v>
      </c>
      <c r="C1103" t="s">
        <v>13</v>
      </c>
      <c r="D1103" t="s">
        <v>36</v>
      </c>
      <c r="E1103">
        <v>2</v>
      </c>
      <c r="F1103" s="3">
        <v>1020.85</v>
      </c>
      <c r="G1103" s="4">
        <v>0.6</v>
      </c>
      <c r="H1103" s="3">
        <v>2041.7</v>
      </c>
      <c r="I1103" s="1">
        <v>45465</v>
      </c>
      <c r="J1103" t="s">
        <v>18</v>
      </c>
      <c r="K1103" t="s">
        <v>23</v>
      </c>
      <c r="L1103" s="3">
        <v>816.68000000000006</v>
      </c>
      <c r="M1103" t="s">
        <v>11</v>
      </c>
    </row>
    <row r="1104" spans="1:13" x14ac:dyDescent="0.3">
      <c r="A1104">
        <v>2102</v>
      </c>
      <c r="B1104" t="s">
        <v>1146</v>
      </c>
      <c r="C1104" t="s">
        <v>38</v>
      </c>
      <c r="D1104" t="s">
        <v>59</v>
      </c>
      <c r="E1104">
        <v>2</v>
      </c>
      <c r="F1104" s="3">
        <v>2581.29</v>
      </c>
      <c r="G1104" s="4">
        <v>0.6</v>
      </c>
      <c r="H1104" s="3">
        <v>5162.58</v>
      </c>
      <c r="I1104" s="1">
        <v>45617</v>
      </c>
      <c r="J1104" t="s">
        <v>56</v>
      </c>
      <c r="K1104" t="s">
        <v>23</v>
      </c>
      <c r="L1104" s="3">
        <v>2065.0320000000002</v>
      </c>
      <c r="M1104" t="s">
        <v>11</v>
      </c>
    </row>
    <row r="1105" spans="1:13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F1105" s="3">
        <v>2381.2677586206896</v>
      </c>
      <c r="G1105" s="4">
        <v>0.56000000000000005</v>
      </c>
      <c r="H1105" s="3">
        <v>7143.8032758620684</v>
      </c>
      <c r="I1105" s="1">
        <v>45782</v>
      </c>
      <c r="J1105" t="s">
        <v>18</v>
      </c>
      <c r="K1105" t="s">
        <v>23</v>
      </c>
      <c r="L1105" s="3">
        <v>3143.2734413793096</v>
      </c>
      <c r="M1105" t="s">
        <v>11</v>
      </c>
    </row>
    <row r="1106" spans="1:13" x14ac:dyDescent="0.3">
      <c r="A1106">
        <v>2104</v>
      </c>
      <c r="B1106" t="s">
        <v>1148</v>
      </c>
      <c r="C1106" t="s">
        <v>33</v>
      </c>
      <c r="D1106" t="s">
        <v>82</v>
      </c>
      <c r="E1106">
        <v>2</v>
      </c>
      <c r="F1106" s="3">
        <v>2211.06</v>
      </c>
      <c r="G1106" s="4">
        <v>0.26</v>
      </c>
      <c r="H1106" s="3">
        <v>4422.12</v>
      </c>
      <c r="I1106" s="1">
        <v>45837</v>
      </c>
      <c r="J1106" t="s">
        <v>56</v>
      </c>
      <c r="K1106" t="s">
        <v>23</v>
      </c>
      <c r="L1106" s="3">
        <v>3272.3687999999997</v>
      </c>
      <c r="M1106" t="s">
        <v>11</v>
      </c>
    </row>
    <row r="1107" spans="1:13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 s="3">
        <v>3643.63</v>
      </c>
      <c r="G1107" s="4">
        <v>0.19</v>
      </c>
      <c r="H1107" s="3">
        <v>-3643.63</v>
      </c>
      <c r="I1107" s="1">
        <v>45754</v>
      </c>
      <c r="J1107" t="s">
        <v>22</v>
      </c>
      <c r="K1107" t="s">
        <v>16</v>
      </c>
      <c r="L1107" s="3">
        <v>-2951.3403000000003</v>
      </c>
      <c r="M1107" t="s">
        <v>2518</v>
      </c>
    </row>
    <row r="1108" spans="1:13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 s="3">
        <v>4312.21</v>
      </c>
      <c r="G1108" s="4">
        <v>0.6</v>
      </c>
      <c r="H1108" s="3">
        <v>17248.84</v>
      </c>
      <c r="I1108" s="1">
        <v>45404</v>
      </c>
      <c r="J1108" t="s">
        <v>15</v>
      </c>
      <c r="K1108" t="s">
        <v>16</v>
      </c>
      <c r="L1108" s="3">
        <v>6899.5360000000001</v>
      </c>
      <c r="M1108" t="s">
        <v>11</v>
      </c>
    </row>
    <row r="1109" spans="1:13" x14ac:dyDescent="0.3">
      <c r="A1109">
        <v>2107</v>
      </c>
      <c r="B1109" t="s">
        <v>1151</v>
      </c>
      <c r="C1109" t="s">
        <v>38</v>
      </c>
      <c r="D1109" t="s">
        <v>63</v>
      </c>
      <c r="E1109">
        <v>2</v>
      </c>
      <c r="F1109" s="3">
        <v>2686.05</v>
      </c>
      <c r="G1109" s="4">
        <v>0.6</v>
      </c>
      <c r="H1109" s="3">
        <v>5372.1</v>
      </c>
      <c r="I1109" s="1">
        <v>45661</v>
      </c>
      <c r="J1109" t="s">
        <v>56</v>
      </c>
      <c r="K1109" t="s">
        <v>16</v>
      </c>
      <c r="L1109" s="3">
        <v>2148.84</v>
      </c>
      <c r="M1109" t="s">
        <v>11</v>
      </c>
    </row>
    <row r="1110" spans="1:13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 s="3">
        <v>2538.3000000000002</v>
      </c>
      <c r="G1110" s="4">
        <v>0.6</v>
      </c>
      <c r="H1110" s="3">
        <v>0</v>
      </c>
      <c r="I1110" s="1">
        <v>45795</v>
      </c>
      <c r="J1110" t="s">
        <v>22</v>
      </c>
      <c r="K1110" t="s">
        <v>23</v>
      </c>
      <c r="L1110" s="3">
        <v>0</v>
      </c>
      <c r="M1110" t="s">
        <v>2518</v>
      </c>
    </row>
    <row r="1111" spans="1:13" x14ac:dyDescent="0.3">
      <c r="A1111">
        <v>2109</v>
      </c>
      <c r="B1111" t="s">
        <v>1153</v>
      </c>
      <c r="C1111" t="s">
        <v>13</v>
      </c>
      <c r="D1111" t="s">
        <v>36</v>
      </c>
      <c r="E1111">
        <v>2</v>
      </c>
      <c r="F1111" s="3">
        <v>1901.86</v>
      </c>
      <c r="G1111" s="4">
        <v>0.6</v>
      </c>
      <c r="H1111" s="3">
        <v>3803.72</v>
      </c>
      <c r="I1111" s="1">
        <v>45782</v>
      </c>
      <c r="J1111" t="s">
        <v>46</v>
      </c>
      <c r="K1111" t="s">
        <v>16</v>
      </c>
      <c r="L1111" s="3">
        <v>1521.4880000000001</v>
      </c>
      <c r="M1111" t="s">
        <v>11</v>
      </c>
    </row>
    <row r="1112" spans="1:13" x14ac:dyDescent="0.3">
      <c r="A1112">
        <v>2110</v>
      </c>
      <c r="B1112" t="s">
        <v>1154</v>
      </c>
      <c r="C1112" t="s">
        <v>33</v>
      </c>
      <c r="D1112" t="s">
        <v>72</v>
      </c>
      <c r="E1112">
        <v>2</v>
      </c>
      <c r="F1112" s="3">
        <v>2715.5458490566025</v>
      </c>
      <c r="G1112" s="4">
        <v>1.21</v>
      </c>
      <c r="H1112" s="3">
        <v>5431.091698113205</v>
      </c>
      <c r="I1112" s="1">
        <v>45782</v>
      </c>
      <c r="J1112" t="s">
        <v>22</v>
      </c>
      <c r="K1112" t="s">
        <v>23</v>
      </c>
      <c r="L1112" s="3">
        <v>-1140.5292566037729</v>
      </c>
      <c r="M1112" t="s">
        <v>2518</v>
      </c>
    </row>
    <row r="1113" spans="1:13" x14ac:dyDescent="0.3">
      <c r="A1113">
        <v>2111</v>
      </c>
      <c r="B1113" t="s">
        <v>1155</v>
      </c>
      <c r="C1113" t="s">
        <v>25</v>
      </c>
      <c r="D1113" t="s">
        <v>86</v>
      </c>
      <c r="E1113">
        <v>2</v>
      </c>
      <c r="F1113" s="3">
        <v>1934.02</v>
      </c>
      <c r="G1113" s="4">
        <v>0.6</v>
      </c>
      <c r="H1113" s="3">
        <v>3868.04</v>
      </c>
      <c r="I1113" s="1">
        <v>45854</v>
      </c>
      <c r="J1113" t="s">
        <v>15</v>
      </c>
      <c r="K1113" t="s">
        <v>23</v>
      </c>
      <c r="L1113" s="3">
        <v>1547.2160000000001</v>
      </c>
      <c r="M1113" t="s">
        <v>11</v>
      </c>
    </row>
    <row r="1114" spans="1:13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 s="3">
        <v>3248.14</v>
      </c>
      <c r="G1114" s="4">
        <v>0.18</v>
      </c>
      <c r="H1114" s="3">
        <v>0</v>
      </c>
      <c r="I1114" s="1">
        <v>45782</v>
      </c>
      <c r="J1114" t="s">
        <v>46</v>
      </c>
      <c r="K1114" t="s">
        <v>23</v>
      </c>
      <c r="L1114" s="3">
        <v>0</v>
      </c>
      <c r="M1114" t="s">
        <v>2518</v>
      </c>
    </row>
    <row r="1115" spans="1:13" x14ac:dyDescent="0.3">
      <c r="A1115">
        <v>2113</v>
      </c>
      <c r="B1115" t="s">
        <v>1157</v>
      </c>
      <c r="C1115" t="s">
        <v>38</v>
      </c>
      <c r="D1115" t="s">
        <v>39</v>
      </c>
      <c r="E1115">
        <v>2</v>
      </c>
      <c r="F1115" s="3">
        <v>3008.3844444444444</v>
      </c>
      <c r="G1115" s="4">
        <v>0.6</v>
      </c>
      <c r="H1115" s="3">
        <v>6016.7688888888888</v>
      </c>
      <c r="I1115" s="1">
        <v>45782</v>
      </c>
      <c r="J1115" t="s">
        <v>15</v>
      </c>
      <c r="K1115" t="s">
        <v>23</v>
      </c>
      <c r="L1115" s="3">
        <v>2406.7075555555557</v>
      </c>
      <c r="M1115" t="s">
        <v>11</v>
      </c>
    </row>
    <row r="1116" spans="1:13" x14ac:dyDescent="0.3">
      <c r="A1116">
        <v>2114</v>
      </c>
      <c r="B1116" t="s">
        <v>1158</v>
      </c>
      <c r="C1116" t="s">
        <v>38</v>
      </c>
      <c r="D1116" t="s">
        <v>59</v>
      </c>
      <c r="E1116">
        <v>2</v>
      </c>
      <c r="F1116" s="3">
        <v>2804.2651923076919</v>
      </c>
      <c r="G1116" s="4">
        <v>0.6</v>
      </c>
      <c r="H1116" s="3">
        <v>5608.5303846153838</v>
      </c>
      <c r="I1116" s="1">
        <v>45719</v>
      </c>
      <c r="J1116" t="s">
        <v>22</v>
      </c>
      <c r="K1116" t="s">
        <v>23</v>
      </c>
      <c r="L1116" s="3">
        <v>2243.4121538461536</v>
      </c>
      <c r="M1116" t="s">
        <v>11</v>
      </c>
    </row>
    <row r="1117" spans="1:13" x14ac:dyDescent="0.3">
      <c r="A1117">
        <v>2115</v>
      </c>
      <c r="B1117" t="s">
        <v>1159</v>
      </c>
      <c r="C1117" t="s">
        <v>13</v>
      </c>
      <c r="D1117" t="s">
        <v>49</v>
      </c>
      <c r="E1117">
        <v>2</v>
      </c>
      <c r="F1117" s="3">
        <v>2785.0877966101693</v>
      </c>
      <c r="G1117" s="4">
        <v>0.6</v>
      </c>
      <c r="H1117" s="3">
        <v>5570.1755932203387</v>
      </c>
      <c r="I1117" s="1">
        <v>45710</v>
      </c>
      <c r="J1117" t="s">
        <v>18</v>
      </c>
      <c r="K1117" t="s">
        <v>16</v>
      </c>
      <c r="L1117" s="3">
        <v>2228.0702372881356</v>
      </c>
      <c r="M1117" t="s">
        <v>11</v>
      </c>
    </row>
    <row r="1118" spans="1:13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F1118" s="3">
        <v>2462.79</v>
      </c>
      <c r="G1118" s="4">
        <v>0.6</v>
      </c>
      <c r="H1118" s="3">
        <v>4925.58</v>
      </c>
      <c r="I1118" s="1">
        <v>45550</v>
      </c>
      <c r="J1118" t="s">
        <v>18</v>
      </c>
      <c r="K1118" t="s">
        <v>23</v>
      </c>
      <c r="L1118" s="3">
        <v>1970.232</v>
      </c>
      <c r="M1118" t="s">
        <v>11</v>
      </c>
    </row>
    <row r="1119" spans="1:13" x14ac:dyDescent="0.3">
      <c r="A1119">
        <v>2117</v>
      </c>
      <c r="B1119" t="s">
        <v>1161</v>
      </c>
      <c r="C1119" t="s">
        <v>38</v>
      </c>
      <c r="D1119" t="s">
        <v>59</v>
      </c>
      <c r="E1119">
        <v>2</v>
      </c>
      <c r="F1119" s="3">
        <v>4767.37</v>
      </c>
      <c r="G1119" s="4">
        <v>0.6</v>
      </c>
      <c r="H1119" s="3">
        <v>9534.74</v>
      </c>
      <c r="I1119" s="1">
        <v>45553</v>
      </c>
      <c r="J1119" t="s">
        <v>15</v>
      </c>
      <c r="K1119" t="s">
        <v>23</v>
      </c>
      <c r="L1119" s="3">
        <v>3813.8960000000002</v>
      </c>
      <c r="M1119" t="s">
        <v>11</v>
      </c>
    </row>
    <row r="1120" spans="1:13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 s="3">
        <v>3952.46</v>
      </c>
      <c r="G1120" s="4">
        <v>0.82</v>
      </c>
      <c r="H1120" s="3">
        <v>11857.380000000001</v>
      </c>
      <c r="I1120" s="1">
        <v>45767</v>
      </c>
      <c r="J1120" t="s">
        <v>40</v>
      </c>
      <c r="K1120" t="s">
        <v>16</v>
      </c>
      <c r="L1120" s="3">
        <v>2134.3284000000008</v>
      </c>
      <c r="M1120" t="s">
        <v>11</v>
      </c>
    </row>
    <row r="1121" spans="1:13" x14ac:dyDescent="0.3">
      <c r="A1121">
        <v>2119</v>
      </c>
      <c r="B1121" t="s">
        <v>1162</v>
      </c>
      <c r="C1121" t="s">
        <v>25</v>
      </c>
      <c r="D1121" t="s">
        <v>26</v>
      </c>
      <c r="E1121">
        <v>2</v>
      </c>
      <c r="F1121" s="3">
        <v>537.77</v>
      </c>
      <c r="G1121" s="4">
        <v>0.05</v>
      </c>
      <c r="H1121" s="3">
        <v>1075.54</v>
      </c>
      <c r="I1121" s="1">
        <v>45612</v>
      </c>
      <c r="J1121" t="s">
        <v>40</v>
      </c>
      <c r="K1121" t="s">
        <v>16</v>
      </c>
      <c r="L1121" s="3">
        <v>1021.7629999999999</v>
      </c>
      <c r="M1121" t="s">
        <v>11</v>
      </c>
    </row>
    <row r="1122" spans="1:13" x14ac:dyDescent="0.3">
      <c r="A1122">
        <v>2120</v>
      </c>
      <c r="B1122" t="s">
        <v>1163</v>
      </c>
      <c r="C1122" t="s">
        <v>29</v>
      </c>
      <c r="D1122" t="s">
        <v>120</v>
      </c>
      <c r="E1122">
        <v>2</v>
      </c>
      <c r="F1122" s="3">
        <v>3321.05</v>
      </c>
      <c r="G1122" s="4">
        <v>1.05</v>
      </c>
      <c r="H1122" s="3">
        <v>6642.1</v>
      </c>
      <c r="I1122" s="1">
        <v>45419</v>
      </c>
      <c r="J1122" t="s">
        <v>56</v>
      </c>
      <c r="K1122" t="s">
        <v>23</v>
      </c>
      <c r="L1122" s="3">
        <v>-332.1050000000003</v>
      </c>
      <c r="M1122" t="s">
        <v>2518</v>
      </c>
    </row>
    <row r="1123" spans="1:13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 s="3">
        <v>1209.8</v>
      </c>
      <c r="G1123" s="4">
        <v>0.6</v>
      </c>
      <c r="H1123" s="3">
        <v>2419.6</v>
      </c>
      <c r="I1123" s="1">
        <v>45363</v>
      </c>
      <c r="J1123" t="s">
        <v>40</v>
      </c>
      <c r="K1123" t="s">
        <v>23</v>
      </c>
      <c r="L1123" s="3">
        <v>967.84</v>
      </c>
      <c r="M1123" t="s">
        <v>11</v>
      </c>
    </row>
    <row r="1124" spans="1:13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F1124" s="3">
        <v>2785.0877966101693</v>
      </c>
      <c r="G1124" s="4">
        <v>0.17</v>
      </c>
      <c r="H1124" s="3">
        <v>0</v>
      </c>
      <c r="I1124" s="1">
        <v>45782</v>
      </c>
      <c r="J1124" t="s">
        <v>15</v>
      </c>
      <c r="K1124" t="s">
        <v>16</v>
      </c>
      <c r="L1124" s="3">
        <v>0</v>
      </c>
      <c r="M1124" t="s">
        <v>2518</v>
      </c>
    </row>
    <row r="1125" spans="1:13" x14ac:dyDescent="0.3">
      <c r="A1125">
        <v>2123</v>
      </c>
      <c r="B1125" t="s">
        <v>1166</v>
      </c>
      <c r="C1125" t="s">
        <v>20</v>
      </c>
      <c r="D1125" t="s">
        <v>80</v>
      </c>
      <c r="E1125">
        <v>2</v>
      </c>
      <c r="F1125" s="3">
        <v>2483.5844000000002</v>
      </c>
      <c r="G1125" s="4">
        <v>1.05</v>
      </c>
      <c r="H1125" s="3">
        <v>4967.1688000000004</v>
      </c>
      <c r="I1125" s="1">
        <v>45708</v>
      </c>
      <c r="J1125" t="s">
        <v>15</v>
      </c>
      <c r="K1125" t="s">
        <v>16</v>
      </c>
      <c r="L1125" s="3">
        <v>-248.35844000000023</v>
      </c>
      <c r="M1125" t="s">
        <v>2518</v>
      </c>
    </row>
    <row r="1126" spans="1:13" x14ac:dyDescent="0.3">
      <c r="A1126">
        <v>2124</v>
      </c>
      <c r="B1126" t="s">
        <v>1167</v>
      </c>
      <c r="C1126" t="s">
        <v>33</v>
      </c>
      <c r="D1126" t="s">
        <v>82</v>
      </c>
      <c r="E1126">
        <v>2</v>
      </c>
      <c r="F1126" s="3">
        <v>3881.17</v>
      </c>
      <c r="G1126" s="4">
        <v>0.6</v>
      </c>
      <c r="H1126" s="3">
        <v>7762.34</v>
      </c>
      <c r="I1126" s="1">
        <v>45284</v>
      </c>
      <c r="J1126" t="s">
        <v>22</v>
      </c>
      <c r="K1126" t="s">
        <v>23</v>
      </c>
      <c r="L1126" s="3">
        <v>3104.9360000000001</v>
      </c>
      <c r="M1126" t="s">
        <v>11</v>
      </c>
    </row>
    <row r="1127" spans="1:13" x14ac:dyDescent="0.3">
      <c r="A1127">
        <v>2125</v>
      </c>
      <c r="B1127" t="s">
        <v>1168</v>
      </c>
      <c r="C1127" t="s">
        <v>13</v>
      </c>
      <c r="D1127" t="s">
        <v>14</v>
      </c>
      <c r="E1127">
        <v>2</v>
      </c>
      <c r="F1127" s="3">
        <v>2381.2677586206896</v>
      </c>
      <c r="G1127" s="4">
        <v>0.93</v>
      </c>
      <c r="H1127" s="3">
        <v>4762.5355172413792</v>
      </c>
      <c r="I1127" s="1">
        <v>45577</v>
      </c>
      <c r="J1127" t="s">
        <v>56</v>
      </c>
      <c r="K1127" t="s">
        <v>23</v>
      </c>
      <c r="L1127" s="3">
        <v>333.37748620689632</v>
      </c>
      <c r="M1127" t="s">
        <v>2518</v>
      </c>
    </row>
    <row r="1128" spans="1:13" x14ac:dyDescent="0.3">
      <c r="A1128">
        <v>2126</v>
      </c>
      <c r="B1128" t="s">
        <v>1169</v>
      </c>
      <c r="C1128" t="s">
        <v>29</v>
      </c>
      <c r="D1128" t="s">
        <v>42</v>
      </c>
      <c r="E1128">
        <v>2</v>
      </c>
      <c r="F1128" s="3">
        <v>820.88</v>
      </c>
      <c r="G1128" s="4">
        <v>0.01</v>
      </c>
      <c r="H1128" s="3">
        <v>1641.76</v>
      </c>
      <c r="I1128" s="1">
        <v>45782</v>
      </c>
      <c r="J1128" t="s">
        <v>18</v>
      </c>
      <c r="K1128" t="s">
        <v>16</v>
      </c>
      <c r="L1128" s="3">
        <v>1625.3424</v>
      </c>
      <c r="M1128" t="s">
        <v>11</v>
      </c>
    </row>
    <row r="1129" spans="1:13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F1129" s="3">
        <v>2559.6667307692314</v>
      </c>
      <c r="G1129" s="4">
        <v>0.94</v>
      </c>
      <c r="H1129" s="3">
        <v>15358.000384615389</v>
      </c>
      <c r="I1129" s="1">
        <v>45782</v>
      </c>
      <c r="J1129" t="s">
        <v>15</v>
      </c>
      <c r="K1129" t="s">
        <v>23</v>
      </c>
      <c r="L1129" s="3">
        <v>921.48002307692411</v>
      </c>
      <c r="M1129" t="s">
        <v>11</v>
      </c>
    </row>
    <row r="1130" spans="1:13" x14ac:dyDescent="0.3">
      <c r="A1130">
        <v>2128</v>
      </c>
      <c r="B1130" t="s">
        <v>1171</v>
      </c>
      <c r="C1130" t="s">
        <v>29</v>
      </c>
      <c r="D1130" t="s">
        <v>120</v>
      </c>
      <c r="E1130">
        <v>2</v>
      </c>
      <c r="F1130" s="3">
        <v>2830.1325714285731</v>
      </c>
      <c r="G1130" s="4">
        <v>0.08</v>
      </c>
      <c r="H1130" s="3">
        <v>5660.2651428571462</v>
      </c>
      <c r="I1130" s="1">
        <v>45567</v>
      </c>
      <c r="J1130" t="s">
        <v>40</v>
      </c>
      <c r="K1130" t="s">
        <v>16</v>
      </c>
      <c r="L1130" s="3">
        <v>5207.4439314285746</v>
      </c>
      <c r="M1130" t="s">
        <v>11</v>
      </c>
    </row>
    <row r="1131" spans="1:13" x14ac:dyDescent="0.3">
      <c r="A1131">
        <v>1003</v>
      </c>
      <c r="B1131" t="s">
        <v>1172</v>
      </c>
      <c r="C1131" t="s">
        <v>20</v>
      </c>
      <c r="D1131" t="s">
        <v>21</v>
      </c>
      <c r="E1131">
        <v>2</v>
      </c>
      <c r="F1131" s="3">
        <v>1685.85</v>
      </c>
      <c r="G1131" s="4">
        <v>0.6</v>
      </c>
      <c r="H1131" s="3">
        <v>3371.7</v>
      </c>
      <c r="I1131" s="1">
        <v>45782</v>
      </c>
      <c r="J1131" t="s">
        <v>56</v>
      </c>
      <c r="K1131" t="s">
        <v>16</v>
      </c>
      <c r="L1131" s="3">
        <v>1348.68</v>
      </c>
      <c r="M1131" t="s">
        <v>11</v>
      </c>
    </row>
    <row r="1132" spans="1:13" x14ac:dyDescent="0.3">
      <c r="A1132">
        <v>2130</v>
      </c>
      <c r="B1132" t="s">
        <v>1173</v>
      </c>
      <c r="C1132" t="s">
        <v>20</v>
      </c>
      <c r="D1132" t="s">
        <v>80</v>
      </c>
      <c r="E1132">
        <v>2</v>
      </c>
      <c r="F1132" s="3">
        <v>2483.5844000000002</v>
      </c>
      <c r="G1132" s="4">
        <v>0.36</v>
      </c>
      <c r="H1132" s="3">
        <v>4967.1688000000004</v>
      </c>
      <c r="I1132" s="1">
        <v>45810</v>
      </c>
      <c r="J1132" t="s">
        <v>46</v>
      </c>
      <c r="K1132" t="s">
        <v>16</v>
      </c>
      <c r="L1132" s="3">
        <v>3178.9880320000002</v>
      </c>
      <c r="M1132" t="s">
        <v>11</v>
      </c>
    </row>
    <row r="1133" spans="1:13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F1133" s="3">
        <v>2572.7764000000006</v>
      </c>
      <c r="G1133" s="4">
        <v>0.6</v>
      </c>
      <c r="H1133" s="3">
        <v>2572.7764000000006</v>
      </c>
      <c r="I1133" s="1">
        <v>45819</v>
      </c>
      <c r="J1133" t="s">
        <v>46</v>
      </c>
      <c r="K1133" t="s">
        <v>23</v>
      </c>
      <c r="L1133" s="3">
        <v>1029.1105600000003</v>
      </c>
      <c r="M1133" t="s">
        <v>11</v>
      </c>
    </row>
    <row r="1134" spans="1:13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F1134" s="3">
        <v>2381.2677586206896</v>
      </c>
      <c r="G1134" s="4">
        <v>0.6</v>
      </c>
      <c r="H1134" s="3">
        <v>9525.0710344827585</v>
      </c>
      <c r="I1134" s="1">
        <v>45729</v>
      </c>
      <c r="J1134" t="s">
        <v>22</v>
      </c>
      <c r="K1134" t="s">
        <v>23</v>
      </c>
      <c r="L1134" s="3">
        <v>3810.0284137931035</v>
      </c>
      <c r="M1134" t="s">
        <v>11</v>
      </c>
    </row>
    <row r="1135" spans="1:13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F1135" s="3">
        <v>2715.5458490566025</v>
      </c>
      <c r="G1135" s="4">
        <v>0.6</v>
      </c>
      <c r="H1135" s="3">
        <v>13577.729245283012</v>
      </c>
      <c r="I1135" s="1">
        <v>45782</v>
      </c>
      <c r="J1135" t="s">
        <v>46</v>
      </c>
      <c r="K1135" t="s">
        <v>23</v>
      </c>
      <c r="L1135" s="3">
        <v>5431.091698113205</v>
      </c>
      <c r="M1135" t="s">
        <v>11</v>
      </c>
    </row>
    <row r="1136" spans="1:13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F1136" s="3">
        <v>2559.6667307692314</v>
      </c>
      <c r="G1136" s="4">
        <v>0.28999999999999998</v>
      </c>
      <c r="H1136" s="3">
        <v>5119.3334615384629</v>
      </c>
      <c r="I1136" s="1">
        <v>45656</v>
      </c>
      <c r="J1136" t="s">
        <v>40</v>
      </c>
      <c r="K1136" t="s">
        <v>16</v>
      </c>
      <c r="L1136" s="3">
        <v>3634.7267576923086</v>
      </c>
      <c r="M1136" t="s">
        <v>11</v>
      </c>
    </row>
    <row r="1137" spans="1:13" x14ac:dyDescent="0.3">
      <c r="A1137">
        <v>2135</v>
      </c>
      <c r="B1137" t="s">
        <v>1178</v>
      </c>
      <c r="C1137" t="s">
        <v>38</v>
      </c>
      <c r="D1137" t="s">
        <v>39</v>
      </c>
      <c r="E1137">
        <v>2</v>
      </c>
      <c r="F1137" s="3">
        <v>857.22</v>
      </c>
      <c r="G1137" s="4">
        <v>0.6</v>
      </c>
      <c r="H1137" s="3">
        <v>1714.44</v>
      </c>
      <c r="I1137" s="1">
        <v>45158</v>
      </c>
      <c r="J1137" t="s">
        <v>15</v>
      </c>
      <c r="K1137" t="s">
        <v>23</v>
      </c>
      <c r="L1137" s="3">
        <v>685.77600000000007</v>
      </c>
      <c r="M1137" t="s">
        <v>11</v>
      </c>
    </row>
    <row r="1138" spans="1:13" x14ac:dyDescent="0.3">
      <c r="A1138">
        <v>2136</v>
      </c>
      <c r="B1138" t="s">
        <v>1179</v>
      </c>
      <c r="C1138" t="s">
        <v>33</v>
      </c>
      <c r="D1138" t="s">
        <v>82</v>
      </c>
      <c r="E1138">
        <v>2</v>
      </c>
      <c r="F1138" s="3">
        <v>2776.2202000000002</v>
      </c>
      <c r="G1138" s="4">
        <v>0.6</v>
      </c>
      <c r="H1138" s="3">
        <v>5552.4404000000004</v>
      </c>
      <c r="I1138" s="1">
        <v>45832</v>
      </c>
      <c r="J1138" t="s">
        <v>56</v>
      </c>
      <c r="K1138" t="s">
        <v>23</v>
      </c>
      <c r="L1138" s="3">
        <v>2220.9761600000002</v>
      </c>
      <c r="M1138" t="s">
        <v>11</v>
      </c>
    </row>
    <row r="1139" spans="1:13" x14ac:dyDescent="0.3">
      <c r="A1139">
        <v>2137</v>
      </c>
      <c r="B1139" t="s">
        <v>1180</v>
      </c>
      <c r="C1139" t="s">
        <v>33</v>
      </c>
      <c r="D1139" t="s">
        <v>72</v>
      </c>
      <c r="E1139">
        <v>2</v>
      </c>
      <c r="F1139" s="3">
        <v>2715.5458490566025</v>
      </c>
      <c r="G1139" s="4">
        <v>1.01</v>
      </c>
      <c r="H1139" s="3">
        <v>5431.091698113205</v>
      </c>
      <c r="I1139" s="1">
        <v>45772</v>
      </c>
      <c r="J1139" t="s">
        <v>46</v>
      </c>
      <c r="K1139" t="s">
        <v>23</v>
      </c>
      <c r="L1139" s="3">
        <v>-54.310916981132095</v>
      </c>
      <c r="M1139" t="s">
        <v>2518</v>
      </c>
    </row>
    <row r="1140" spans="1:13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 s="3">
        <v>2426.77</v>
      </c>
      <c r="G1140" s="4">
        <v>0.6</v>
      </c>
      <c r="H1140" s="3">
        <v>-4853.54</v>
      </c>
      <c r="I1140" s="1">
        <v>45782</v>
      </c>
      <c r="J1140" t="s">
        <v>15</v>
      </c>
      <c r="K1140" t="s">
        <v>23</v>
      </c>
      <c r="L1140" s="3">
        <v>-1941.4160000000002</v>
      </c>
      <c r="M1140" t="s">
        <v>2518</v>
      </c>
    </row>
    <row r="1141" spans="1:13" x14ac:dyDescent="0.3">
      <c r="A1141">
        <v>1028</v>
      </c>
      <c r="B1141" t="s">
        <v>1182</v>
      </c>
      <c r="C1141" t="s">
        <v>29</v>
      </c>
      <c r="D1141" t="s">
        <v>30</v>
      </c>
      <c r="E1141">
        <v>2</v>
      </c>
      <c r="F1141" s="3">
        <v>4142.54</v>
      </c>
      <c r="G1141" s="4">
        <v>0.6</v>
      </c>
      <c r="H1141" s="3">
        <v>8285.08</v>
      </c>
      <c r="I1141" s="1">
        <v>45722</v>
      </c>
      <c r="J1141" t="s">
        <v>18</v>
      </c>
      <c r="K1141" t="s">
        <v>23</v>
      </c>
      <c r="L1141" s="3">
        <v>3314.0320000000002</v>
      </c>
      <c r="M1141" t="s">
        <v>11</v>
      </c>
    </row>
    <row r="1142" spans="1:13" x14ac:dyDescent="0.3">
      <c r="A1142">
        <v>2140</v>
      </c>
      <c r="B1142" t="s">
        <v>1183</v>
      </c>
      <c r="C1142" t="s">
        <v>25</v>
      </c>
      <c r="D1142" t="s">
        <v>26</v>
      </c>
      <c r="E1142">
        <v>2</v>
      </c>
      <c r="F1142" s="3">
        <v>2191.65</v>
      </c>
      <c r="G1142" s="4">
        <v>0.6</v>
      </c>
      <c r="H1142" s="3">
        <v>4383.3</v>
      </c>
      <c r="I1142" s="1">
        <v>45632</v>
      </c>
      <c r="J1142" t="s">
        <v>22</v>
      </c>
      <c r="K1142" t="s">
        <v>23</v>
      </c>
      <c r="L1142" s="3">
        <v>1753.3200000000002</v>
      </c>
      <c r="M1142" t="s">
        <v>11</v>
      </c>
    </row>
    <row r="1143" spans="1:13" x14ac:dyDescent="0.3">
      <c r="A1143">
        <v>2141</v>
      </c>
      <c r="B1143" t="s">
        <v>1184</v>
      </c>
      <c r="C1143" t="s">
        <v>20</v>
      </c>
      <c r="D1143" t="s">
        <v>122</v>
      </c>
      <c r="E1143">
        <v>2</v>
      </c>
      <c r="F1143" s="3">
        <v>1762.28</v>
      </c>
      <c r="G1143" s="4">
        <v>0.6</v>
      </c>
      <c r="H1143" s="3">
        <v>3524.56</v>
      </c>
      <c r="I1143" s="1">
        <v>45566</v>
      </c>
      <c r="J1143" t="s">
        <v>15</v>
      </c>
      <c r="K1143" t="s">
        <v>23</v>
      </c>
      <c r="L1143" s="3">
        <v>1409.8240000000001</v>
      </c>
      <c r="M1143" t="s">
        <v>11</v>
      </c>
    </row>
    <row r="1144" spans="1:13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F1144" s="3">
        <v>2845.2419672131159</v>
      </c>
      <c r="G1144" s="4">
        <v>0.6</v>
      </c>
      <c r="H1144" s="3">
        <v>0</v>
      </c>
      <c r="I1144" s="1">
        <v>45155</v>
      </c>
      <c r="J1144" t="s">
        <v>40</v>
      </c>
      <c r="K1144" t="s">
        <v>23</v>
      </c>
      <c r="L1144" s="3">
        <v>0</v>
      </c>
      <c r="M1144" t="s">
        <v>2518</v>
      </c>
    </row>
    <row r="1145" spans="1:13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 s="3">
        <v>662.52</v>
      </c>
      <c r="G1145" s="4">
        <v>0.96</v>
      </c>
      <c r="H1145" s="3">
        <v>1987.56</v>
      </c>
      <c r="I1145" s="1">
        <v>45680</v>
      </c>
      <c r="J1145" t="s">
        <v>40</v>
      </c>
      <c r="K1145" t="s">
        <v>23</v>
      </c>
      <c r="L1145" s="3">
        <v>79.502400000000065</v>
      </c>
      <c r="M1145" t="s">
        <v>2518</v>
      </c>
    </row>
    <row r="1146" spans="1:13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 s="3">
        <v>906.82</v>
      </c>
      <c r="G1146" s="4">
        <v>0.92</v>
      </c>
      <c r="H1146" s="3">
        <v>-906.82</v>
      </c>
      <c r="I1146" s="1">
        <v>45661</v>
      </c>
      <c r="J1146" t="s">
        <v>18</v>
      </c>
      <c r="K1146" t="s">
        <v>23</v>
      </c>
      <c r="L1146" s="3">
        <v>-72.545599999999965</v>
      </c>
      <c r="M1146" t="s">
        <v>2518</v>
      </c>
    </row>
    <row r="1147" spans="1:13" x14ac:dyDescent="0.3">
      <c r="A1147">
        <v>2145</v>
      </c>
      <c r="B1147" t="s">
        <v>1188</v>
      </c>
      <c r="C1147" t="s">
        <v>33</v>
      </c>
      <c r="D1147" t="s">
        <v>44</v>
      </c>
      <c r="E1147">
        <v>2</v>
      </c>
      <c r="F1147" s="3">
        <v>3981.39</v>
      </c>
      <c r="G1147" s="4">
        <v>0.6</v>
      </c>
      <c r="H1147" s="3">
        <v>7962.78</v>
      </c>
      <c r="I1147" s="1">
        <v>45611</v>
      </c>
      <c r="J1147" t="s">
        <v>46</v>
      </c>
      <c r="K1147" t="s">
        <v>16</v>
      </c>
      <c r="L1147" s="3">
        <v>3185.1120000000001</v>
      </c>
      <c r="M1147" t="s">
        <v>11</v>
      </c>
    </row>
    <row r="1148" spans="1:13" x14ac:dyDescent="0.3">
      <c r="A1148">
        <v>2146</v>
      </c>
      <c r="B1148" t="s">
        <v>1189</v>
      </c>
      <c r="C1148" t="s">
        <v>29</v>
      </c>
      <c r="D1148" t="s">
        <v>120</v>
      </c>
      <c r="E1148">
        <v>2</v>
      </c>
      <c r="F1148" s="3">
        <v>2830.1325714285731</v>
      </c>
      <c r="G1148" s="4">
        <v>0.65</v>
      </c>
      <c r="H1148" s="3">
        <v>5660.2651428571462</v>
      </c>
      <c r="I1148" s="1">
        <v>45624</v>
      </c>
      <c r="J1148" t="s">
        <v>22</v>
      </c>
      <c r="K1148" t="s">
        <v>23</v>
      </c>
      <c r="L1148" s="3">
        <v>1981.092800000001</v>
      </c>
      <c r="M1148" t="s">
        <v>11</v>
      </c>
    </row>
    <row r="1149" spans="1:13" x14ac:dyDescent="0.3">
      <c r="A1149">
        <v>2147</v>
      </c>
      <c r="B1149" t="s">
        <v>1190</v>
      </c>
      <c r="C1149" t="s">
        <v>38</v>
      </c>
      <c r="D1149" t="s">
        <v>91</v>
      </c>
      <c r="E1149">
        <v>2</v>
      </c>
      <c r="F1149" s="3">
        <v>2868.7768181818178</v>
      </c>
      <c r="G1149" s="4">
        <v>0.27</v>
      </c>
      <c r="H1149" s="3">
        <v>5737.5536363636356</v>
      </c>
      <c r="I1149" s="1">
        <v>45182</v>
      </c>
      <c r="J1149" t="s">
        <v>18</v>
      </c>
      <c r="K1149" t="s">
        <v>16</v>
      </c>
      <c r="L1149" s="3">
        <v>4188.414154545454</v>
      </c>
      <c r="M1149" t="s">
        <v>11</v>
      </c>
    </row>
    <row r="1150" spans="1:13" x14ac:dyDescent="0.3">
      <c r="A1150">
        <v>2148</v>
      </c>
      <c r="B1150" t="s">
        <v>1191</v>
      </c>
      <c r="C1150" t="s">
        <v>33</v>
      </c>
      <c r="D1150" t="s">
        <v>44</v>
      </c>
      <c r="E1150">
        <v>2</v>
      </c>
      <c r="F1150" s="3">
        <v>2841.7630612244907</v>
      </c>
      <c r="G1150" s="4">
        <v>0.6</v>
      </c>
      <c r="H1150" s="3">
        <v>5683.5261224489814</v>
      </c>
      <c r="I1150" s="1">
        <v>45782</v>
      </c>
      <c r="J1150" t="s">
        <v>56</v>
      </c>
      <c r="K1150" t="s">
        <v>16</v>
      </c>
      <c r="L1150" s="3">
        <v>2273.4104489795927</v>
      </c>
      <c r="M1150" t="s">
        <v>11</v>
      </c>
    </row>
    <row r="1151" spans="1:13" x14ac:dyDescent="0.3">
      <c r="A1151">
        <v>2149</v>
      </c>
      <c r="B1151" t="s">
        <v>1192</v>
      </c>
      <c r="C1151" t="s">
        <v>20</v>
      </c>
      <c r="D1151" t="s">
        <v>122</v>
      </c>
      <c r="E1151">
        <v>2</v>
      </c>
      <c r="F1151" s="3">
        <v>2865.62</v>
      </c>
      <c r="G1151" s="4">
        <v>0.8</v>
      </c>
      <c r="H1151" s="3">
        <v>5731.24</v>
      </c>
      <c r="I1151" s="1">
        <v>45612</v>
      </c>
      <c r="J1151" t="s">
        <v>18</v>
      </c>
      <c r="K1151" t="s">
        <v>23</v>
      </c>
      <c r="L1151" s="3">
        <v>1146.2479999999996</v>
      </c>
      <c r="M1151" t="s">
        <v>11</v>
      </c>
    </row>
    <row r="1152" spans="1:13" x14ac:dyDescent="0.3">
      <c r="A1152">
        <v>1033</v>
      </c>
      <c r="B1152" t="s">
        <v>1193</v>
      </c>
      <c r="C1152" t="s">
        <v>33</v>
      </c>
      <c r="D1152" t="s">
        <v>34</v>
      </c>
      <c r="E1152">
        <v>2</v>
      </c>
      <c r="F1152" s="3">
        <v>2487.039615384615</v>
      </c>
      <c r="G1152" s="4">
        <v>0.6</v>
      </c>
      <c r="H1152" s="3">
        <v>4974.07923076923</v>
      </c>
      <c r="I1152" s="1">
        <v>45565</v>
      </c>
      <c r="J1152" t="s">
        <v>15</v>
      </c>
      <c r="K1152" t="s">
        <v>16</v>
      </c>
      <c r="L1152" s="3">
        <v>1989.631692307692</v>
      </c>
      <c r="M1152" t="s">
        <v>11</v>
      </c>
    </row>
    <row r="1153" spans="1:13" x14ac:dyDescent="0.3">
      <c r="A1153">
        <v>2151</v>
      </c>
      <c r="B1153" t="s">
        <v>1194</v>
      </c>
      <c r="C1153" t="s">
        <v>38</v>
      </c>
      <c r="D1153" t="s">
        <v>59</v>
      </c>
      <c r="E1153">
        <v>2</v>
      </c>
      <c r="F1153" s="3">
        <v>927.64</v>
      </c>
      <c r="G1153" s="4">
        <v>0.6</v>
      </c>
      <c r="H1153" s="3">
        <v>1855.28</v>
      </c>
      <c r="I1153" s="1">
        <v>45512</v>
      </c>
      <c r="J1153" t="s">
        <v>46</v>
      </c>
      <c r="K1153" t="s">
        <v>23</v>
      </c>
      <c r="L1153" s="3">
        <v>742.11200000000008</v>
      </c>
      <c r="M1153" t="s">
        <v>11</v>
      </c>
    </row>
    <row r="1154" spans="1:13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F1154" s="3">
        <v>2888.8714285714286</v>
      </c>
      <c r="G1154" s="4">
        <v>0.6</v>
      </c>
      <c r="H1154" s="3">
        <v>0</v>
      </c>
      <c r="I1154" s="1">
        <v>45782</v>
      </c>
      <c r="J1154" t="s">
        <v>18</v>
      </c>
      <c r="K1154" t="s">
        <v>23</v>
      </c>
      <c r="L1154" s="3">
        <v>0</v>
      </c>
      <c r="M1154" t="s">
        <v>2518</v>
      </c>
    </row>
    <row r="1155" spans="1:13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 s="3">
        <v>3131.57</v>
      </c>
      <c r="G1155" s="4">
        <v>0.6</v>
      </c>
      <c r="H1155" s="3">
        <v>0</v>
      </c>
      <c r="I1155" s="1">
        <v>45614</v>
      </c>
      <c r="J1155" t="s">
        <v>18</v>
      </c>
      <c r="K1155" t="s">
        <v>16</v>
      </c>
      <c r="L1155" s="3">
        <v>0</v>
      </c>
      <c r="M1155" t="s">
        <v>2518</v>
      </c>
    </row>
    <row r="1156" spans="1:13" x14ac:dyDescent="0.3">
      <c r="A1156">
        <v>2154</v>
      </c>
      <c r="B1156" t="s">
        <v>1196</v>
      </c>
      <c r="C1156" t="s">
        <v>29</v>
      </c>
      <c r="D1156" t="s">
        <v>30</v>
      </c>
      <c r="E1156">
        <v>2</v>
      </c>
      <c r="F1156" s="3">
        <v>2617.6390384615388</v>
      </c>
      <c r="G1156" s="4">
        <v>0.6</v>
      </c>
      <c r="H1156" s="3">
        <v>5235.2780769230776</v>
      </c>
      <c r="I1156" s="1">
        <v>45793</v>
      </c>
      <c r="J1156" t="s">
        <v>46</v>
      </c>
      <c r="K1156" t="s">
        <v>23</v>
      </c>
      <c r="L1156" s="3">
        <v>2094.111230769231</v>
      </c>
      <c r="M1156" t="s">
        <v>11</v>
      </c>
    </row>
    <row r="1157" spans="1:13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F1157" s="3">
        <v>2776.2202000000002</v>
      </c>
      <c r="G1157" s="4">
        <v>0.6</v>
      </c>
      <c r="H1157" s="3">
        <v>-5552.4404000000004</v>
      </c>
      <c r="I1157" s="1">
        <v>45691</v>
      </c>
      <c r="J1157" t="s">
        <v>40</v>
      </c>
      <c r="K1157" t="s">
        <v>16</v>
      </c>
      <c r="L1157" s="3">
        <v>-2220.9761600000002</v>
      </c>
      <c r="M1157" t="s">
        <v>2518</v>
      </c>
    </row>
    <row r="1158" spans="1:13" x14ac:dyDescent="0.3">
      <c r="A1158">
        <v>2156</v>
      </c>
      <c r="B1158" t="s">
        <v>1198</v>
      </c>
      <c r="C1158" t="s">
        <v>25</v>
      </c>
      <c r="D1158" t="s">
        <v>66</v>
      </c>
      <c r="E1158">
        <v>2</v>
      </c>
      <c r="F1158" s="3">
        <v>2572.7764000000006</v>
      </c>
      <c r="G1158" s="4">
        <v>0.6</v>
      </c>
      <c r="H1158" s="3">
        <v>5145.5528000000013</v>
      </c>
      <c r="I1158" s="1">
        <v>45782</v>
      </c>
      <c r="J1158" t="s">
        <v>18</v>
      </c>
      <c r="K1158" t="s">
        <v>23</v>
      </c>
      <c r="L1158" s="3">
        <v>2058.2211200000006</v>
      </c>
      <c r="M1158" t="s">
        <v>11</v>
      </c>
    </row>
    <row r="1159" spans="1:13" x14ac:dyDescent="0.3">
      <c r="A1159">
        <v>2157</v>
      </c>
      <c r="B1159" t="s">
        <v>1199</v>
      </c>
      <c r="C1159" t="s">
        <v>25</v>
      </c>
      <c r="D1159" t="s">
        <v>54</v>
      </c>
      <c r="E1159">
        <v>2</v>
      </c>
      <c r="F1159" s="3">
        <v>2830.24</v>
      </c>
      <c r="G1159" s="4">
        <v>0.97</v>
      </c>
      <c r="H1159" s="3">
        <v>5660.48</v>
      </c>
      <c r="I1159" s="1">
        <v>45782</v>
      </c>
      <c r="J1159" t="s">
        <v>22</v>
      </c>
      <c r="K1159" t="s">
        <v>23</v>
      </c>
      <c r="L1159" s="3">
        <v>169.81440000000015</v>
      </c>
      <c r="M1159" t="s">
        <v>2518</v>
      </c>
    </row>
    <row r="1160" spans="1:13" x14ac:dyDescent="0.3">
      <c r="A1160">
        <v>2158</v>
      </c>
      <c r="B1160" t="s">
        <v>1200</v>
      </c>
      <c r="C1160" t="s">
        <v>25</v>
      </c>
      <c r="D1160" t="s">
        <v>54</v>
      </c>
      <c r="E1160">
        <v>2</v>
      </c>
      <c r="F1160" s="3">
        <v>3270.68</v>
      </c>
      <c r="G1160" s="4">
        <v>0.6</v>
      </c>
      <c r="H1160" s="3">
        <v>6541.36</v>
      </c>
      <c r="I1160" s="1">
        <v>45782</v>
      </c>
      <c r="J1160" t="s">
        <v>22</v>
      </c>
      <c r="K1160" t="s">
        <v>23</v>
      </c>
      <c r="L1160" s="3">
        <v>2616.5439999999999</v>
      </c>
      <c r="M1160" t="s">
        <v>11</v>
      </c>
    </row>
    <row r="1161" spans="1:13" x14ac:dyDescent="0.3">
      <c r="A1161">
        <v>2159</v>
      </c>
      <c r="B1161" t="s">
        <v>1201</v>
      </c>
      <c r="C1161" t="s">
        <v>38</v>
      </c>
      <c r="D1161" t="s">
        <v>39</v>
      </c>
      <c r="E1161">
        <v>2</v>
      </c>
      <c r="F1161" s="3">
        <v>3008.3844444444444</v>
      </c>
      <c r="G1161" s="4">
        <v>0.6</v>
      </c>
      <c r="H1161" s="3">
        <v>6016.7688888888888</v>
      </c>
      <c r="I1161" s="1">
        <v>45639</v>
      </c>
      <c r="J1161" t="s">
        <v>22</v>
      </c>
      <c r="K1161" t="s">
        <v>23</v>
      </c>
      <c r="L1161" s="3">
        <v>2406.7075555555557</v>
      </c>
      <c r="M1161" t="s">
        <v>11</v>
      </c>
    </row>
    <row r="1162" spans="1:13" x14ac:dyDescent="0.3">
      <c r="A1162">
        <v>2160</v>
      </c>
      <c r="B1162" t="s">
        <v>1202</v>
      </c>
      <c r="C1162" t="s">
        <v>25</v>
      </c>
      <c r="D1162" t="s">
        <v>86</v>
      </c>
      <c r="E1162">
        <v>2</v>
      </c>
      <c r="F1162" s="3">
        <v>2119.66</v>
      </c>
      <c r="G1162" s="4">
        <v>0.6</v>
      </c>
      <c r="H1162" s="3">
        <v>4239.32</v>
      </c>
      <c r="I1162" s="1">
        <v>45598</v>
      </c>
      <c r="J1162" t="s">
        <v>46</v>
      </c>
      <c r="K1162" t="s">
        <v>16</v>
      </c>
      <c r="L1162" s="3">
        <v>1695.7280000000001</v>
      </c>
      <c r="M1162" t="s">
        <v>11</v>
      </c>
    </row>
    <row r="1163" spans="1:13" x14ac:dyDescent="0.3">
      <c r="A1163">
        <v>2161</v>
      </c>
      <c r="B1163" t="s">
        <v>1203</v>
      </c>
      <c r="C1163" t="s">
        <v>29</v>
      </c>
      <c r="D1163" t="s">
        <v>120</v>
      </c>
      <c r="E1163">
        <v>2</v>
      </c>
      <c r="F1163" s="3">
        <v>4376.41</v>
      </c>
      <c r="G1163" s="4">
        <v>0.6</v>
      </c>
      <c r="H1163" s="3">
        <v>8752.82</v>
      </c>
      <c r="I1163" s="1">
        <v>45754</v>
      </c>
      <c r="J1163" t="s">
        <v>22</v>
      </c>
      <c r="K1163" t="s">
        <v>16</v>
      </c>
      <c r="L1163" s="3">
        <v>3501.1280000000002</v>
      </c>
      <c r="M1163" t="s">
        <v>11</v>
      </c>
    </row>
    <row r="1164" spans="1:13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F1164" s="3">
        <v>2830.1325714285731</v>
      </c>
      <c r="G1164" s="4">
        <v>0.71</v>
      </c>
      <c r="H1164" s="3">
        <v>2830.1325714285731</v>
      </c>
      <c r="I1164" s="1">
        <v>45832</v>
      </c>
      <c r="J1164" t="s">
        <v>18</v>
      </c>
      <c r="K1164" t="s">
        <v>23</v>
      </c>
      <c r="L1164" s="3">
        <v>820.73844571428629</v>
      </c>
      <c r="M1164" t="s">
        <v>11</v>
      </c>
    </row>
    <row r="1165" spans="1:13" x14ac:dyDescent="0.3">
      <c r="A1165">
        <v>2163</v>
      </c>
      <c r="B1165" t="s">
        <v>1205</v>
      </c>
      <c r="C1165" t="s">
        <v>38</v>
      </c>
      <c r="D1165" t="s">
        <v>59</v>
      </c>
      <c r="E1165">
        <v>2</v>
      </c>
      <c r="F1165" s="3">
        <v>2804.2651923076919</v>
      </c>
      <c r="G1165" s="4">
        <v>0.6</v>
      </c>
      <c r="H1165" s="3">
        <v>5608.5303846153838</v>
      </c>
      <c r="I1165" s="1">
        <v>45559</v>
      </c>
      <c r="J1165" t="s">
        <v>22</v>
      </c>
      <c r="K1165" t="s">
        <v>16</v>
      </c>
      <c r="L1165" s="3">
        <v>2243.4121538461536</v>
      </c>
      <c r="M1165" t="s">
        <v>11</v>
      </c>
    </row>
    <row r="1166" spans="1:13" x14ac:dyDescent="0.3">
      <c r="A1166">
        <v>2164</v>
      </c>
      <c r="B1166" t="s">
        <v>1206</v>
      </c>
      <c r="C1166" t="s">
        <v>20</v>
      </c>
      <c r="D1166" t="s">
        <v>21</v>
      </c>
      <c r="E1166">
        <v>2</v>
      </c>
      <c r="F1166" s="3">
        <v>1498.8</v>
      </c>
      <c r="G1166" s="4">
        <v>0.6</v>
      </c>
      <c r="H1166" s="3">
        <v>2997.6</v>
      </c>
      <c r="I1166" s="1">
        <v>45516</v>
      </c>
      <c r="J1166" t="s">
        <v>15</v>
      </c>
      <c r="K1166" t="s">
        <v>23</v>
      </c>
      <c r="L1166" s="3">
        <v>1199.04</v>
      </c>
      <c r="M1166" t="s">
        <v>11</v>
      </c>
    </row>
    <row r="1167" spans="1:13" x14ac:dyDescent="0.3">
      <c r="A1167">
        <v>2165</v>
      </c>
      <c r="B1167" t="s">
        <v>1207</v>
      </c>
      <c r="C1167" t="s">
        <v>25</v>
      </c>
      <c r="D1167" t="s">
        <v>66</v>
      </c>
      <c r="E1167">
        <v>2</v>
      </c>
      <c r="F1167" s="3">
        <v>2572.7764000000006</v>
      </c>
      <c r="G1167" s="4">
        <v>0.6</v>
      </c>
      <c r="H1167" s="3">
        <v>5145.5528000000013</v>
      </c>
      <c r="I1167" s="1">
        <v>45678</v>
      </c>
      <c r="J1167" t="s">
        <v>46</v>
      </c>
      <c r="K1167" t="s">
        <v>23</v>
      </c>
      <c r="L1167" s="3">
        <v>2058.2211200000006</v>
      </c>
      <c r="M1167" t="s">
        <v>11</v>
      </c>
    </row>
    <row r="1168" spans="1:13" x14ac:dyDescent="0.3">
      <c r="A1168">
        <v>2166</v>
      </c>
      <c r="B1168" t="s">
        <v>1208</v>
      </c>
      <c r="C1168" t="s">
        <v>20</v>
      </c>
      <c r="D1168" t="s">
        <v>122</v>
      </c>
      <c r="E1168">
        <v>2</v>
      </c>
      <c r="F1168" s="3">
        <v>2700.1263043478252</v>
      </c>
      <c r="G1168" s="4">
        <v>1.08</v>
      </c>
      <c r="H1168" s="3">
        <v>5400.2526086956505</v>
      </c>
      <c r="I1168" s="1">
        <v>45782</v>
      </c>
      <c r="J1168" t="s">
        <v>22</v>
      </c>
      <c r="K1168" t="s">
        <v>23</v>
      </c>
      <c r="L1168" s="3">
        <v>-432.0202086956524</v>
      </c>
      <c r="M1168" t="s">
        <v>2518</v>
      </c>
    </row>
    <row r="1169" spans="1:13" x14ac:dyDescent="0.3">
      <c r="A1169">
        <v>2167</v>
      </c>
      <c r="B1169" t="s">
        <v>1209</v>
      </c>
      <c r="C1169" t="s">
        <v>38</v>
      </c>
      <c r="D1169" t="s">
        <v>39</v>
      </c>
      <c r="E1169">
        <v>2</v>
      </c>
      <c r="F1169" s="3">
        <v>3008.3844444444444</v>
      </c>
      <c r="G1169" s="4">
        <v>1.1200000000000001</v>
      </c>
      <c r="H1169" s="3">
        <v>6016.7688888888888</v>
      </c>
      <c r="I1169" s="1">
        <v>45782</v>
      </c>
      <c r="J1169" t="s">
        <v>22</v>
      </c>
      <c r="K1169" t="s">
        <v>16</v>
      </c>
      <c r="L1169" s="3">
        <v>-722.0122666666673</v>
      </c>
      <c r="M1169" t="s">
        <v>2518</v>
      </c>
    </row>
    <row r="1170" spans="1:13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 s="3">
        <v>4446.09</v>
      </c>
      <c r="G1170" s="4">
        <v>0.47</v>
      </c>
      <c r="H1170" s="3">
        <v>-4446.09</v>
      </c>
      <c r="I1170" s="1">
        <v>45782</v>
      </c>
      <c r="J1170" t="s">
        <v>18</v>
      </c>
      <c r="K1170" t="s">
        <v>23</v>
      </c>
      <c r="L1170" s="3">
        <v>-2356.4277000000002</v>
      </c>
      <c r="M1170" t="s">
        <v>2518</v>
      </c>
    </row>
    <row r="1171" spans="1:13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F1171" s="3">
        <v>2785.0877966101693</v>
      </c>
      <c r="G1171" s="4">
        <v>0.6</v>
      </c>
      <c r="H1171" s="3">
        <v>5570.1755932203387</v>
      </c>
      <c r="I1171" s="1">
        <v>45587</v>
      </c>
      <c r="J1171" t="s">
        <v>18</v>
      </c>
      <c r="K1171" t="s">
        <v>16</v>
      </c>
      <c r="L1171" s="3">
        <v>2228.0702372881356</v>
      </c>
      <c r="M1171" t="s">
        <v>11</v>
      </c>
    </row>
    <row r="1172" spans="1:13" x14ac:dyDescent="0.3">
      <c r="A1172">
        <v>2170</v>
      </c>
      <c r="B1172" t="s">
        <v>1212</v>
      </c>
      <c r="C1172" t="s">
        <v>29</v>
      </c>
      <c r="D1172" t="s">
        <v>30</v>
      </c>
      <c r="E1172">
        <v>2</v>
      </c>
      <c r="F1172" s="3">
        <v>826.11</v>
      </c>
      <c r="G1172" s="4">
        <v>0.99</v>
      </c>
      <c r="H1172" s="3">
        <v>1652.22</v>
      </c>
      <c r="I1172" s="1">
        <v>45782</v>
      </c>
      <c r="J1172" t="s">
        <v>15</v>
      </c>
      <c r="K1172" t="s">
        <v>23</v>
      </c>
      <c r="L1172" s="3">
        <v>16.522200000000016</v>
      </c>
      <c r="M1172" t="s">
        <v>2518</v>
      </c>
    </row>
    <row r="1173" spans="1:13" x14ac:dyDescent="0.3">
      <c r="A1173">
        <v>2171</v>
      </c>
      <c r="B1173" t="s">
        <v>1213</v>
      </c>
      <c r="C1173" t="s">
        <v>33</v>
      </c>
      <c r="D1173" t="s">
        <v>72</v>
      </c>
      <c r="E1173">
        <v>2</v>
      </c>
      <c r="F1173" s="3">
        <v>630.28</v>
      </c>
      <c r="G1173" s="4">
        <v>0.6</v>
      </c>
      <c r="H1173" s="3">
        <v>1260.56</v>
      </c>
      <c r="I1173" s="1">
        <v>45860</v>
      </c>
      <c r="J1173" t="s">
        <v>15</v>
      </c>
      <c r="K1173" t="s">
        <v>23</v>
      </c>
      <c r="L1173" s="3">
        <v>504.22399999999999</v>
      </c>
      <c r="M1173" t="s">
        <v>11</v>
      </c>
    </row>
    <row r="1174" spans="1:13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F1174" s="3">
        <v>2715.5458490566025</v>
      </c>
      <c r="G1174" s="4">
        <v>1.08</v>
      </c>
      <c r="H1174" s="3">
        <v>-2715.5458490566025</v>
      </c>
      <c r="I1174" s="1">
        <v>45782</v>
      </c>
      <c r="J1174" t="s">
        <v>15</v>
      </c>
      <c r="K1174" t="s">
        <v>16</v>
      </c>
      <c r="L1174" s="3">
        <v>217.24366792452838</v>
      </c>
      <c r="M1174" t="s">
        <v>2518</v>
      </c>
    </row>
    <row r="1175" spans="1:13" x14ac:dyDescent="0.3">
      <c r="A1175">
        <v>2173</v>
      </c>
      <c r="B1175" t="s">
        <v>1215</v>
      </c>
      <c r="C1175" t="s">
        <v>25</v>
      </c>
      <c r="D1175" t="s">
        <v>26</v>
      </c>
      <c r="E1175">
        <v>2</v>
      </c>
      <c r="F1175" s="3">
        <v>2679.07</v>
      </c>
      <c r="G1175" s="4">
        <v>0.6</v>
      </c>
      <c r="H1175" s="3">
        <v>5358.14</v>
      </c>
      <c r="I1175" s="1">
        <v>45782</v>
      </c>
      <c r="J1175" t="s">
        <v>22</v>
      </c>
      <c r="K1175" t="s">
        <v>23</v>
      </c>
      <c r="L1175" s="3">
        <v>2143.2560000000003</v>
      </c>
      <c r="M1175" t="s">
        <v>11</v>
      </c>
    </row>
    <row r="1176" spans="1:13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 s="3">
        <v>810.62</v>
      </c>
      <c r="G1176" s="4">
        <v>0.6</v>
      </c>
      <c r="H1176" s="3">
        <v>0</v>
      </c>
      <c r="I1176" s="1">
        <v>45649</v>
      </c>
      <c r="J1176" t="s">
        <v>40</v>
      </c>
      <c r="K1176" t="s">
        <v>16</v>
      </c>
      <c r="L1176" s="3">
        <v>0</v>
      </c>
      <c r="M1176" t="s">
        <v>2518</v>
      </c>
    </row>
    <row r="1177" spans="1:13" x14ac:dyDescent="0.3">
      <c r="A1177">
        <v>2175</v>
      </c>
      <c r="B1177" t="s">
        <v>1217</v>
      </c>
      <c r="C1177" t="s">
        <v>25</v>
      </c>
      <c r="D1177" t="s">
        <v>26</v>
      </c>
      <c r="E1177">
        <v>2</v>
      </c>
      <c r="F1177" s="3">
        <v>2888.8714285714286</v>
      </c>
      <c r="G1177" s="4">
        <v>0.6</v>
      </c>
      <c r="H1177" s="3">
        <v>5777.7428571428572</v>
      </c>
      <c r="I1177" s="1">
        <v>45171</v>
      </c>
      <c r="J1177" t="s">
        <v>56</v>
      </c>
      <c r="K1177" t="s">
        <v>16</v>
      </c>
      <c r="L1177" s="3">
        <v>2311.0971428571429</v>
      </c>
      <c r="M1177" t="s">
        <v>11</v>
      </c>
    </row>
    <row r="1178" spans="1:13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 s="3">
        <v>4954.67</v>
      </c>
      <c r="G1178" s="4">
        <v>0.6</v>
      </c>
      <c r="H1178" s="3">
        <v>29728.02</v>
      </c>
      <c r="I1178" s="1">
        <v>45852</v>
      </c>
      <c r="J1178" t="s">
        <v>56</v>
      </c>
      <c r="K1178" t="s">
        <v>23</v>
      </c>
      <c r="L1178" s="3">
        <v>11891.208000000001</v>
      </c>
      <c r="M1178" t="s">
        <v>11</v>
      </c>
    </row>
    <row r="1179" spans="1:13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F1179" s="3">
        <v>2501.5309999999999</v>
      </c>
      <c r="G1179" s="4">
        <v>0.6</v>
      </c>
      <c r="H1179" s="3">
        <v>7504.5929999999998</v>
      </c>
      <c r="I1179" s="1">
        <v>45672</v>
      </c>
      <c r="J1179" t="s">
        <v>18</v>
      </c>
      <c r="K1179" t="s">
        <v>23</v>
      </c>
      <c r="L1179" s="3">
        <v>3001.8371999999999</v>
      </c>
      <c r="M1179" t="s">
        <v>11</v>
      </c>
    </row>
    <row r="1180" spans="1:13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F1180" s="3">
        <v>2530.3836538461546</v>
      </c>
      <c r="G1180" s="4">
        <v>0.89</v>
      </c>
      <c r="H1180" s="3">
        <v>0</v>
      </c>
      <c r="I1180" s="1">
        <v>45782</v>
      </c>
      <c r="J1180" t="s">
        <v>40</v>
      </c>
      <c r="K1180" t="s">
        <v>16</v>
      </c>
      <c r="L1180" s="3">
        <v>0</v>
      </c>
      <c r="M1180" t="s">
        <v>2518</v>
      </c>
    </row>
    <row r="1181" spans="1:13" x14ac:dyDescent="0.3">
      <c r="A1181">
        <v>2179</v>
      </c>
      <c r="B1181" t="s">
        <v>1221</v>
      </c>
      <c r="C1181" t="s">
        <v>29</v>
      </c>
      <c r="D1181" t="s">
        <v>30</v>
      </c>
      <c r="E1181">
        <v>2</v>
      </c>
      <c r="F1181" s="3">
        <v>466.37</v>
      </c>
      <c r="G1181" s="4">
        <v>0.6</v>
      </c>
      <c r="H1181" s="3">
        <v>932.74</v>
      </c>
      <c r="I1181" s="1">
        <v>45782</v>
      </c>
      <c r="J1181" t="s">
        <v>56</v>
      </c>
      <c r="K1181" t="s">
        <v>23</v>
      </c>
      <c r="L1181" s="3">
        <v>373.096</v>
      </c>
      <c r="M1181" t="s">
        <v>2518</v>
      </c>
    </row>
    <row r="1182" spans="1:13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F1182" s="3">
        <v>2888.8714285714286</v>
      </c>
      <c r="G1182" s="4">
        <v>1.06</v>
      </c>
      <c r="H1182" s="3">
        <v>17333.228571428572</v>
      </c>
      <c r="I1182" s="1">
        <v>45694</v>
      </c>
      <c r="J1182" t="s">
        <v>15</v>
      </c>
      <c r="K1182" t="s">
        <v>23</v>
      </c>
      <c r="L1182" s="3">
        <v>-1039.9937142857152</v>
      </c>
      <c r="M1182" t="s">
        <v>2518</v>
      </c>
    </row>
    <row r="1183" spans="1:13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F1183" s="3">
        <v>2776.2202000000002</v>
      </c>
      <c r="G1183" s="4">
        <v>0.6</v>
      </c>
      <c r="H1183" s="3">
        <v>0</v>
      </c>
      <c r="I1183" s="1">
        <v>45679</v>
      </c>
      <c r="J1183" t="s">
        <v>22</v>
      </c>
      <c r="K1183" t="s">
        <v>23</v>
      </c>
      <c r="L1183" s="3">
        <v>0</v>
      </c>
      <c r="M1183" t="s">
        <v>2518</v>
      </c>
    </row>
    <row r="1184" spans="1:13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F1184" s="3">
        <v>2462.79</v>
      </c>
      <c r="G1184" s="4">
        <v>0.53</v>
      </c>
      <c r="H1184" s="3">
        <v>4925.58</v>
      </c>
      <c r="I1184" s="1">
        <v>45831</v>
      </c>
      <c r="J1184" t="s">
        <v>56</v>
      </c>
      <c r="K1184" t="s">
        <v>23</v>
      </c>
      <c r="L1184" s="3">
        <v>2315.0225999999998</v>
      </c>
      <c r="M1184" t="s">
        <v>11</v>
      </c>
    </row>
    <row r="1185" spans="1:13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 s="3">
        <v>1332.39</v>
      </c>
      <c r="G1185" s="4">
        <v>1.0900000000000001</v>
      </c>
      <c r="H1185" s="3">
        <v>-2664.78</v>
      </c>
      <c r="I1185" s="1">
        <v>45433</v>
      </c>
      <c r="J1185" t="s">
        <v>40</v>
      </c>
      <c r="K1185" t="s">
        <v>23</v>
      </c>
      <c r="L1185" s="3">
        <v>239.83020000000022</v>
      </c>
      <c r="M1185" t="s">
        <v>2518</v>
      </c>
    </row>
    <row r="1186" spans="1:13" x14ac:dyDescent="0.3">
      <c r="A1186">
        <v>2184</v>
      </c>
      <c r="B1186" t="s">
        <v>1226</v>
      </c>
      <c r="C1186" t="s">
        <v>25</v>
      </c>
      <c r="D1186" t="s">
        <v>54</v>
      </c>
      <c r="E1186">
        <v>2</v>
      </c>
      <c r="F1186" s="3">
        <v>1001.57</v>
      </c>
      <c r="G1186" s="4">
        <v>0.6</v>
      </c>
      <c r="H1186" s="3">
        <v>2003.14</v>
      </c>
      <c r="I1186" s="1">
        <v>45846</v>
      </c>
      <c r="J1186" t="s">
        <v>56</v>
      </c>
      <c r="K1186" t="s">
        <v>16</v>
      </c>
      <c r="L1186" s="3">
        <v>801.25600000000009</v>
      </c>
      <c r="M1186" t="s">
        <v>11</v>
      </c>
    </row>
    <row r="1187" spans="1:13" x14ac:dyDescent="0.3">
      <c r="A1187">
        <v>2185</v>
      </c>
      <c r="B1187" t="s">
        <v>1227</v>
      </c>
      <c r="C1187" t="s">
        <v>20</v>
      </c>
      <c r="D1187" t="s">
        <v>88</v>
      </c>
      <c r="E1187">
        <v>2</v>
      </c>
      <c r="F1187" s="3">
        <v>2725.8557142857148</v>
      </c>
      <c r="G1187" s="4">
        <v>0.14000000000000001</v>
      </c>
      <c r="H1187" s="3">
        <v>5451.7114285714297</v>
      </c>
      <c r="I1187" s="1">
        <v>45782</v>
      </c>
      <c r="J1187" t="s">
        <v>46</v>
      </c>
      <c r="K1187" t="s">
        <v>23</v>
      </c>
      <c r="L1187" s="3">
        <v>4688.4718285714298</v>
      </c>
      <c r="M1187" t="s">
        <v>11</v>
      </c>
    </row>
    <row r="1188" spans="1:13" x14ac:dyDescent="0.3">
      <c r="A1188">
        <v>2186</v>
      </c>
      <c r="B1188" t="s">
        <v>1228</v>
      </c>
      <c r="C1188" t="s">
        <v>29</v>
      </c>
      <c r="D1188" t="s">
        <v>30</v>
      </c>
      <c r="E1188">
        <v>2</v>
      </c>
      <c r="F1188" s="3">
        <v>2036.71</v>
      </c>
      <c r="G1188" s="4">
        <v>0.6</v>
      </c>
      <c r="H1188" s="3">
        <v>4073.42</v>
      </c>
      <c r="I1188" s="1">
        <v>45782</v>
      </c>
      <c r="J1188" t="s">
        <v>15</v>
      </c>
      <c r="K1188" t="s">
        <v>23</v>
      </c>
      <c r="L1188" s="3">
        <v>1629.3680000000002</v>
      </c>
      <c r="M1188" t="s">
        <v>11</v>
      </c>
    </row>
    <row r="1189" spans="1:13" x14ac:dyDescent="0.3">
      <c r="A1189">
        <v>2187</v>
      </c>
      <c r="B1189" t="s">
        <v>1229</v>
      </c>
      <c r="C1189" t="s">
        <v>29</v>
      </c>
      <c r="D1189" t="s">
        <v>120</v>
      </c>
      <c r="E1189">
        <v>2</v>
      </c>
      <c r="F1189" s="3">
        <v>2709.1</v>
      </c>
      <c r="G1189" s="4">
        <v>0.82</v>
      </c>
      <c r="H1189" s="3">
        <v>5418.2</v>
      </c>
      <c r="I1189" s="1">
        <v>45733</v>
      </c>
      <c r="J1189" t="s">
        <v>15</v>
      </c>
      <c r="K1189" t="s">
        <v>23</v>
      </c>
      <c r="L1189" s="3">
        <v>975.27600000000018</v>
      </c>
      <c r="M1189" t="s">
        <v>11</v>
      </c>
    </row>
    <row r="1190" spans="1:13" x14ac:dyDescent="0.3">
      <c r="A1190">
        <v>2188</v>
      </c>
      <c r="B1190" t="s">
        <v>1230</v>
      </c>
      <c r="C1190" t="s">
        <v>33</v>
      </c>
      <c r="D1190" t="s">
        <v>44</v>
      </c>
      <c r="E1190">
        <v>2</v>
      </c>
      <c r="F1190" s="3">
        <v>3027.66</v>
      </c>
      <c r="G1190" s="4">
        <v>1.21</v>
      </c>
      <c r="H1190" s="3">
        <v>6055.32</v>
      </c>
      <c r="I1190" s="1">
        <v>45827</v>
      </c>
      <c r="J1190" t="s">
        <v>18</v>
      </c>
      <c r="K1190" t="s">
        <v>23</v>
      </c>
      <c r="L1190" s="3">
        <v>-1271.6171999999997</v>
      </c>
      <c r="M1190" t="s">
        <v>2518</v>
      </c>
    </row>
    <row r="1191" spans="1:13" x14ac:dyDescent="0.3">
      <c r="A1191">
        <v>2189</v>
      </c>
      <c r="B1191" t="s">
        <v>1231</v>
      </c>
      <c r="C1191" t="s">
        <v>20</v>
      </c>
      <c r="D1191" t="s">
        <v>88</v>
      </c>
      <c r="E1191">
        <v>2</v>
      </c>
      <c r="F1191" s="3">
        <v>968.53</v>
      </c>
      <c r="G1191" s="4">
        <v>0.3</v>
      </c>
      <c r="H1191" s="3">
        <v>1937.06</v>
      </c>
      <c r="I1191" s="1">
        <v>45820</v>
      </c>
      <c r="J1191" t="s">
        <v>15</v>
      </c>
      <c r="K1191" t="s">
        <v>16</v>
      </c>
      <c r="L1191" s="3">
        <v>1355.9419999999998</v>
      </c>
      <c r="M1191" t="s">
        <v>11</v>
      </c>
    </row>
    <row r="1192" spans="1:13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 s="3">
        <v>3887.5</v>
      </c>
      <c r="G1192" s="4">
        <v>0.6</v>
      </c>
      <c r="H1192" s="3">
        <v>11662.5</v>
      </c>
      <c r="I1192" s="1">
        <v>45633</v>
      </c>
      <c r="J1192" t="s">
        <v>15</v>
      </c>
      <c r="K1192" t="s">
        <v>23</v>
      </c>
      <c r="L1192" s="3">
        <v>4665</v>
      </c>
      <c r="M1192" t="s">
        <v>11</v>
      </c>
    </row>
    <row r="1193" spans="1:13" x14ac:dyDescent="0.3">
      <c r="A1193">
        <v>2191</v>
      </c>
      <c r="B1193" t="s">
        <v>1233</v>
      </c>
      <c r="C1193" t="s">
        <v>20</v>
      </c>
      <c r="D1193" t="s">
        <v>122</v>
      </c>
      <c r="E1193">
        <v>2</v>
      </c>
      <c r="F1193" s="3">
        <v>2267.7199999999998</v>
      </c>
      <c r="G1193" s="4">
        <v>0.6</v>
      </c>
      <c r="H1193" s="3">
        <v>4535.4399999999996</v>
      </c>
      <c r="I1193" s="1">
        <v>45659</v>
      </c>
      <c r="J1193" t="s">
        <v>22</v>
      </c>
      <c r="K1193" t="s">
        <v>16</v>
      </c>
      <c r="L1193" s="3">
        <v>1814.1759999999999</v>
      </c>
      <c r="M1193" t="s">
        <v>11</v>
      </c>
    </row>
    <row r="1194" spans="1:13" x14ac:dyDescent="0.3">
      <c r="A1194">
        <v>2192</v>
      </c>
      <c r="B1194" t="s">
        <v>932</v>
      </c>
      <c r="C1194" t="s">
        <v>29</v>
      </c>
      <c r="D1194" t="s">
        <v>30</v>
      </c>
      <c r="E1194">
        <v>2</v>
      </c>
      <c r="F1194" s="3">
        <v>4218.96</v>
      </c>
      <c r="G1194" s="4">
        <v>0.01</v>
      </c>
      <c r="H1194" s="3">
        <v>8437.92</v>
      </c>
      <c r="I1194" s="1">
        <v>45328</v>
      </c>
      <c r="J1194" t="s">
        <v>46</v>
      </c>
      <c r="K1194" t="s">
        <v>23</v>
      </c>
      <c r="L1194" s="3">
        <v>8353.5408000000007</v>
      </c>
      <c r="M1194" t="s">
        <v>11</v>
      </c>
    </row>
    <row r="1195" spans="1:13" x14ac:dyDescent="0.3">
      <c r="A1195">
        <v>2193</v>
      </c>
      <c r="B1195" t="s">
        <v>1234</v>
      </c>
      <c r="C1195" t="s">
        <v>20</v>
      </c>
      <c r="D1195" t="s">
        <v>122</v>
      </c>
      <c r="E1195">
        <v>2</v>
      </c>
      <c r="F1195" s="3">
        <v>2712.09</v>
      </c>
      <c r="G1195" s="4">
        <v>0.6</v>
      </c>
      <c r="H1195" s="3">
        <v>5424.18</v>
      </c>
      <c r="I1195" s="1">
        <v>45526</v>
      </c>
      <c r="J1195" t="s">
        <v>56</v>
      </c>
      <c r="K1195" t="s">
        <v>16</v>
      </c>
      <c r="L1195" s="3">
        <v>2169.672</v>
      </c>
      <c r="M1195" t="s">
        <v>11</v>
      </c>
    </row>
    <row r="1196" spans="1:13" x14ac:dyDescent="0.3">
      <c r="A1196">
        <v>2194</v>
      </c>
      <c r="B1196" t="s">
        <v>1235</v>
      </c>
      <c r="C1196" t="s">
        <v>20</v>
      </c>
      <c r="D1196" t="s">
        <v>122</v>
      </c>
      <c r="E1196">
        <v>2</v>
      </c>
      <c r="F1196" s="3">
        <v>3862.58</v>
      </c>
      <c r="G1196" s="4">
        <v>0.6</v>
      </c>
      <c r="H1196" s="3">
        <v>7725.16</v>
      </c>
      <c r="I1196" s="1">
        <v>45855</v>
      </c>
      <c r="J1196" t="s">
        <v>18</v>
      </c>
      <c r="K1196" t="s">
        <v>23</v>
      </c>
      <c r="L1196" s="3">
        <v>3090.0640000000003</v>
      </c>
      <c r="M1196" t="s">
        <v>11</v>
      </c>
    </row>
    <row r="1197" spans="1:13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 s="3">
        <v>3491.26</v>
      </c>
      <c r="G1197" s="4">
        <v>0.6</v>
      </c>
      <c r="H1197" s="3">
        <v>13965.04</v>
      </c>
      <c r="I1197" s="1">
        <v>45782</v>
      </c>
      <c r="J1197" t="s">
        <v>56</v>
      </c>
      <c r="K1197" t="s">
        <v>16</v>
      </c>
      <c r="L1197" s="3">
        <v>5586.0160000000005</v>
      </c>
      <c r="M1197" t="s">
        <v>11</v>
      </c>
    </row>
    <row r="1198" spans="1:13" x14ac:dyDescent="0.3">
      <c r="A1198">
        <v>2196</v>
      </c>
      <c r="B1198" t="s">
        <v>1237</v>
      </c>
      <c r="C1198" t="s">
        <v>38</v>
      </c>
      <c r="D1198" t="s">
        <v>39</v>
      </c>
      <c r="E1198">
        <v>2</v>
      </c>
      <c r="F1198" s="3">
        <v>3655.37</v>
      </c>
      <c r="G1198" s="4">
        <v>0.6</v>
      </c>
      <c r="H1198" s="3">
        <v>7310.74</v>
      </c>
      <c r="I1198" s="1">
        <v>45413</v>
      </c>
      <c r="J1198" t="s">
        <v>56</v>
      </c>
      <c r="K1198" t="s">
        <v>16</v>
      </c>
      <c r="L1198" s="3">
        <v>2924.2960000000003</v>
      </c>
      <c r="M1198" t="s">
        <v>11</v>
      </c>
    </row>
    <row r="1199" spans="1:13" x14ac:dyDescent="0.3">
      <c r="A1199">
        <v>2197</v>
      </c>
      <c r="B1199" t="s">
        <v>1238</v>
      </c>
      <c r="C1199" t="s">
        <v>38</v>
      </c>
      <c r="D1199" t="s">
        <v>91</v>
      </c>
      <c r="E1199">
        <v>2</v>
      </c>
      <c r="F1199" s="3">
        <v>2868.7768181818178</v>
      </c>
      <c r="G1199" s="4">
        <v>0.6</v>
      </c>
      <c r="H1199" s="3">
        <v>5737.5536363636356</v>
      </c>
      <c r="I1199" s="1">
        <v>45598</v>
      </c>
      <c r="J1199" t="s">
        <v>18</v>
      </c>
      <c r="K1199" t="s">
        <v>16</v>
      </c>
      <c r="L1199" s="3">
        <v>2295.0214545454542</v>
      </c>
      <c r="M1199" t="s">
        <v>11</v>
      </c>
    </row>
    <row r="1200" spans="1:13" x14ac:dyDescent="0.3">
      <c r="A1200">
        <v>1004</v>
      </c>
      <c r="B1200" t="s">
        <v>1239</v>
      </c>
      <c r="C1200" t="s">
        <v>25</v>
      </c>
      <c r="D1200" t="s">
        <v>26</v>
      </c>
      <c r="E1200">
        <v>2</v>
      </c>
      <c r="F1200" s="3">
        <v>2888.8714285714286</v>
      </c>
      <c r="G1200" s="4">
        <v>0.64</v>
      </c>
      <c r="H1200" s="3">
        <v>5777.7428571428572</v>
      </c>
      <c r="I1200" s="1">
        <v>45658</v>
      </c>
      <c r="J1200" t="s">
        <v>46</v>
      </c>
      <c r="K1200" t="s">
        <v>23</v>
      </c>
      <c r="L1200" s="3">
        <v>2079.9874285714286</v>
      </c>
      <c r="M1200" t="s">
        <v>11</v>
      </c>
    </row>
    <row r="1201" spans="1:13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F1201" s="3">
        <v>2487.039615384615</v>
      </c>
      <c r="G1201" s="4">
        <v>0.6</v>
      </c>
      <c r="H1201" s="3">
        <v>14922.23769230769</v>
      </c>
      <c r="I1201" s="1">
        <v>45815</v>
      </c>
      <c r="J1201" t="s">
        <v>56</v>
      </c>
      <c r="K1201" t="s">
        <v>23</v>
      </c>
      <c r="L1201" s="3">
        <v>5968.895076923076</v>
      </c>
      <c r="M1201" t="s">
        <v>11</v>
      </c>
    </row>
    <row r="1202" spans="1:13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 s="3">
        <v>1346.11</v>
      </c>
      <c r="G1202" s="4">
        <v>0.72</v>
      </c>
      <c r="H1202" s="3">
        <v>-1346.11</v>
      </c>
      <c r="I1202" s="1">
        <v>45782</v>
      </c>
      <c r="J1202" t="s">
        <v>22</v>
      </c>
      <c r="K1202" t="s">
        <v>23</v>
      </c>
      <c r="L1202" s="3">
        <v>-376.91079999999999</v>
      </c>
      <c r="M1202" t="s">
        <v>2518</v>
      </c>
    </row>
    <row r="1203" spans="1:13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F1203" s="3">
        <v>2845.2419672131159</v>
      </c>
      <c r="G1203" s="4">
        <v>0.6</v>
      </c>
      <c r="H1203" s="3">
        <v>-2845.2419672131159</v>
      </c>
      <c r="I1203" s="1">
        <v>45782</v>
      </c>
      <c r="J1203" t="s">
        <v>40</v>
      </c>
      <c r="K1203" t="s">
        <v>23</v>
      </c>
      <c r="L1203" s="3">
        <v>-1138.0967868852465</v>
      </c>
      <c r="M1203" t="s">
        <v>2518</v>
      </c>
    </row>
    <row r="1204" spans="1:13" x14ac:dyDescent="0.3">
      <c r="A1204">
        <v>2202</v>
      </c>
      <c r="B1204" t="s">
        <v>1243</v>
      </c>
      <c r="C1204" t="s">
        <v>13</v>
      </c>
      <c r="D1204" t="s">
        <v>49</v>
      </c>
      <c r="E1204">
        <v>2</v>
      </c>
      <c r="F1204" s="3">
        <v>2785.0877966101693</v>
      </c>
      <c r="G1204" s="4">
        <v>0.92</v>
      </c>
      <c r="H1204" s="3">
        <v>5570.1755932203387</v>
      </c>
      <c r="I1204" s="1">
        <v>45314</v>
      </c>
      <c r="J1204" t="s">
        <v>18</v>
      </c>
      <c r="K1204" t="s">
        <v>16</v>
      </c>
      <c r="L1204" s="3">
        <v>445.6140474576269</v>
      </c>
      <c r="M1204" t="s">
        <v>2518</v>
      </c>
    </row>
    <row r="1205" spans="1:13" x14ac:dyDescent="0.3">
      <c r="A1205">
        <v>2203</v>
      </c>
      <c r="B1205" t="s">
        <v>1244</v>
      </c>
      <c r="C1205" t="s">
        <v>38</v>
      </c>
      <c r="D1205" t="s">
        <v>59</v>
      </c>
      <c r="E1205">
        <v>2</v>
      </c>
      <c r="F1205" s="3">
        <v>1611.02</v>
      </c>
      <c r="G1205" s="4">
        <v>0.6</v>
      </c>
      <c r="H1205" s="3">
        <v>3222.04</v>
      </c>
      <c r="I1205" s="1">
        <v>45843</v>
      </c>
      <c r="J1205" t="s">
        <v>46</v>
      </c>
      <c r="K1205" t="s">
        <v>16</v>
      </c>
      <c r="L1205" s="3">
        <v>1288.816</v>
      </c>
      <c r="M1205" t="s">
        <v>11</v>
      </c>
    </row>
    <row r="1206" spans="1:13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F1206" s="3">
        <v>2530.3836538461546</v>
      </c>
      <c r="G1206" s="4">
        <v>0.6</v>
      </c>
      <c r="H1206" s="3">
        <v>5060.7673076923093</v>
      </c>
      <c r="I1206" s="1">
        <v>45782</v>
      </c>
      <c r="J1206" t="s">
        <v>40</v>
      </c>
      <c r="K1206" t="s">
        <v>23</v>
      </c>
      <c r="L1206" s="3">
        <v>2024.3069230769238</v>
      </c>
      <c r="M1206" t="s">
        <v>11</v>
      </c>
    </row>
    <row r="1207" spans="1:13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F1207" s="3">
        <v>2776.2202000000002</v>
      </c>
      <c r="G1207" s="4">
        <v>0.14000000000000001</v>
      </c>
      <c r="H1207" s="3">
        <v>-5552.4404000000004</v>
      </c>
      <c r="I1207" s="1">
        <v>45270</v>
      </c>
      <c r="J1207" t="s">
        <v>56</v>
      </c>
      <c r="K1207" t="s">
        <v>16</v>
      </c>
      <c r="L1207" s="3">
        <v>-4775.0987439999999</v>
      </c>
      <c r="M1207" t="s">
        <v>2518</v>
      </c>
    </row>
    <row r="1208" spans="1:13" x14ac:dyDescent="0.3">
      <c r="A1208">
        <v>2206</v>
      </c>
      <c r="B1208" t="s">
        <v>801</v>
      </c>
      <c r="C1208" t="s">
        <v>29</v>
      </c>
      <c r="D1208" t="s">
        <v>120</v>
      </c>
      <c r="E1208">
        <v>2</v>
      </c>
      <c r="F1208" s="3">
        <v>2349.3000000000002</v>
      </c>
      <c r="G1208" s="4">
        <v>0.18</v>
      </c>
      <c r="H1208" s="3">
        <v>4698.6000000000004</v>
      </c>
      <c r="I1208" s="1">
        <v>45705</v>
      </c>
      <c r="J1208" t="s">
        <v>15</v>
      </c>
      <c r="K1208" t="s">
        <v>23</v>
      </c>
      <c r="L1208" s="3">
        <v>3852.8520000000008</v>
      </c>
      <c r="M1208" t="s">
        <v>11</v>
      </c>
    </row>
    <row r="1209" spans="1:13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 s="3">
        <v>2146.0700000000002</v>
      </c>
      <c r="G1209" s="4">
        <v>0.6</v>
      </c>
      <c r="H1209" s="3">
        <v>6438.2100000000009</v>
      </c>
      <c r="I1209" s="1">
        <v>45782</v>
      </c>
      <c r="J1209" t="s">
        <v>46</v>
      </c>
      <c r="K1209" t="s">
        <v>16</v>
      </c>
      <c r="L1209" s="3">
        <v>2575.2840000000006</v>
      </c>
      <c r="M1209" t="s">
        <v>11</v>
      </c>
    </row>
    <row r="1210" spans="1:13" x14ac:dyDescent="0.3">
      <c r="A1210">
        <v>2208</v>
      </c>
      <c r="B1210" t="s">
        <v>1248</v>
      </c>
      <c r="C1210" t="s">
        <v>29</v>
      </c>
      <c r="D1210" t="s">
        <v>42</v>
      </c>
      <c r="E1210">
        <v>2</v>
      </c>
      <c r="F1210" s="3">
        <v>2559.6667307692314</v>
      </c>
      <c r="G1210" s="4">
        <v>0.6</v>
      </c>
      <c r="H1210" s="3">
        <v>5119.3334615384629</v>
      </c>
      <c r="I1210" s="1">
        <v>45703</v>
      </c>
      <c r="J1210" t="s">
        <v>46</v>
      </c>
      <c r="K1210" t="s">
        <v>23</v>
      </c>
      <c r="L1210" s="3">
        <v>2047.7333846153851</v>
      </c>
      <c r="M1210" t="s">
        <v>11</v>
      </c>
    </row>
    <row r="1211" spans="1:13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F1211" s="3">
        <v>2487.039615384615</v>
      </c>
      <c r="G1211" s="4">
        <v>0.95</v>
      </c>
      <c r="H1211" s="3">
        <v>-4974.07923076923</v>
      </c>
      <c r="I1211" s="1">
        <v>45782</v>
      </c>
      <c r="J1211" t="s">
        <v>46</v>
      </c>
      <c r="K1211" t="s">
        <v>23</v>
      </c>
      <c r="L1211" s="3">
        <v>-248.70396153846173</v>
      </c>
      <c r="M1211" t="s">
        <v>2518</v>
      </c>
    </row>
    <row r="1212" spans="1:13" x14ac:dyDescent="0.3">
      <c r="A1212">
        <v>2210</v>
      </c>
      <c r="B1212" t="s">
        <v>1250</v>
      </c>
      <c r="C1212" t="s">
        <v>20</v>
      </c>
      <c r="D1212" t="s">
        <v>80</v>
      </c>
      <c r="E1212">
        <v>2</v>
      </c>
      <c r="F1212" s="3">
        <v>4368.12</v>
      </c>
      <c r="G1212" s="4">
        <v>0.6</v>
      </c>
      <c r="H1212" s="3">
        <v>8736.24</v>
      </c>
      <c r="I1212" s="1">
        <v>45779</v>
      </c>
      <c r="J1212" t="s">
        <v>15</v>
      </c>
      <c r="K1212" t="s">
        <v>16</v>
      </c>
      <c r="L1212" s="3">
        <v>3494.4960000000001</v>
      </c>
      <c r="M1212" t="s">
        <v>11</v>
      </c>
    </row>
    <row r="1213" spans="1:13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F1213" s="3">
        <v>2725.8557142857148</v>
      </c>
      <c r="G1213" s="4">
        <v>1.08</v>
      </c>
      <c r="H1213" s="3">
        <v>5451.7114285714297</v>
      </c>
      <c r="I1213" s="1">
        <v>45416</v>
      </c>
      <c r="J1213" t="s">
        <v>22</v>
      </c>
      <c r="K1213" t="s">
        <v>23</v>
      </c>
      <c r="L1213" s="3">
        <v>-436.13691428571474</v>
      </c>
      <c r="M1213" t="s">
        <v>2518</v>
      </c>
    </row>
    <row r="1214" spans="1:13" x14ac:dyDescent="0.3">
      <c r="A1214">
        <v>1031</v>
      </c>
      <c r="B1214" t="s">
        <v>1252</v>
      </c>
      <c r="C1214" t="s">
        <v>33</v>
      </c>
      <c r="D1214" t="s">
        <v>44</v>
      </c>
      <c r="E1214">
        <v>2</v>
      </c>
      <c r="F1214" s="3">
        <v>2841.7630612244907</v>
      </c>
      <c r="G1214" s="4">
        <v>0.57999999999999996</v>
      </c>
      <c r="H1214" s="3">
        <v>5683.5261224489814</v>
      </c>
      <c r="I1214" s="1">
        <v>45782</v>
      </c>
      <c r="J1214" t="s">
        <v>15</v>
      </c>
      <c r="K1214" t="s">
        <v>16</v>
      </c>
      <c r="L1214" s="3">
        <v>2387.0809714285724</v>
      </c>
      <c r="M1214" t="s">
        <v>11</v>
      </c>
    </row>
    <row r="1215" spans="1:13" x14ac:dyDescent="0.3">
      <c r="A1215">
        <v>2213</v>
      </c>
      <c r="B1215" t="s">
        <v>1253</v>
      </c>
      <c r="C1215" t="s">
        <v>13</v>
      </c>
      <c r="D1215" t="s">
        <v>36</v>
      </c>
      <c r="E1215">
        <v>2</v>
      </c>
      <c r="F1215" s="3">
        <v>2543.9299999999998</v>
      </c>
      <c r="G1215" s="4">
        <v>0.6</v>
      </c>
      <c r="H1215" s="3">
        <v>5087.8599999999997</v>
      </c>
      <c r="I1215" s="1">
        <v>45824</v>
      </c>
      <c r="J1215" t="s">
        <v>18</v>
      </c>
      <c r="K1215" t="s">
        <v>16</v>
      </c>
      <c r="L1215" s="3">
        <v>2035.144</v>
      </c>
      <c r="M1215" t="s">
        <v>11</v>
      </c>
    </row>
    <row r="1216" spans="1:13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 s="3">
        <v>4854.03</v>
      </c>
      <c r="G1216" s="4">
        <v>0.6</v>
      </c>
      <c r="H1216" s="3">
        <v>-4854.03</v>
      </c>
      <c r="I1216" s="1">
        <v>45577</v>
      </c>
      <c r="J1216" t="s">
        <v>18</v>
      </c>
      <c r="K1216" t="s">
        <v>23</v>
      </c>
      <c r="L1216" s="3">
        <v>-1941.6120000000001</v>
      </c>
      <c r="M1216" t="s">
        <v>2518</v>
      </c>
    </row>
    <row r="1217" spans="1:13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 s="3">
        <v>442.41</v>
      </c>
      <c r="G1217" s="4">
        <v>0.6</v>
      </c>
      <c r="H1217" s="3">
        <v>-884.82</v>
      </c>
      <c r="I1217" s="1">
        <v>45782</v>
      </c>
      <c r="J1217" t="s">
        <v>15</v>
      </c>
      <c r="K1217" t="s">
        <v>16</v>
      </c>
      <c r="L1217" s="3">
        <v>-353.92800000000005</v>
      </c>
      <c r="M1217" t="s">
        <v>2518</v>
      </c>
    </row>
    <row r="1218" spans="1:13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F1218" s="3">
        <v>2725.8557142857148</v>
      </c>
      <c r="G1218" s="4">
        <v>0.05</v>
      </c>
      <c r="H1218" s="3">
        <v>8177.5671428571441</v>
      </c>
      <c r="I1218" s="1">
        <v>45795</v>
      </c>
      <c r="J1218" t="s">
        <v>46</v>
      </c>
      <c r="K1218" t="s">
        <v>23</v>
      </c>
      <c r="L1218" s="3">
        <v>7768.6887857142865</v>
      </c>
      <c r="M1218" t="s">
        <v>11</v>
      </c>
    </row>
    <row r="1219" spans="1:13" x14ac:dyDescent="0.3">
      <c r="A1219">
        <v>2217</v>
      </c>
      <c r="B1219" t="s">
        <v>1257</v>
      </c>
      <c r="C1219" t="s">
        <v>13</v>
      </c>
      <c r="D1219" t="s">
        <v>102</v>
      </c>
      <c r="E1219">
        <v>2</v>
      </c>
      <c r="F1219" s="3">
        <v>1540.5</v>
      </c>
      <c r="G1219" s="4">
        <v>0.6</v>
      </c>
      <c r="H1219" s="3">
        <v>3081</v>
      </c>
      <c r="I1219" s="1">
        <v>45639</v>
      </c>
      <c r="J1219" t="s">
        <v>22</v>
      </c>
      <c r="K1219" t="s">
        <v>23</v>
      </c>
      <c r="L1219" s="3">
        <v>1232.4000000000001</v>
      </c>
      <c r="M1219" t="s">
        <v>11</v>
      </c>
    </row>
    <row r="1220" spans="1:13" x14ac:dyDescent="0.3">
      <c r="A1220">
        <v>2218</v>
      </c>
      <c r="B1220" t="s">
        <v>1258</v>
      </c>
      <c r="C1220" t="s">
        <v>13</v>
      </c>
      <c r="D1220" t="s">
        <v>102</v>
      </c>
      <c r="E1220">
        <v>2</v>
      </c>
      <c r="F1220" s="3">
        <v>2576.3056896551716</v>
      </c>
      <c r="G1220" s="4">
        <v>0.6</v>
      </c>
      <c r="H1220" s="3">
        <v>5152.6113793103432</v>
      </c>
      <c r="I1220" s="1">
        <v>45680</v>
      </c>
      <c r="J1220" t="s">
        <v>56</v>
      </c>
      <c r="K1220" t="s">
        <v>23</v>
      </c>
      <c r="L1220" s="3">
        <v>2061.0445517241374</v>
      </c>
      <c r="M1220" t="s">
        <v>11</v>
      </c>
    </row>
    <row r="1221" spans="1:13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 s="3">
        <v>2403.9499999999998</v>
      </c>
      <c r="G1221" s="4">
        <v>0.6</v>
      </c>
      <c r="H1221" s="3">
        <v>9615.7999999999993</v>
      </c>
      <c r="I1221" s="1">
        <v>45588</v>
      </c>
      <c r="J1221" t="s">
        <v>22</v>
      </c>
      <c r="K1221" t="s">
        <v>16</v>
      </c>
      <c r="L1221" s="3">
        <v>3846.3199999999997</v>
      </c>
      <c r="M1221" t="s">
        <v>11</v>
      </c>
    </row>
    <row r="1222" spans="1:13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 s="3">
        <v>2170.71</v>
      </c>
      <c r="G1222" s="4">
        <v>0.57999999999999996</v>
      </c>
      <c r="H1222" s="3">
        <v>-2170.71</v>
      </c>
      <c r="I1222" s="1">
        <v>45810</v>
      </c>
      <c r="J1222" t="s">
        <v>40</v>
      </c>
      <c r="K1222" t="s">
        <v>23</v>
      </c>
      <c r="L1222" s="3">
        <v>-911.69820000000016</v>
      </c>
      <c r="M1222" t="s">
        <v>2518</v>
      </c>
    </row>
    <row r="1223" spans="1:13" x14ac:dyDescent="0.3">
      <c r="A1223">
        <v>2221</v>
      </c>
      <c r="B1223" t="s">
        <v>468</v>
      </c>
      <c r="C1223" t="s">
        <v>33</v>
      </c>
      <c r="D1223" t="s">
        <v>34</v>
      </c>
      <c r="E1223">
        <v>2</v>
      </c>
      <c r="F1223" s="3">
        <v>1762.23</v>
      </c>
      <c r="G1223" s="4">
        <v>0.6</v>
      </c>
      <c r="H1223" s="3">
        <v>3524.46</v>
      </c>
      <c r="I1223" s="1">
        <v>45560</v>
      </c>
      <c r="J1223" t="s">
        <v>40</v>
      </c>
      <c r="K1223" t="s">
        <v>16</v>
      </c>
      <c r="L1223" s="3">
        <v>1409.7840000000001</v>
      </c>
      <c r="M1223" t="s">
        <v>11</v>
      </c>
    </row>
    <row r="1224" spans="1:13" x14ac:dyDescent="0.3">
      <c r="A1224">
        <v>2222</v>
      </c>
      <c r="B1224" t="s">
        <v>1261</v>
      </c>
      <c r="C1224" t="s">
        <v>38</v>
      </c>
      <c r="D1224" t="s">
        <v>63</v>
      </c>
      <c r="E1224">
        <v>2</v>
      </c>
      <c r="F1224" s="3">
        <v>2161.8000000000002</v>
      </c>
      <c r="G1224" s="4">
        <v>0.6</v>
      </c>
      <c r="H1224" s="3">
        <v>4323.6000000000004</v>
      </c>
      <c r="I1224" s="1">
        <v>45782</v>
      </c>
      <c r="J1224" t="s">
        <v>18</v>
      </c>
      <c r="K1224" t="s">
        <v>23</v>
      </c>
      <c r="L1224" s="3">
        <v>1729.4400000000003</v>
      </c>
      <c r="M1224" t="s">
        <v>11</v>
      </c>
    </row>
    <row r="1225" spans="1:13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 s="3">
        <v>3445.9</v>
      </c>
      <c r="G1225" s="4">
        <v>0.81</v>
      </c>
      <c r="H1225" s="3">
        <v>-3445.9</v>
      </c>
      <c r="I1225" s="1">
        <v>45654</v>
      </c>
      <c r="J1225" t="s">
        <v>22</v>
      </c>
      <c r="K1225" t="s">
        <v>23</v>
      </c>
      <c r="L1225" s="3">
        <v>-654.72099999999989</v>
      </c>
      <c r="M1225" t="s">
        <v>2518</v>
      </c>
    </row>
    <row r="1226" spans="1:13" x14ac:dyDescent="0.3">
      <c r="A1226">
        <v>2224</v>
      </c>
      <c r="B1226" t="s">
        <v>1263</v>
      </c>
      <c r="C1226" t="s">
        <v>25</v>
      </c>
      <c r="D1226" t="s">
        <v>66</v>
      </c>
      <c r="E1226">
        <v>2</v>
      </c>
      <c r="F1226" s="3">
        <v>2572.7764000000006</v>
      </c>
      <c r="G1226" s="4">
        <v>0.6</v>
      </c>
      <c r="H1226" s="3">
        <v>5145.5528000000013</v>
      </c>
      <c r="I1226" s="1">
        <v>45621</v>
      </c>
      <c r="J1226" t="s">
        <v>18</v>
      </c>
      <c r="K1226" t="s">
        <v>23</v>
      </c>
      <c r="L1226" s="3">
        <v>2058.2211200000006</v>
      </c>
      <c r="M1226" t="s">
        <v>11</v>
      </c>
    </row>
    <row r="1227" spans="1:13" x14ac:dyDescent="0.3">
      <c r="A1227">
        <v>2225</v>
      </c>
      <c r="B1227" t="s">
        <v>1264</v>
      </c>
      <c r="C1227" t="s">
        <v>29</v>
      </c>
      <c r="D1227" t="s">
        <v>141</v>
      </c>
      <c r="E1227">
        <v>2</v>
      </c>
      <c r="F1227" s="3">
        <v>2462.79</v>
      </c>
      <c r="G1227" s="4">
        <v>0.6</v>
      </c>
      <c r="H1227" s="3">
        <v>4925.58</v>
      </c>
      <c r="I1227" s="1">
        <v>45782</v>
      </c>
      <c r="J1227" t="s">
        <v>56</v>
      </c>
      <c r="K1227" t="s">
        <v>23</v>
      </c>
      <c r="L1227" s="3">
        <v>1970.232</v>
      </c>
      <c r="M1227" t="s">
        <v>11</v>
      </c>
    </row>
    <row r="1228" spans="1:13" x14ac:dyDescent="0.3">
      <c r="A1228">
        <v>2226</v>
      </c>
      <c r="B1228" t="s">
        <v>1265</v>
      </c>
      <c r="C1228" t="s">
        <v>33</v>
      </c>
      <c r="D1228" t="s">
        <v>82</v>
      </c>
      <c r="E1228">
        <v>2</v>
      </c>
      <c r="F1228" s="3">
        <v>4484.13</v>
      </c>
      <c r="G1228" s="4">
        <v>0.79</v>
      </c>
      <c r="H1228" s="3">
        <v>8968.26</v>
      </c>
      <c r="I1228" s="1">
        <v>45782</v>
      </c>
      <c r="J1228" t="s">
        <v>56</v>
      </c>
      <c r="K1228" t="s">
        <v>23</v>
      </c>
      <c r="L1228" s="3">
        <v>1883.3345999999997</v>
      </c>
      <c r="M1228" t="s">
        <v>11</v>
      </c>
    </row>
    <row r="1229" spans="1:13" x14ac:dyDescent="0.3">
      <c r="A1229">
        <v>2227</v>
      </c>
      <c r="B1229" t="s">
        <v>1266</v>
      </c>
      <c r="C1229" t="s">
        <v>38</v>
      </c>
      <c r="D1229" t="s">
        <v>63</v>
      </c>
      <c r="E1229">
        <v>2</v>
      </c>
      <c r="F1229" s="3">
        <v>2845.2419672131159</v>
      </c>
      <c r="G1229" s="4">
        <v>0.6</v>
      </c>
      <c r="H1229" s="3">
        <v>5690.4839344262318</v>
      </c>
      <c r="I1229" s="1">
        <v>45846</v>
      </c>
      <c r="J1229" t="s">
        <v>46</v>
      </c>
      <c r="K1229" t="s">
        <v>23</v>
      </c>
      <c r="L1229" s="3">
        <v>2276.193573770493</v>
      </c>
      <c r="M1229" t="s">
        <v>11</v>
      </c>
    </row>
    <row r="1230" spans="1:13" x14ac:dyDescent="0.3">
      <c r="A1230">
        <v>2228</v>
      </c>
      <c r="B1230" t="s">
        <v>1267</v>
      </c>
      <c r="C1230" t="s">
        <v>29</v>
      </c>
      <c r="D1230" t="s">
        <v>42</v>
      </c>
      <c r="E1230">
        <v>2</v>
      </c>
      <c r="F1230" s="3">
        <v>2559.6667307692314</v>
      </c>
      <c r="G1230" s="4">
        <v>0.93</v>
      </c>
      <c r="H1230" s="3">
        <v>5119.3334615384629</v>
      </c>
      <c r="I1230" s="1">
        <v>45675</v>
      </c>
      <c r="J1230" t="s">
        <v>56</v>
      </c>
      <c r="K1230" t="s">
        <v>16</v>
      </c>
      <c r="L1230" s="3">
        <v>358.35334230769217</v>
      </c>
      <c r="M1230" t="s">
        <v>2518</v>
      </c>
    </row>
    <row r="1231" spans="1:13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F1231" s="3">
        <v>2681.1743636363635</v>
      </c>
      <c r="G1231" s="4">
        <v>0.6</v>
      </c>
      <c r="H1231" s="3">
        <v>2681.1743636363635</v>
      </c>
      <c r="I1231" s="1">
        <v>45495</v>
      </c>
      <c r="J1231" t="s">
        <v>22</v>
      </c>
      <c r="K1231" t="s">
        <v>23</v>
      </c>
      <c r="L1231" s="3">
        <v>1072.4697454545455</v>
      </c>
      <c r="M1231" t="s">
        <v>11</v>
      </c>
    </row>
    <row r="1232" spans="1:13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 s="3">
        <v>4524.6400000000003</v>
      </c>
      <c r="G1232" s="4">
        <v>1.0900000000000001</v>
      </c>
      <c r="H1232" s="3">
        <v>13573.920000000002</v>
      </c>
      <c r="I1232" s="1">
        <v>45806</v>
      </c>
      <c r="J1232" t="s">
        <v>46</v>
      </c>
      <c r="K1232" t="s">
        <v>16</v>
      </c>
      <c r="L1232" s="3">
        <v>-1221.6528000000012</v>
      </c>
      <c r="M1232" t="s">
        <v>2518</v>
      </c>
    </row>
    <row r="1233" spans="1:13" x14ac:dyDescent="0.3">
      <c r="A1233">
        <v>2231</v>
      </c>
      <c r="B1233" t="s">
        <v>1270</v>
      </c>
      <c r="C1233" t="s">
        <v>25</v>
      </c>
      <c r="D1233" t="s">
        <v>26</v>
      </c>
      <c r="E1233">
        <v>2</v>
      </c>
      <c r="F1233" s="3">
        <v>2888.8714285714286</v>
      </c>
      <c r="G1233" s="4">
        <v>0.6</v>
      </c>
      <c r="H1233" s="3">
        <v>5777.7428571428572</v>
      </c>
      <c r="I1233" s="1">
        <v>45709</v>
      </c>
      <c r="J1233" t="s">
        <v>18</v>
      </c>
      <c r="K1233" t="s">
        <v>16</v>
      </c>
      <c r="L1233" s="3">
        <v>2311.0971428571429</v>
      </c>
      <c r="M1233" t="s">
        <v>11</v>
      </c>
    </row>
    <row r="1234" spans="1:13" x14ac:dyDescent="0.3">
      <c r="A1234">
        <v>2232</v>
      </c>
      <c r="B1234" t="s">
        <v>1271</v>
      </c>
      <c r="C1234" t="s">
        <v>38</v>
      </c>
      <c r="D1234" t="s">
        <v>39</v>
      </c>
      <c r="E1234">
        <v>2</v>
      </c>
      <c r="F1234" s="3">
        <v>3008.3844444444444</v>
      </c>
      <c r="G1234" s="4">
        <v>0.6</v>
      </c>
      <c r="H1234" s="3">
        <v>6016.7688888888888</v>
      </c>
      <c r="I1234" s="1">
        <v>45800</v>
      </c>
      <c r="J1234" t="s">
        <v>15</v>
      </c>
      <c r="K1234" t="s">
        <v>23</v>
      </c>
      <c r="L1234" s="3">
        <v>2406.7075555555557</v>
      </c>
      <c r="M1234" t="s">
        <v>11</v>
      </c>
    </row>
    <row r="1235" spans="1:13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 s="3">
        <v>4604.8500000000004</v>
      </c>
      <c r="G1235" s="4">
        <v>0.14000000000000001</v>
      </c>
      <c r="H1235" s="3">
        <v>4604.8500000000004</v>
      </c>
      <c r="I1235" s="1">
        <v>45854</v>
      </c>
      <c r="J1235" t="s">
        <v>56</v>
      </c>
      <c r="K1235" t="s">
        <v>23</v>
      </c>
      <c r="L1235" s="3">
        <v>3960.1710000000003</v>
      </c>
      <c r="M1235" t="s">
        <v>11</v>
      </c>
    </row>
    <row r="1236" spans="1:13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F1236" s="3">
        <v>2462.79</v>
      </c>
      <c r="G1236" s="4">
        <v>0.6</v>
      </c>
      <c r="H1236" s="3">
        <v>-4925.58</v>
      </c>
      <c r="I1236" s="1">
        <v>45248</v>
      </c>
      <c r="J1236" t="s">
        <v>22</v>
      </c>
      <c r="K1236" t="s">
        <v>16</v>
      </c>
      <c r="L1236" s="3">
        <v>-1970.232</v>
      </c>
      <c r="M1236" t="s">
        <v>2518</v>
      </c>
    </row>
    <row r="1237" spans="1:13" x14ac:dyDescent="0.3">
      <c r="A1237">
        <v>2235</v>
      </c>
      <c r="B1237" t="s">
        <v>1274</v>
      </c>
      <c r="C1237" t="s">
        <v>13</v>
      </c>
      <c r="D1237" t="s">
        <v>49</v>
      </c>
      <c r="E1237">
        <v>2</v>
      </c>
      <c r="F1237" s="3">
        <v>2785.0877966101693</v>
      </c>
      <c r="G1237" s="4">
        <v>0.6</v>
      </c>
      <c r="H1237" s="3">
        <v>5570.1755932203387</v>
      </c>
      <c r="I1237" s="1">
        <v>45696</v>
      </c>
      <c r="J1237" t="s">
        <v>22</v>
      </c>
      <c r="K1237" t="s">
        <v>23</v>
      </c>
      <c r="L1237" s="3">
        <v>2228.0702372881356</v>
      </c>
      <c r="M1237" t="s">
        <v>11</v>
      </c>
    </row>
    <row r="1238" spans="1:13" x14ac:dyDescent="0.3">
      <c r="A1238">
        <v>2236</v>
      </c>
      <c r="B1238" t="s">
        <v>1275</v>
      </c>
      <c r="C1238" t="s">
        <v>25</v>
      </c>
      <c r="D1238" t="s">
        <v>66</v>
      </c>
      <c r="E1238">
        <v>2</v>
      </c>
      <c r="F1238" s="3">
        <v>2420.16</v>
      </c>
      <c r="G1238" s="4">
        <v>0.6</v>
      </c>
      <c r="H1238" s="3">
        <v>4840.32</v>
      </c>
      <c r="I1238" s="1">
        <v>45800</v>
      </c>
      <c r="J1238" t="s">
        <v>15</v>
      </c>
      <c r="K1238" t="s">
        <v>16</v>
      </c>
      <c r="L1238" s="3">
        <v>1936.1279999999999</v>
      </c>
      <c r="M1238" t="s">
        <v>11</v>
      </c>
    </row>
    <row r="1239" spans="1:13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 s="3">
        <v>2496.17</v>
      </c>
      <c r="G1239" s="4">
        <v>1.1100000000000001</v>
      </c>
      <c r="H1239" s="3">
        <v>2496.17</v>
      </c>
      <c r="I1239" s="1">
        <v>45669</v>
      </c>
      <c r="J1239" t="s">
        <v>46</v>
      </c>
      <c r="K1239" t="s">
        <v>16</v>
      </c>
      <c r="L1239" s="3">
        <v>-274.57870000000025</v>
      </c>
      <c r="M1239" t="s">
        <v>2518</v>
      </c>
    </row>
    <row r="1240" spans="1:13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 s="3">
        <v>4808.3500000000004</v>
      </c>
      <c r="G1240" s="4">
        <v>0.6</v>
      </c>
      <c r="H1240" s="3">
        <v>-4808.3500000000004</v>
      </c>
      <c r="I1240" s="1">
        <v>45744</v>
      </c>
      <c r="J1240" t="s">
        <v>18</v>
      </c>
      <c r="K1240" t="s">
        <v>23</v>
      </c>
      <c r="L1240" s="3">
        <v>-1923.3400000000001</v>
      </c>
      <c r="M1240" t="s">
        <v>2518</v>
      </c>
    </row>
    <row r="1241" spans="1:13" x14ac:dyDescent="0.3">
      <c r="A1241">
        <v>2239</v>
      </c>
      <c r="B1241" t="s">
        <v>1278</v>
      </c>
      <c r="C1241" t="s">
        <v>29</v>
      </c>
      <c r="D1241" t="s">
        <v>120</v>
      </c>
      <c r="E1241">
        <v>2</v>
      </c>
      <c r="F1241" s="3">
        <v>3427.66</v>
      </c>
      <c r="G1241" s="4">
        <v>0.6</v>
      </c>
      <c r="H1241" s="3">
        <v>6855.32</v>
      </c>
      <c r="I1241" s="1">
        <v>45627</v>
      </c>
      <c r="J1241" t="s">
        <v>22</v>
      </c>
      <c r="K1241" t="s">
        <v>16</v>
      </c>
      <c r="L1241" s="3">
        <v>2742.1280000000002</v>
      </c>
      <c r="M1241" t="s">
        <v>11</v>
      </c>
    </row>
    <row r="1242" spans="1:13" x14ac:dyDescent="0.3">
      <c r="A1242">
        <v>2240</v>
      </c>
      <c r="B1242" t="s">
        <v>1279</v>
      </c>
      <c r="C1242" t="s">
        <v>33</v>
      </c>
      <c r="D1242" t="s">
        <v>44</v>
      </c>
      <c r="E1242">
        <v>2</v>
      </c>
      <c r="F1242" s="3">
        <v>4205.29</v>
      </c>
      <c r="G1242" s="4">
        <v>0.6</v>
      </c>
      <c r="H1242" s="3">
        <v>8410.58</v>
      </c>
      <c r="I1242" s="1">
        <v>45562</v>
      </c>
      <c r="J1242" t="s">
        <v>56</v>
      </c>
      <c r="K1242" t="s">
        <v>23</v>
      </c>
      <c r="L1242" s="3">
        <v>3364.232</v>
      </c>
      <c r="M1242" t="s">
        <v>11</v>
      </c>
    </row>
    <row r="1243" spans="1:13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 s="3">
        <v>1600.21</v>
      </c>
      <c r="G1243" s="4">
        <v>0.6</v>
      </c>
      <c r="H1243" s="3">
        <v>3200.42</v>
      </c>
      <c r="I1243" s="1">
        <v>45782</v>
      </c>
      <c r="J1243" t="s">
        <v>46</v>
      </c>
      <c r="K1243" t="s">
        <v>23</v>
      </c>
      <c r="L1243" s="3">
        <v>1280.1680000000001</v>
      </c>
      <c r="M1243" t="s">
        <v>11</v>
      </c>
    </row>
    <row r="1244" spans="1:13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 s="3">
        <v>4450.17</v>
      </c>
      <c r="G1244" s="4">
        <v>0.6</v>
      </c>
      <c r="H1244" s="3">
        <v>26701.02</v>
      </c>
      <c r="I1244" s="1">
        <v>45613</v>
      </c>
      <c r="J1244" t="s">
        <v>18</v>
      </c>
      <c r="K1244" t="s">
        <v>23</v>
      </c>
      <c r="L1244" s="3">
        <v>10680.408000000001</v>
      </c>
      <c r="M1244" t="s">
        <v>11</v>
      </c>
    </row>
    <row r="1245" spans="1:13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F1245" s="3">
        <v>2462.79</v>
      </c>
      <c r="G1245" s="4">
        <v>0.6</v>
      </c>
      <c r="H1245" s="3">
        <v>4925.58</v>
      </c>
      <c r="I1245" s="1">
        <v>45814</v>
      </c>
      <c r="J1245" t="s">
        <v>18</v>
      </c>
      <c r="K1245" t="s">
        <v>16</v>
      </c>
      <c r="L1245" s="3">
        <v>1970.232</v>
      </c>
      <c r="M1245" t="s">
        <v>11</v>
      </c>
    </row>
    <row r="1246" spans="1:13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F1246" s="3">
        <v>2804.2651923076919</v>
      </c>
      <c r="G1246" s="4">
        <v>0.62</v>
      </c>
      <c r="H1246" s="3">
        <v>8412.7955769230757</v>
      </c>
      <c r="I1246" s="1">
        <v>45568</v>
      </c>
      <c r="J1246" t="s">
        <v>40</v>
      </c>
      <c r="K1246" t="s">
        <v>16</v>
      </c>
      <c r="L1246" s="3">
        <v>3196.8623192307687</v>
      </c>
      <c r="M1246" t="s">
        <v>11</v>
      </c>
    </row>
    <row r="1247" spans="1:13" x14ac:dyDescent="0.3">
      <c r="A1247">
        <v>2245</v>
      </c>
      <c r="B1247" t="s">
        <v>1284</v>
      </c>
      <c r="C1247" t="s">
        <v>33</v>
      </c>
      <c r="D1247" t="s">
        <v>82</v>
      </c>
      <c r="E1247">
        <v>2</v>
      </c>
      <c r="F1247" s="3">
        <v>2776.2202000000002</v>
      </c>
      <c r="G1247" s="4">
        <v>1.27</v>
      </c>
      <c r="H1247" s="3">
        <v>5552.4404000000004</v>
      </c>
      <c r="I1247" s="1">
        <v>45782</v>
      </c>
      <c r="J1247" t="s">
        <v>40</v>
      </c>
      <c r="K1247" t="s">
        <v>23</v>
      </c>
      <c r="L1247" s="3">
        <v>-1499.1589080000001</v>
      </c>
      <c r="M1247" t="s">
        <v>2518</v>
      </c>
    </row>
    <row r="1248" spans="1:13" x14ac:dyDescent="0.3">
      <c r="A1248">
        <v>2246</v>
      </c>
      <c r="B1248" t="s">
        <v>1285</v>
      </c>
      <c r="C1248" t="s">
        <v>25</v>
      </c>
      <c r="D1248" t="s">
        <v>66</v>
      </c>
      <c r="E1248">
        <v>2</v>
      </c>
      <c r="F1248" s="3">
        <v>2572.7764000000006</v>
      </c>
      <c r="G1248" s="4">
        <v>1.25</v>
      </c>
      <c r="H1248" s="3">
        <v>5145.5528000000013</v>
      </c>
      <c r="I1248" s="1">
        <v>45321</v>
      </c>
      <c r="J1248" t="s">
        <v>46</v>
      </c>
      <c r="K1248" t="s">
        <v>23</v>
      </c>
      <c r="L1248" s="3">
        <v>-1286.3882000000003</v>
      </c>
      <c r="M1248" t="s">
        <v>2518</v>
      </c>
    </row>
    <row r="1249" spans="1:13" x14ac:dyDescent="0.3">
      <c r="A1249">
        <v>2247</v>
      </c>
      <c r="B1249" t="s">
        <v>1286</v>
      </c>
      <c r="C1249" t="s">
        <v>38</v>
      </c>
      <c r="D1249" t="s">
        <v>63</v>
      </c>
      <c r="E1249">
        <v>2</v>
      </c>
      <c r="F1249" s="3">
        <v>2209.4899999999998</v>
      </c>
      <c r="G1249" s="4">
        <v>0.6</v>
      </c>
      <c r="H1249" s="3">
        <v>4418.9799999999996</v>
      </c>
      <c r="I1249" s="1">
        <v>45769</v>
      </c>
      <c r="J1249" t="s">
        <v>56</v>
      </c>
      <c r="K1249" t="s">
        <v>16</v>
      </c>
      <c r="L1249" s="3">
        <v>1767.5919999999999</v>
      </c>
      <c r="M1249" t="s">
        <v>11</v>
      </c>
    </row>
    <row r="1250" spans="1:13" x14ac:dyDescent="0.3">
      <c r="A1250">
        <v>2248</v>
      </c>
      <c r="B1250" t="s">
        <v>1287</v>
      </c>
      <c r="C1250" t="s">
        <v>13</v>
      </c>
      <c r="D1250" t="s">
        <v>49</v>
      </c>
      <c r="E1250">
        <v>2</v>
      </c>
      <c r="F1250" s="3">
        <v>2785.0877966101693</v>
      </c>
      <c r="G1250" s="4">
        <v>0.6</v>
      </c>
      <c r="H1250" s="3">
        <v>5570.1755932203387</v>
      </c>
      <c r="I1250" s="1">
        <v>45849</v>
      </c>
      <c r="J1250" t="s">
        <v>56</v>
      </c>
      <c r="K1250" t="s">
        <v>16</v>
      </c>
      <c r="L1250" s="3">
        <v>2228.0702372881356</v>
      </c>
      <c r="M1250" t="s">
        <v>11</v>
      </c>
    </row>
    <row r="1251" spans="1:13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F1251" s="3">
        <v>2804.2651923076919</v>
      </c>
      <c r="G1251" s="4">
        <v>0.6</v>
      </c>
      <c r="H1251" s="3">
        <v>2804.2651923076919</v>
      </c>
      <c r="I1251" s="1">
        <v>45398</v>
      </c>
      <c r="J1251" t="s">
        <v>22</v>
      </c>
      <c r="K1251" t="s">
        <v>23</v>
      </c>
      <c r="L1251" s="3">
        <v>1121.7060769230768</v>
      </c>
      <c r="M1251" t="s">
        <v>11</v>
      </c>
    </row>
    <row r="1252" spans="1:13" x14ac:dyDescent="0.3">
      <c r="A1252">
        <v>2250</v>
      </c>
      <c r="B1252" t="s">
        <v>1289</v>
      </c>
      <c r="C1252" t="s">
        <v>20</v>
      </c>
      <c r="D1252" t="s">
        <v>21</v>
      </c>
      <c r="E1252">
        <v>2</v>
      </c>
      <c r="F1252" s="3">
        <v>2681.1743636363635</v>
      </c>
      <c r="G1252" s="4">
        <v>1.17</v>
      </c>
      <c r="H1252" s="3">
        <v>5362.348727272727</v>
      </c>
      <c r="I1252" s="1">
        <v>45782</v>
      </c>
      <c r="J1252" t="s">
        <v>22</v>
      </c>
      <c r="K1252" t="s">
        <v>23</v>
      </c>
      <c r="L1252" s="3">
        <v>-911.59928363636323</v>
      </c>
      <c r="M1252" t="s">
        <v>2518</v>
      </c>
    </row>
    <row r="1253" spans="1:13" x14ac:dyDescent="0.3">
      <c r="A1253">
        <v>2251</v>
      </c>
      <c r="B1253" t="s">
        <v>1290</v>
      </c>
      <c r="C1253" t="s">
        <v>38</v>
      </c>
      <c r="D1253" t="s">
        <v>39</v>
      </c>
      <c r="E1253">
        <v>2</v>
      </c>
      <c r="F1253" s="3">
        <v>1438.68</v>
      </c>
      <c r="G1253" s="4">
        <v>0.6</v>
      </c>
      <c r="H1253" s="3">
        <v>2877.36</v>
      </c>
      <c r="I1253" s="1">
        <v>45722</v>
      </c>
      <c r="J1253" t="s">
        <v>18</v>
      </c>
      <c r="K1253" t="s">
        <v>16</v>
      </c>
      <c r="L1253" s="3">
        <v>1150.9440000000002</v>
      </c>
      <c r="M1253" t="s">
        <v>11</v>
      </c>
    </row>
    <row r="1254" spans="1:13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 s="3">
        <v>2755.37</v>
      </c>
      <c r="G1254" s="4">
        <v>0.6</v>
      </c>
      <c r="H1254" s="3">
        <v>16532.22</v>
      </c>
      <c r="I1254" s="1">
        <v>45793</v>
      </c>
      <c r="J1254" t="s">
        <v>15</v>
      </c>
      <c r="K1254" t="s">
        <v>16</v>
      </c>
      <c r="L1254" s="3">
        <v>6612.8880000000008</v>
      </c>
      <c r="M1254" t="s">
        <v>11</v>
      </c>
    </row>
    <row r="1255" spans="1:13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F1255" s="3">
        <v>2700.1263043478252</v>
      </c>
      <c r="G1255" s="4">
        <v>0.6</v>
      </c>
      <c r="H1255" s="3">
        <v>0</v>
      </c>
      <c r="I1255" s="1">
        <v>45700</v>
      </c>
      <c r="J1255" t="s">
        <v>40</v>
      </c>
      <c r="K1255" t="s">
        <v>23</v>
      </c>
      <c r="L1255" s="3">
        <v>0</v>
      </c>
      <c r="M1255" t="s">
        <v>2518</v>
      </c>
    </row>
    <row r="1256" spans="1:13" x14ac:dyDescent="0.3">
      <c r="A1256">
        <v>2254</v>
      </c>
      <c r="B1256" t="s">
        <v>1293</v>
      </c>
      <c r="C1256" t="s">
        <v>33</v>
      </c>
      <c r="D1256" t="s">
        <v>72</v>
      </c>
      <c r="E1256">
        <v>2</v>
      </c>
      <c r="F1256" s="3">
        <v>4998.91</v>
      </c>
      <c r="G1256" s="4">
        <v>0.6</v>
      </c>
      <c r="H1256" s="3">
        <v>9997.82</v>
      </c>
      <c r="I1256" s="1">
        <v>45782</v>
      </c>
      <c r="J1256" t="s">
        <v>22</v>
      </c>
      <c r="K1256" t="s">
        <v>23</v>
      </c>
      <c r="L1256" s="3">
        <v>3999.1280000000002</v>
      </c>
      <c r="M1256" t="s">
        <v>11</v>
      </c>
    </row>
    <row r="1257" spans="1:13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 s="3">
        <v>4478.08</v>
      </c>
      <c r="G1257" s="4">
        <v>0.6</v>
      </c>
      <c r="H1257" s="3">
        <v>-8956.16</v>
      </c>
      <c r="I1257" s="1">
        <v>45782</v>
      </c>
      <c r="J1257" t="s">
        <v>46</v>
      </c>
      <c r="K1257" t="s">
        <v>23</v>
      </c>
      <c r="L1257" s="3">
        <v>-3582.4639999999999</v>
      </c>
      <c r="M1257" t="s">
        <v>2518</v>
      </c>
    </row>
    <row r="1258" spans="1:13" x14ac:dyDescent="0.3">
      <c r="A1258">
        <v>2256</v>
      </c>
      <c r="B1258" t="s">
        <v>1295</v>
      </c>
      <c r="C1258" t="s">
        <v>38</v>
      </c>
      <c r="D1258" t="s">
        <v>39</v>
      </c>
      <c r="E1258">
        <v>2</v>
      </c>
      <c r="F1258" s="3">
        <v>535.27</v>
      </c>
      <c r="G1258" s="4">
        <v>0.6</v>
      </c>
      <c r="H1258" s="3">
        <v>1070.54</v>
      </c>
      <c r="I1258" s="1">
        <v>45740</v>
      </c>
      <c r="J1258" t="s">
        <v>18</v>
      </c>
      <c r="K1258" t="s">
        <v>23</v>
      </c>
      <c r="L1258" s="3">
        <v>428.21600000000001</v>
      </c>
      <c r="M1258" t="s">
        <v>2518</v>
      </c>
    </row>
    <row r="1259" spans="1:13" x14ac:dyDescent="0.3">
      <c r="A1259">
        <v>2257</v>
      </c>
      <c r="B1259" t="s">
        <v>1296</v>
      </c>
      <c r="C1259" t="s">
        <v>38</v>
      </c>
      <c r="D1259" t="s">
        <v>91</v>
      </c>
      <c r="E1259">
        <v>2</v>
      </c>
      <c r="F1259" s="3">
        <v>2868.7768181818178</v>
      </c>
      <c r="G1259" s="4">
        <v>0.6</v>
      </c>
      <c r="H1259" s="3">
        <v>5737.5536363636356</v>
      </c>
      <c r="I1259" s="1">
        <v>45678</v>
      </c>
      <c r="J1259" t="s">
        <v>22</v>
      </c>
      <c r="K1259" t="s">
        <v>16</v>
      </c>
      <c r="L1259" s="3">
        <v>2295.0214545454542</v>
      </c>
      <c r="M1259" t="s">
        <v>11</v>
      </c>
    </row>
    <row r="1260" spans="1:13" x14ac:dyDescent="0.3">
      <c r="A1260">
        <v>2258</v>
      </c>
      <c r="B1260" t="s">
        <v>1297</v>
      </c>
      <c r="C1260" t="s">
        <v>25</v>
      </c>
      <c r="D1260" t="s">
        <v>86</v>
      </c>
      <c r="E1260">
        <v>2</v>
      </c>
      <c r="F1260" s="3">
        <v>2501.5309999999999</v>
      </c>
      <c r="G1260" s="4">
        <v>0.6</v>
      </c>
      <c r="H1260" s="3">
        <v>5003.0619999999999</v>
      </c>
      <c r="I1260" s="1">
        <v>45810</v>
      </c>
      <c r="J1260" t="s">
        <v>40</v>
      </c>
      <c r="K1260" t="s">
        <v>23</v>
      </c>
      <c r="L1260" s="3">
        <v>2001.2248</v>
      </c>
      <c r="M1260" t="s">
        <v>11</v>
      </c>
    </row>
    <row r="1261" spans="1:13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 s="3">
        <v>2854.4</v>
      </c>
      <c r="G1261" s="4">
        <v>0.6</v>
      </c>
      <c r="H1261" s="3">
        <v>2854.4</v>
      </c>
      <c r="I1261" s="1">
        <v>45508</v>
      </c>
      <c r="J1261" t="s">
        <v>40</v>
      </c>
      <c r="K1261" t="s">
        <v>16</v>
      </c>
      <c r="L1261" s="3">
        <v>1141.76</v>
      </c>
      <c r="M1261" t="s">
        <v>11</v>
      </c>
    </row>
    <row r="1262" spans="1:13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F1262" s="3">
        <v>2576.3056896551716</v>
      </c>
      <c r="G1262" s="4">
        <v>0.6</v>
      </c>
      <c r="H1262" s="3">
        <v>-2576.3056896551716</v>
      </c>
      <c r="I1262" s="1">
        <v>45782</v>
      </c>
      <c r="J1262" t="s">
        <v>56</v>
      </c>
      <c r="K1262" t="s">
        <v>23</v>
      </c>
      <c r="L1262" s="3">
        <v>-1030.5222758620687</v>
      </c>
      <c r="M1262" t="s">
        <v>2518</v>
      </c>
    </row>
    <row r="1263" spans="1:13" x14ac:dyDescent="0.3">
      <c r="A1263">
        <v>1039</v>
      </c>
      <c r="B1263" t="s">
        <v>1300</v>
      </c>
      <c r="C1263" t="s">
        <v>33</v>
      </c>
      <c r="D1263" t="s">
        <v>34</v>
      </c>
      <c r="E1263">
        <v>2</v>
      </c>
      <c r="F1263" s="3">
        <v>633.23</v>
      </c>
      <c r="G1263" s="4">
        <v>0.6</v>
      </c>
      <c r="H1263" s="3">
        <v>1266.46</v>
      </c>
      <c r="I1263" s="1">
        <v>45539</v>
      </c>
      <c r="J1263" t="s">
        <v>22</v>
      </c>
      <c r="K1263" t="s">
        <v>16</v>
      </c>
      <c r="L1263" s="3">
        <v>506.58400000000006</v>
      </c>
      <c r="M1263" t="s">
        <v>11</v>
      </c>
    </row>
    <row r="1264" spans="1:13" x14ac:dyDescent="0.3">
      <c r="A1264">
        <v>2262</v>
      </c>
      <c r="B1264" t="s">
        <v>1301</v>
      </c>
      <c r="C1264" t="s">
        <v>38</v>
      </c>
      <c r="D1264" t="s">
        <v>59</v>
      </c>
      <c r="E1264">
        <v>2</v>
      </c>
      <c r="F1264" s="3">
        <v>2957.48</v>
      </c>
      <c r="G1264" s="4">
        <v>0.6</v>
      </c>
      <c r="H1264" s="3">
        <v>5914.96</v>
      </c>
      <c r="I1264" s="1">
        <v>45544</v>
      </c>
      <c r="J1264" t="s">
        <v>56</v>
      </c>
      <c r="K1264" t="s">
        <v>23</v>
      </c>
      <c r="L1264" s="3">
        <v>2365.9839999999999</v>
      </c>
      <c r="M1264" t="s">
        <v>11</v>
      </c>
    </row>
    <row r="1265" spans="1:13" x14ac:dyDescent="0.3">
      <c r="A1265">
        <v>2263</v>
      </c>
      <c r="B1265" t="s">
        <v>1302</v>
      </c>
      <c r="C1265" t="s">
        <v>25</v>
      </c>
      <c r="D1265" t="s">
        <v>86</v>
      </c>
      <c r="E1265">
        <v>2</v>
      </c>
      <c r="F1265" s="3">
        <v>4252.05</v>
      </c>
      <c r="G1265" s="4">
        <v>0.6</v>
      </c>
      <c r="H1265" s="3">
        <v>8504.1</v>
      </c>
      <c r="I1265" s="1">
        <v>45782</v>
      </c>
      <c r="J1265" t="s">
        <v>22</v>
      </c>
      <c r="K1265" t="s">
        <v>16</v>
      </c>
      <c r="L1265" s="3">
        <v>3401.6400000000003</v>
      </c>
      <c r="M1265" t="s">
        <v>11</v>
      </c>
    </row>
    <row r="1266" spans="1:13" x14ac:dyDescent="0.3">
      <c r="A1266">
        <v>2264</v>
      </c>
      <c r="B1266" t="s">
        <v>1303</v>
      </c>
      <c r="C1266" t="s">
        <v>13</v>
      </c>
      <c r="D1266" t="s">
        <v>49</v>
      </c>
      <c r="E1266">
        <v>2</v>
      </c>
      <c r="F1266" s="3">
        <v>3541.13</v>
      </c>
      <c r="G1266" s="4">
        <v>1.3</v>
      </c>
      <c r="H1266" s="3">
        <v>7082.26</v>
      </c>
      <c r="I1266" s="1">
        <v>45782</v>
      </c>
      <c r="J1266" t="s">
        <v>56</v>
      </c>
      <c r="K1266" t="s">
        <v>23</v>
      </c>
      <c r="L1266" s="3">
        <v>-2124.6780000000003</v>
      </c>
      <c r="M1266" t="s">
        <v>2518</v>
      </c>
    </row>
    <row r="1267" spans="1:13" x14ac:dyDescent="0.3">
      <c r="A1267">
        <v>2265</v>
      </c>
      <c r="B1267" t="s">
        <v>1304</v>
      </c>
      <c r="C1267" t="s">
        <v>33</v>
      </c>
      <c r="D1267" t="s">
        <v>82</v>
      </c>
      <c r="E1267">
        <v>2</v>
      </c>
      <c r="F1267" s="3">
        <v>2776.2202000000002</v>
      </c>
      <c r="G1267" s="4">
        <v>0.5</v>
      </c>
      <c r="H1267" s="3">
        <v>5552.4404000000004</v>
      </c>
      <c r="I1267" s="1">
        <v>45736</v>
      </c>
      <c r="J1267" t="s">
        <v>40</v>
      </c>
      <c r="K1267" t="s">
        <v>16</v>
      </c>
      <c r="L1267" s="3">
        <v>2776.2202000000002</v>
      </c>
      <c r="M1267" t="s">
        <v>11</v>
      </c>
    </row>
    <row r="1268" spans="1:13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 s="3">
        <v>4437.4399999999996</v>
      </c>
      <c r="G1268" s="4">
        <v>0.6</v>
      </c>
      <c r="H1268" s="3">
        <v>26624.639999999999</v>
      </c>
      <c r="I1268" s="1">
        <v>45539</v>
      </c>
      <c r="J1268" t="s">
        <v>46</v>
      </c>
      <c r="K1268" t="s">
        <v>16</v>
      </c>
      <c r="L1268" s="3">
        <v>10649.856</v>
      </c>
      <c r="M1268" t="s">
        <v>11</v>
      </c>
    </row>
    <row r="1269" spans="1:13" x14ac:dyDescent="0.3">
      <c r="A1269">
        <v>2267</v>
      </c>
      <c r="B1269" t="s">
        <v>1306</v>
      </c>
      <c r="C1269" t="s">
        <v>38</v>
      </c>
      <c r="D1269" t="s">
        <v>39</v>
      </c>
      <c r="E1269">
        <v>2</v>
      </c>
      <c r="F1269" s="3">
        <v>3008.3844444444444</v>
      </c>
      <c r="G1269" s="4">
        <v>0.6</v>
      </c>
      <c r="H1269" s="3">
        <v>6016.7688888888888</v>
      </c>
      <c r="I1269" s="1">
        <v>45782</v>
      </c>
      <c r="J1269" t="s">
        <v>40</v>
      </c>
      <c r="K1269" t="s">
        <v>23</v>
      </c>
      <c r="L1269" s="3">
        <v>2406.7075555555557</v>
      </c>
      <c r="M1269" t="s">
        <v>11</v>
      </c>
    </row>
    <row r="1270" spans="1:13" x14ac:dyDescent="0.3">
      <c r="A1270">
        <v>2268</v>
      </c>
      <c r="B1270" t="s">
        <v>1307</v>
      </c>
      <c r="C1270" t="s">
        <v>25</v>
      </c>
      <c r="D1270" t="s">
        <v>26</v>
      </c>
      <c r="E1270">
        <v>2</v>
      </c>
      <c r="F1270" s="3">
        <v>4300.05</v>
      </c>
      <c r="G1270" s="4">
        <v>0.6</v>
      </c>
      <c r="H1270" s="3">
        <v>8600.1</v>
      </c>
      <c r="I1270" s="1">
        <v>45618</v>
      </c>
      <c r="J1270" t="s">
        <v>40</v>
      </c>
      <c r="K1270" t="s">
        <v>23</v>
      </c>
      <c r="L1270" s="3">
        <v>3440.0400000000004</v>
      </c>
      <c r="M1270" t="s">
        <v>11</v>
      </c>
    </row>
    <row r="1271" spans="1:13" x14ac:dyDescent="0.3">
      <c r="A1271">
        <v>2269</v>
      </c>
      <c r="B1271" t="s">
        <v>1308</v>
      </c>
      <c r="C1271" t="s">
        <v>25</v>
      </c>
      <c r="D1271" t="s">
        <v>86</v>
      </c>
      <c r="E1271">
        <v>2</v>
      </c>
      <c r="F1271" s="3">
        <v>2501.5309999999999</v>
      </c>
      <c r="G1271" s="4">
        <v>0.6</v>
      </c>
      <c r="H1271" s="3">
        <v>5003.0619999999999</v>
      </c>
      <c r="I1271" s="1">
        <v>45834</v>
      </c>
      <c r="J1271" t="s">
        <v>56</v>
      </c>
      <c r="K1271" t="s">
        <v>23</v>
      </c>
      <c r="L1271" s="3">
        <v>2001.2248</v>
      </c>
      <c r="M1271" t="s">
        <v>11</v>
      </c>
    </row>
    <row r="1272" spans="1:13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 s="3">
        <v>2710.56</v>
      </c>
      <c r="G1272" s="4">
        <v>0.6</v>
      </c>
      <c r="H1272" s="3">
        <v>2710.56</v>
      </c>
      <c r="I1272" s="1">
        <v>45783</v>
      </c>
      <c r="J1272" t="s">
        <v>15</v>
      </c>
      <c r="K1272" t="s">
        <v>23</v>
      </c>
      <c r="L1272" s="3">
        <v>1084.2239999999999</v>
      </c>
      <c r="M1272" t="s">
        <v>11</v>
      </c>
    </row>
    <row r="1273" spans="1:13" x14ac:dyDescent="0.3">
      <c r="A1273">
        <v>2271</v>
      </c>
      <c r="B1273" t="s">
        <v>1310</v>
      </c>
      <c r="C1273" t="s">
        <v>29</v>
      </c>
      <c r="D1273" t="s">
        <v>42</v>
      </c>
      <c r="E1273">
        <v>2</v>
      </c>
      <c r="F1273" s="3">
        <v>2559.6667307692314</v>
      </c>
      <c r="G1273" s="4">
        <v>0.36</v>
      </c>
      <c r="H1273" s="3">
        <v>5119.3334615384629</v>
      </c>
      <c r="I1273" s="1">
        <v>45782</v>
      </c>
      <c r="J1273" t="s">
        <v>40</v>
      </c>
      <c r="K1273" t="s">
        <v>16</v>
      </c>
      <c r="L1273" s="3">
        <v>3276.3734153846162</v>
      </c>
      <c r="M1273" t="s">
        <v>11</v>
      </c>
    </row>
    <row r="1274" spans="1:13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 s="3">
        <v>2540.1</v>
      </c>
      <c r="G1274" s="4">
        <v>0.69</v>
      </c>
      <c r="H1274" s="3">
        <v>10160.4</v>
      </c>
      <c r="I1274" s="1">
        <v>45803</v>
      </c>
      <c r="J1274" t="s">
        <v>22</v>
      </c>
      <c r="K1274" t="s">
        <v>16</v>
      </c>
      <c r="L1274" s="3">
        <v>3149.7240000000006</v>
      </c>
      <c r="M1274" t="s">
        <v>11</v>
      </c>
    </row>
    <row r="1275" spans="1:13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 s="3">
        <v>3064.21</v>
      </c>
      <c r="G1275" s="4">
        <v>0.6</v>
      </c>
      <c r="H1275" s="3">
        <v>18385.260000000002</v>
      </c>
      <c r="I1275" s="1">
        <v>45571</v>
      </c>
      <c r="J1275" t="s">
        <v>15</v>
      </c>
      <c r="K1275" t="s">
        <v>16</v>
      </c>
      <c r="L1275" s="3">
        <v>7354.1040000000012</v>
      </c>
      <c r="M1275" t="s">
        <v>11</v>
      </c>
    </row>
    <row r="1276" spans="1:13" x14ac:dyDescent="0.3">
      <c r="A1276">
        <v>2274</v>
      </c>
      <c r="B1276" t="s">
        <v>1313</v>
      </c>
      <c r="C1276" t="s">
        <v>38</v>
      </c>
      <c r="D1276" t="s">
        <v>63</v>
      </c>
      <c r="E1276">
        <v>2</v>
      </c>
      <c r="F1276" s="3">
        <v>4456.6499999999996</v>
      </c>
      <c r="G1276" s="4">
        <v>0.6</v>
      </c>
      <c r="H1276" s="3">
        <v>8913.2999999999993</v>
      </c>
      <c r="I1276" s="1">
        <v>45572</v>
      </c>
      <c r="J1276" t="s">
        <v>15</v>
      </c>
      <c r="K1276" t="s">
        <v>16</v>
      </c>
      <c r="L1276" s="3">
        <v>3565.3199999999997</v>
      </c>
      <c r="M1276" t="s">
        <v>11</v>
      </c>
    </row>
    <row r="1277" spans="1:13" x14ac:dyDescent="0.3">
      <c r="A1277">
        <v>2275</v>
      </c>
      <c r="B1277" t="s">
        <v>1314</v>
      </c>
      <c r="C1277" t="s">
        <v>29</v>
      </c>
      <c r="D1277" t="s">
        <v>42</v>
      </c>
      <c r="E1277">
        <v>2</v>
      </c>
      <c r="F1277" s="3">
        <v>3899.04</v>
      </c>
      <c r="G1277" s="4">
        <v>0.6</v>
      </c>
      <c r="H1277" s="3">
        <v>7798.08</v>
      </c>
      <c r="I1277" s="1">
        <v>45497</v>
      </c>
      <c r="J1277" t="s">
        <v>18</v>
      </c>
      <c r="K1277" t="s">
        <v>23</v>
      </c>
      <c r="L1277" s="3">
        <v>3119.232</v>
      </c>
      <c r="M1277" t="s">
        <v>11</v>
      </c>
    </row>
    <row r="1278" spans="1:13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F1278" s="3">
        <v>2700.1263043478252</v>
      </c>
      <c r="G1278" s="4">
        <v>0.6</v>
      </c>
      <c r="H1278" s="3">
        <v>8100.3789130434761</v>
      </c>
      <c r="I1278" s="1">
        <v>45216</v>
      </c>
      <c r="J1278" t="s">
        <v>40</v>
      </c>
      <c r="K1278" t="s">
        <v>16</v>
      </c>
      <c r="L1278" s="3">
        <v>3240.1515652173907</v>
      </c>
      <c r="M1278" t="s">
        <v>11</v>
      </c>
    </row>
    <row r="1279" spans="1:13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F1279" s="3">
        <v>2882.5046551724135</v>
      </c>
      <c r="G1279" s="4">
        <v>0.6</v>
      </c>
      <c r="H1279" s="3">
        <v>8647.5139655172406</v>
      </c>
      <c r="I1279" s="1">
        <v>45597</v>
      </c>
      <c r="J1279" t="s">
        <v>22</v>
      </c>
      <c r="K1279" t="s">
        <v>23</v>
      </c>
      <c r="L1279" s="3">
        <v>3459.0055862068966</v>
      </c>
      <c r="M1279" t="s">
        <v>11</v>
      </c>
    </row>
    <row r="1280" spans="1:13" x14ac:dyDescent="0.3">
      <c r="A1280">
        <v>2278</v>
      </c>
      <c r="B1280" t="s">
        <v>1317</v>
      </c>
      <c r="C1280" t="s">
        <v>38</v>
      </c>
      <c r="D1280" t="s">
        <v>39</v>
      </c>
      <c r="E1280">
        <v>2</v>
      </c>
      <c r="F1280" s="3">
        <v>3008.3844444444444</v>
      </c>
      <c r="G1280" s="4">
        <v>0.95</v>
      </c>
      <c r="H1280" s="3">
        <v>6016.7688888888888</v>
      </c>
      <c r="I1280" s="1">
        <v>45816</v>
      </c>
      <c r="J1280" t="s">
        <v>22</v>
      </c>
      <c r="K1280" t="s">
        <v>23</v>
      </c>
      <c r="L1280" s="3">
        <v>300.83844444444469</v>
      </c>
      <c r="M1280" t="s">
        <v>2518</v>
      </c>
    </row>
    <row r="1281" spans="1:13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 s="3">
        <v>3294.21</v>
      </c>
      <c r="G1281" s="4">
        <v>0.89</v>
      </c>
      <c r="H1281" s="3">
        <v>19765.260000000002</v>
      </c>
      <c r="I1281" s="1">
        <v>45572</v>
      </c>
      <c r="J1281" t="s">
        <v>46</v>
      </c>
      <c r="K1281" t="s">
        <v>16</v>
      </c>
      <c r="L1281" s="3">
        <v>2174.1786000000002</v>
      </c>
      <c r="M1281" t="s">
        <v>11</v>
      </c>
    </row>
    <row r="1282" spans="1:13" x14ac:dyDescent="0.3">
      <c r="A1282">
        <v>2280</v>
      </c>
      <c r="B1282" t="s">
        <v>1319</v>
      </c>
      <c r="C1282" t="s">
        <v>33</v>
      </c>
      <c r="D1282" t="s">
        <v>34</v>
      </c>
      <c r="E1282">
        <v>2</v>
      </c>
      <c r="F1282" s="3">
        <v>2487.039615384615</v>
      </c>
      <c r="G1282" s="4">
        <v>1.1499999999999999</v>
      </c>
      <c r="H1282" s="3">
        <v>4974.07923076923</v>
      </c>
      <c r="I1282" s="1">
        <v>45860</v>
      </c>
      <c r="J1282" t="s">
        <v>18</v>
      </c>
      <c r="K1282" t="s">
        <v>23</v>
      </c>
      <c r="L1282" s="3">
        <v>-746.11188461538404</v>
      </c>
      <c r="M1282" t="s">
        <v>2518</v>
      </c>
    </row>
    <row r="1283" spans="1:13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F1283" s="3">
        <v>3008.3844444444444</v>
      </c>
      <c r="G1283" s="4">
        <v>0.6</v>
      </c>
      <c r="H1283" s="3">
        <v>-3008.3844444444444</v>
      </c>
      <c r="I1283" s="1">
        <v>45782</v>
      </c>
      <c r="J1283" t="s">
        <v>46</v>
      </c>
      <c r="K1283" t="s">
        <v>16</v>
      </c>
      <c r="L1283" s="3">
        <v>-1203.3537777777779</v>
      </c>
      <c r="M1283" t="s">
        <v>2518</v>
      </c>
    </row>
    <row r="1284" spans="1:13" x14ac:dyDescent="0.3">
      <c r="A1284">
        <v>2282</v>
      </c>
      <c r="B1284" t="s">
        <v>1321</v>
      </c>
      <c r="C1284" t="s">
        <v>20</v>
      </c>
      <c r="D1284" t="s">
        <v>21</v>
      </c>
      <c r="E1284">
        <v>2</v>
      </c>
      <c r="F1284" s="3">
        <v>491.36</v>
      </c>
      <c r="G1284" s="4">
        <v>0.42</v>
      </c>
      <c r="H1284" s="3">
        <v>982.72</v>
      </c>
      <c r="I1284" s="1">
        <v>45276</v>
      </c>
      <c r="J1284" t="s">
        <v>15</v>
      </c>
      <c r="K1284" t="s">
        <v>23</v>
      </c>
      <c r="L1284" s="3">
        <v>569.97760000000005</v>
      </c>
      <c r="M1284" t="s">
        <v>11</v>
      </c>
    </row>
    <row r="1285" spans="1:13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F1285" s="3">
        <v>2725.8557142857148</v>
      </c>
      <c r="G1285" s="4">
        <v>0.94</v>
      </c>
      <c r="H1285" s="3">
        <v>16355.134285714288</v>
      </c>
      <c r="I1285" s="1">
        <v>45762</v>
      </c>
      <c r="J1285" t="s">
        <v>40</v>
      </c>
      <c r="K1285" t="s">
        <v>23</v>
      </c>
      <c r="L1285" s="3">
        <v>981.30805714285816</v>
      </c>
      <c r="M1285" t="s">
        <v>11</v>
      </c>
    </row>
    <row r="1286" spans="1:13" x14ac:dyDescent="0.3">
      <c r="A1286">
        <v>2284</v>
      </c>
      <c r="B1286" t="s">
        <v>1323</v>
      </c>
      <c r="C1286" t="s">
        <v>29</v>
      </c>
      <c r="D1286" t="s">
        <v>141</v>
      </c>
      <c r="E1286">
        <v>2</v>
      </c>
      <c r="F1286" s="3">
        <v>3736.2</v>
      </c>
      <c r="G1286" s="4">
        <v>0.6</v>
      </c>
      <c r="H1286" s="3">
        <v>7472.4</v>
      </c>
      <c r="I1286" s="1">
        <v>45743</v>
      </c>
      <c r="J1286" t="s">
        <v>15</v>
      </c>
      <c r="K1286" t="s">
        <v>16</v>
      </c>
      <c r="L1286" s="3">
        <v>2988.96</v>
      </c>
      <c r="M1286" t="s">
        <v>11</v>
      </c>
    </row>
    <row r="1287" spans="1:13" x14ac:dyDescent="0.3">
      <c r="A1287">
        <v>2285</v>
      </c>
      <c r="B1287" t="s">
        <v>1324</v>
      </c>
      <c r="C1287" t="s">
        <v>25</v>
      </c>
      <c r="D1287" t="s">
        <v>26</v>
      </c>
      <c r="E1287">
        <v>2</v>
      </c>
      <c r="F1287" s="3">
        <v>2287.67</v>
      </c>
      <c r="G1287" s="4">
        <v>0.56000000000000005</v>
      </c>
      <c r="H1287" s="3">
        <v>4575.34</v>
      </c>
      <c r="I1287" s="1">
        <v>45391</v>
      </c>
      <c r="J1287" t="s">
        <v>56</v>
      </c>
      <c r="K1287" t="s">
        <v>23</v>
      </c>
      <c r="L1287" s="3">
        <v>2013.1495999999997</v>
      </c>
      <c r="M1287" t="s">
        <v>11</v>
      </c>
    </row>
    <row r="1288" spans="1:13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F1288" s="3">
        <v>2725.8557142857148</v>
      </c>
      <c r="G1288" s="4">
        <v>0.6</v>
      </c>
      <c r="H1288" s="3">
        <v>2725.8557142857148</v>
      </c>
      <c r="I1288" s="1">
        <v>45770</v>
      </c>
      <c r="J1288" t="s">
        <v>46</v>
      </c>
      <c r="K1288" t="s">
        <v>16</v>
      </c>
      <c r="L1288" s="3">
        <v>1090.3422857142859</v>
      </c>
      <c r="M1288" t="s">
        <v>11</v>
      </c>
    </row>
    <row r="1289" spans="1:13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F1289" s="3">
        <v>2888.8714285714286</v>
      </c>
      <c r="G1289" s="4">
        <v>0.6</v>
      </c>
      <c r="H1289" s="3">
        <v>11555.485714285714</v>
      </c>
      <c r="I1289" s="1">
        <v>45782</v>
      </c>
      <c r="J1289" t="s">
        <v>40</v>
      </c>
      <c r="K1289" t="s">
        <v>23</v>
      </c>
      <c r="L1289" s="3">
        <v>4622.1942857142858</v>
      </c>
      <c r="M1289" t="s">
        <v>11</v>
      </c>
    </row>
    <row r="1290" spans="1:13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F1290" s="3">
        <v>2845.2419672131159</v>
      </c>
      <c r="G1290" s="4">
        <v>0.6</v>
      </c>
      <c r="H1290" s="3">
        <v>11380.967868852464</v>
      </c>
      <c r="I1290" s="1">
        <v>45782</v>
      </c>
      <c r="J1290" t="s">
        <v>40</v>
      </c>
      <c r="K1290" t="s">
        <v>23</v>
      </c>
      <c r="L1290" s="3">
        <v>4552.387147540986</v>
      </c>
      <c r="M1290" t="s">
        <v>11</v>
      </c>
    </row>
    <row r="1291" spans="1:13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 s="3">
        <v>3407.2</v>
      </c>
      <c r="G1291" s="4">
        <v>0.6</v>
      </c>
      <c r="H1291" s="3">
        <v>0</v>
      </c>
      <c r="I1291" s="1">
        <v>45782</v>
      </c>
      <c r="J1291" t="s">
        <v>18</v>
      </c>
      <c r="K1291" t="s">
        <v>16</v>
      </c>
      <c r="L1291" s="3">
        <v>0</v>
      </c>
      <c r="M1291" t="s">
        <v>2518</v>
      </c>
    </row>
    <row r="1292" spans="1:13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 s="3">
        <v>1405.39</v>
      </c>
      <c r="G1292" s="4">
        <v>0.6</v>
      </c>
      <c r="H1292" s="3">
        <v>5621.56</v>
      </c>
      <c r="I1292" s="1">
        <v>45527</v>
      </c>
      <c r="J1292" t="s">
        <v>40</v>
      </c>
      <c r="K1292" t="s">
        <v>16</v>
      </c>
      <c r="L1292" s="3">
        <v>2248.6240000000003</v>
      </c>
      <c r="M1292" t="s">
        <v>11</v>
      </c>
    </row>
    <row r="1293" spans="1:13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 s="3">
        <v>3217.82</v>
      </c>
      <c r="G1293" s="4">
        <v>0.6</v>
      </c>
      <c r="H1293" s="3">
        <v>12871.28</v>
      </c>
      <c r="I1293" s="1">
        <v>45782</v>
      </c>
      <c r="J1293" t="s">
        <v>40</v>
      </c>
      <c r="K1293" t="s">
        <v>23</v>
      </c>
      <c r="L1293" s="3">
        <v>5148.5120000000006</v>
      </c>
      <c r="M1293" t="s">
        <v>11</v>
      </c>
    </row>
    <row r="1294" spans="1:13" x14ac:dyDescent="0.3">
      <c r="A1294">
        <v>2292</v>
      </c>
      <c r="B1294" t="s">
        <v>1331</v>
      </c>
      <c r="C1294" t="s">
        <v>38</v>
      </c>
      <c r="D1294" t="s">
        <v>91</v>
      </c>
      <c r="E1294">
        <v>2</v>
      </c>
      <c r="F1294" s="3">
        <v>3974.58</v>
      </c>
      <c r="G1294" s="4">
        <v>0.6</v>
      </c>
      <c r="H1294" s="3">
        <v>7949.16</v>
      </c>
      <c r="I1294" s="1">
        <v>45726</v>
      </c>
      <c r="J1294" t="s">
        <v>56</v>
      </c>
      <c r="K1294" t="s">
        <v>23</v>
      </c>
      <c r="L1294" s="3">
        <v>3179.6640000000002</v>
      </c>
      <c r="M1294" t="s">
        <v>11</v>
      </c>
    </row>
    <row r="1295" spans="1:13" x14ac:dyDescent="0.3">
      <c r="A1295">
        <v>2293</v>
      </c>
      <c r="B1295" t="s">
        <v>1332</v>
      </c>
      <c r="C1295" t="s">
        <v>25</v>
      </c>
      <c r="D1295" t="s">
        <v>26</v>
      </c>
      <c r="E1295">
        <v>2</v>
      </c>
      <c r="F1295" s="3">
        <v>3241.57</v>
      </c>
      <c r="G1295" s="4">
        <v>0.6</v>
      </c>
      <c r="H1295" s="3">
        <v>6483.14</v>
      </c>
      <c r="I1295" s="1">
        <v>45500</v>
      </c>
      <c r="J1295" t="s">
        <v>18</v>
      </c>
      <c r="K1295" t="s">
        <v>16</v>
      </c>
      <c r="L1295" s="3">
        <v>2593.2560000000003</v>
      </c>
      <c r="M1295" t="s">
        <v>11</v>
      </c>
    </row>
    <row r="1296" spans="1:13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F1296" s="3">
        <v>2804.2651923076919</v>
      </c>
      <c r="G1296" s="4">
        <v>0.16</v>
      </c>
      <c r="H1296" s="3">
        <v>-2804.2651923076919</v>
      </c>
      <c r="I1296" s="1">
        <v>45147</v>
      </c>
      <c r="J1296" t="s">
        <v>15</v>
      </c>
      <c r="K1296" t="s">
        <v>23</v>
      </c>
      <c r="L1296" s="3">
        <v>-2355.582761538461</v>
      </c>
      <c r="M1296" t="s">
        <v>2518</v>
      </c>
    </row>
    <row r="1297" spans="1:13" x14ac:dyDescent="0.3">
      <c r="A1297">
        <v>2295</v>
      </c>
      <c r="B1297" t="s">
        <v>1334</v>
      </c>
      <c r="C1297" t="s">
        <v>25</v>
      </c>
      <c r="D1297" t="s">
        <v>54</v>
      </c>
      <c r="E1297">
        <v>2</v>
      </c>
      <c r="F1297" s="3">
        <v>3189.35</v>
      </c>
      <c r="G1297" s="4">
        <v>0.6</v>
      </c>
      <c r="H1297" s="3">
        <v>6378.7</v>
      </c>
      <c r="I1297" s="1">
        <v>45569</v>
      </c>
      <c r="J1297" t="s">
        <v>40</v>
      </c>
      <c r="K1297" t="s">
        <v>23</v>
      </c>
      <c r="L1297" s="3">
        <v>2551.48</v>
      </c>
      <c r="M1297" t="s">
        <v>11</v>
      </c>
    </row>
    <row r="1298" spans="1:13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F1298" s="3">
        <v>2776.2202000000002</v>
      </c>
      <c r="G1298" s="4">
        <v>0.28999999999999998</v>
      </c>
      <c r="H1298" s="3">
        <v>16657.321200000002</v>
      </c>
      <c r="I1298" s="1">
        <v>45840</v>
      </c>
      <c r="J1298" t="s">
        <v>46</v>
      </c>
      <c r="K1298" t="s">
        <v>16</v>
      </c>
      <c r="L1298" s="3">
        <v>11826.698052000002</v>
      </c>
      <c r="M1298" t="s">
        <v>11</v>
      </c>
    </row>
    <row r="1299" spans="1:13" x14ac:dyDescent="0.3">
      <c r="A1299">
        <v>2297</v>
      </c>
      <c r="B1299" t="s">
        <v>1336</v>
      </c>
      <c r="C1299" t="s">
        <v>38</v>
      </c>
      <c r="D1299" t="s">
        <v>91</v>
      </c>
      <c r="E1299">
        <v>2</v>
      </c>
      <c r="F1299" s="3">
        <v>2868.7768181818178</v>
      </c>
      <c r="G1299" s="4">
        <v>0.28999999999999998</v>
      </c>
      <c r="H1299" s="3">
        <v>5737.5536363636356</v>
      </c>
      <c r="I1299" s="1">
        <v>45666</v>
      </c>
      <c r="J1299" t="s">
        <v>15</v>
      </c>
      <c r="K1299" t="s">
        <v>23</v>
      </c>
      <c r="L1299" s="3">
        <v>4073.6630818181811</v>
      </c>
      <c r="M1299" t="s">
        <v>11</v>
      </c>
    </row>
    <row r="1300" spans="1:13" x14ac:dyDescent="0.3">
      <c r="A1300">
        <v>2298</v>
      </c>
      <c r="B1300" t="s">
        <v>1337</v>
      </c>
      <c r="C1300" t="s">
        <v>33</v>
      </c>
      <c r="D1300" t="s">
        <v>82</v>
      </c>
      <c r="E1300">
        <v>2</v>
      </c>
      <c r="F1300" s="3">
        <v>2776.2202000000002</v>
      </c>
      <c r="G1300" s="4">
        <v>0.6</v>
      </c>
      <c r="H1300" s="3">
        <v>5552.4404000000004</v>
      </c>
      <c r="I1300" s="1">
        <v>45812</v>
      </c>
      <c r="J1300" t="s">
        <v>18</v>
      </c>
      <c r="K1300" t="s">
        <v>23</v>
      </c>
      <c r="L1300" s="3">
        <v>2220.9761600000002</v>
      </c>
      <c r="M1300" t="s">
        <v>11</v>
      </c>
    </row>
    <row r="1301" spans="1:13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F1301" s="3">
        <v>2776.2202000000002</v>
      </c>
      <c r="G1301" s="4">
        <v>1.27</v>
      </c>
      <c r="H1301" s="3">
        <v>-5552.4404000000004</v>
      </c>
      <c r="I1301" s="1">
        <v>45770</v>
      </c>
      <c r="J1301" t="s">
        <v>22</v>
      </c>
      <c r="K1301" t="s">
        <v>16</v>
      </c>
      <c r="L1301" s="3">
        <v>1499.1589080000001</v>
      </c>
      <c r="M1301" t="s">
        <v>11</v>
      </c>
    </row>
    <row r="1302" spans="1:13" x14ac:dyDescent="0.3">
      <c r="A1302">
        <v>2300</v>
      </c>
      <c r="B1302" t="s">
        <v>1339</v>
      </c>
      <c r="C1302" t="s">
        <v>29</v>
      </c>
      <c r="D1302" t="s">
        <v>42</v>
      </c>
      <c r="E1302">
        <v>2</v>
      </c>
      <c r="F1302" s="3">
        <v>2559.6667307692314</v>
      </c>
      <c r="G1302" s="4">
        <v>0.6</v>
      </c>
      <c r="H1302" s="3">
        <v>5119.3334615384629</v>
      </c>
      <c r="I1302" s="1">
        <v>45782</v>
      </c>
      <c r="J1302" t="s">
        <v>56</v>
      </c>
      <c r="K1302" t="s">
        <v>23</v>
      </c>
      <c r="L1302" s="3">
        <v>2047.7333846153851</v>
      </c>
      <c r="M1302" t="s">
        <v>11</v>
      </c>
    </row>
    <row r="1303" spans="1:13" x14ac:dyDescent="0.3">
      <c r="A1303">
        <v>2301</v>
      </c>
      <c r="B1303" t="s">
        <v>1340</v>
      </c>
      <c r="C1303" t="s">
        <v>38</v>
      </c>
      <c r="D1303" t="s">
        <v>59</v>
      </c>
      <c r="E1303">
        <v>2</v>
      </c>
      <c r="F1303" s="3">
        <v>3335.27</v>
      </c>
      <c r="G1303" s="4">
        <v>1.1299999999999999</v>
      </c>
      <c r="H1303" s="3">
        <v>6670.54</v>
      </c>
      <c r="I1303" s="1">
        <v>45626</v>
      </c>
      <c r="J1303" t="s">
        <v>22</v>
      </c>
      <c r="K1303" t="s">
        <v>23</v>
      </c>
      <c r="L1303" s="3">
        <v>-867.17019999999934</v>
      </c>
      <c r="M1303" t="s">
        <v>2518</v>
      </c>
    </row>
    <row r="1304" spans="1:13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F1304" s="3">
        <v>2868.7768181818178</v>
      </c>
      <c r="G1304" s="4">
        <v>0.6</v>
      </c>
      <c r="H1304" s="3">
        <v>2868.7768181818178</v>
      </c>
      <c r="I1304" s="1">
        <v>45782</v>
      </c>
      <c r="J1304" t="s">
        <v>18</v>
      </c>
      <c r="K1304" t="s">
        <v>16</v>
      </c>
      <c r="L1304" s="3">
        <v>1147.5107272727271</v>
      </c>
      <c r="M1304" t="s">
        <v>11</v>
      </c>
    </row>
    <row r="1305" spans="1:13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 s="3">
        <v>2201.87</v>
      </c>
      <c r="G1305" s="4">
        <v>0.6</v>
      </c>
      <c r="H1305" s="3">
        <v>13211.22</v>
      </c>
      <c r="I1305" s="1">
        <v>45782</v>
      </c>
      <c r="J1305" t="s">
        <v>56</v>
      </c>
      <c r="K1305" t="s">
        <v>23</v>
      </c>
      <c r="L1305" s="3">
        <v>5284.4880000000003</v>
      </c>
      <c r="M1305" t="s">
        <v>11</v>
      </c>
    </row>
    <row r="1306" spans="1:13" x14ac:dyDescent="0.3">
      <c r="A1306">
        <v>2304</v>
      </c>
      <c r="B1306" t="s">
        <v>1343</v>
      </c>
      <c r="C1306" t="s">
        <v>29</v>
      </c>
      <c r="D1306" t="s">
        <v>141</v>
      </c>
      <c r="E1306">
        <v>2</v>
      </c>
      <c r="F1306" s="3">
        <v>2462.79</v>
      </c>
      <c r="G1306" s="4">
        <v>0.3</v>
      </c>
      <c r="H1306" s="3">
        <v>4925.58</v>
      </c>
      <c r="I1306" s="1">
        <v>45811</v>
      </c>
      <c r="J1306" t="s">
        <v>46</v>
      </c>
      <c r="K1306" t="s">
        <v>16</v>
      </c>
      <c r="L1306" s="3">
        <v>3447.9059999999999</v>
      </c>
      <c r="M1306" t="s">
        <v>11</v>
      </c>
    </row>
    <row r="1307" spans="1:13" x14ac:dyDescent="0.3">
      <c r="A1307">
        <v>2305</v>
      </c>
      <c r="B1307" t="s">
        <v>1344</v>
      </c>
      <c r="C1307" t="s">
        <v>20</v>
      </c>
      <c r="D1307" t="s">
        <v>80</v>
      </c>
      <c r="E1307">
        <v>2</v>
      </c>
      <c r="F1307" s="3">
        <v>3476.06</v>
      </c>
      <c r="G1307" s="4">
        <v>0.6</v>
      </c>
      <c r="H1307" s="3">
        <v>6952.12</v>
      </c>
      <c r="I1307" s="1">
        <v>45782</v>
      </c>
      <c r="J1307" t="s">
        <v>40</v>
      </c>
      <c r="K1307" t="s">
        <v>16</v>
      </c>
      <c r="L1307" s="3">
        <v>2780.848</v>
      </c>
      <c r="M1307" t="s">
        <v>11</v>
      </c>
    </row>
    <row r="1308" spans="1:13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F1308" s="3">
        <v>2501.5309999999999</v>
      </c>
      <c r="G1308" s="4">
        <v>1.1499999999999999</v>
      </c>
      <c r="H1308" s="3">
        <v>-5003.0619999999999</v>
      </c>
      <c r="I1308" s="1">
        <v>45260</v>
      </c>
      <c r="J1308" t="s">
        <v>18</v>
      </c>
      <c r="K1308" t="s">
        <v>16</v>
      </c>
      <c r="L1308" s="3">
        <v>750.45929999999953</v>
      </c>
      <c r="M1308" t="s">
        <v>11</v>
      </c>
    </row>
    <row r="1309" spans="1:13" x14ac:dyDescent="0.3">
      <c r="A1309">
        <v>2307</v>
      </c>
      <c r="B1309" t="s">
        <v>1346</v>
      </c>
      <c r="C1309" t="s">
        <v>25</v>
      </c>
      <c r="D1309" t="s">
        <v>86</v>
      </c>
      <c r="E1309">
        <v>2</v>
      </c>
      <c r="F1309" s="3">
        <v>2501.5309999999999</v>
      </c>
      <c r="G1309" s="4">
        <v>0.6</v>
      </c>
      <c r="H1309" s="3">
        <v>5003.0619999999999</v>
      </c>
      <c r="I1309" s="1">
        <v>45283</v>
      </c>
      <c r="J1309" t="s">
        <v>46</v>
      </c>
      <c r="K1309" t="s">
        <v>23</v>
      </c>
      <c r="L1309" s="3">
        <v>2001.2248</v>
      </c>
      <c r="M1309" t="s">
        <v>11</v>
      </c>
    </row>
    <row r="1310" spans="1:13" x14ac:dyDescent="0.3">
      <c r="A1310">
        <v>2308</v>
      </c>
      <c r="B1310" t="s">
        <v>1347</v>
      </c>
      <c r="C1310" t="s">
        <v>38</v>
      </c>
      <c r="D1310" t="s">
        <v>59</v>
      </c>
      <c r="E1310">
        <v>2</v>
      </c>
      <c r="F1310" s="3">
        <v>3978.48</v>
      </c>
      <c r="G1310" s="4">
        <v>0.6</v>
      </c>
      <c r="H1310" s="3">
        <v>7956.96</v>
      </c>
      <c r="I1310" s="1">
        <v>45632</v>
      </c>
      <c r="J1310" t="s">
        <v>15</v>
      </c>
      <c r="K1310" t="s">
        <v>23</v>
      </c>
      <c r="L1310" s="3">
        <v>3182.7840000000001</v>
      </c>
      <c r="M1310" t="s">
        <v>11</v>
      </c>
    </row>
    <row r="1311" spans="1:13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F1311" s="3">
        <v>2882.5046551724135</v>
      </c>
      <c r="G1311" s="4">
        <v>0.6</v>
      </c>
      <c r="H1311" s="3">
        <v>2882.5046551724135</v>
      </c>
      <c r="I1311" s="1">
        <v>45782</v>
      </c>
      <c r="J1311" t="s">
        <v>15</v>
      </c>
      <c r="K1311" t="s">
        <v>23</v>
      </c>
      <c r="L1311" s="3">
        <v>1153.0018620689655</v>
      </c>
      <c r="M1311" t="s">
        <v>11</v>
      </c>
    </row>
    <row r="1312" spans="1:13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 s="3">
        <v>4426.82</v>
      </c>
      <c r="G1312" s="4">
        <v>0.6</v>
      </c>
      <c r="H1312" s="3">
        <v>-4426.82</v>
      </c>
      <c r="I1312" s="1">
        <v>45780</v>
      </c>
      <c r="J1312" t="s">
        <v>56</v>
      </c>
      <c r="K1312" t="s">
        <v>16</v>
      </c>
      <c r="L1312" s="3">
        <v>-1770.7280000000001</v>
      </c>
      <c r="M1312" t="s">
        <v>2518</v>
      </c>
    </row>
    <row r="1313" spans="1:13" x14ac:dyDescent="0.3">
      <c r="A1313">
        <v>1034</v>
      </c>
      <c r="B1313" t="s">
        <v>1350</v>
      </c>
      <c r="C1313" t="s">
        <v>20</v>
      </c>
      <c r="D1313" t="s">
        <v>122</v>
      </c>
      <c r="E1313">
        <v>2</v>
      </c>
      <c r="F1313" s="3">
        <v>3062.79</v>
      </c>
      <c r="G1313" s="4">
        <v>0.6</v>
      </c>
      <c r="H1313" s="3">
        <v>6125.58</v>
      </c>
      <c r="I1313" s="1">
        <v>45503</v>
      </c>
      <c r="J1313" t="s">
        <v>56</v>
      </c>
      <c r="K1313" t="s">
        <v>23</v>
      </c>
      <c r="L1313" s="3">
        <v>2450.232</v>
      </c>
      <c r="M1313" t="s">
        <v>11</v>
      </c>
    </row>
    <row r="1314" spans="1:13" x14ac:dyDescent="0.3">
      <c r="A1314">
        <v>2312</v>
      </c>
      <c r="B1314" t="s">
        <v>1351</v>
      </c>
      <c r="C1314" t="s">
        <v>13</v>
      </c>
      <c r="D1314" t="s">
        <v>49</v>
      </c>
      <c r="E1314">
        <v>2</v>
      </c>
      <c r="F1314" s="3">
        <v>2688.08</v>
      </c>
      <c r="G1314" s="4">
        <v>0.6</v>
      </c>
      <c r="H1314" s="3">
        <v>5376.16</v>
      </c>
      <c r="I1314" s="1">
        <v>45521</v>
      </c>
      <c r="J1314" t="s">
        <v>46</v>
      </c>
      <c r="K1314" t="s">
        <v>23</v>
      </c>
      <c r="L1314" s="3">
        <v>2150.4639999999999</v>
      </c>
      <c r="M1314" t="s">
        <v>11</v>
      </c>
    </row>
    <row r="1315" spans="1:13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 s="3">
        <v>2440.38</v>
      </c>
      <c r="G1315" s="4">
        <v>0.6</v>
      </c>
      <c r="H1315" s="3">
        <v>4880.76</v>
      </c>
      <c r="I1315" s="1">
        <v>45724</v>
      </c>
      <c r="J1315" t="s">
        <v>40</v>
      </c>
      <c r="K1315" t="s">
        <v>23</v>
      </c>
      <c r="L1315" s="3">
        <v>1952.3040000000001</v>
      </c>
      <c r="M1315" t="s">
        <v>11</v>
      </c>
    </row>
    <row r="1316" spans="1:13" x14ac:dyDescent="0.3">
      <c r="A1316">
        <v>2314</v>
      </c>
      <c r="B1316" t="s">
        <v>1353</v>
      </c>
      <c r="C1316" t="s">
        <v>29</v>
      </c>
      <c r="D1316" t="s">
        <v>120</v>
      </c>
      <c r="E1316">
        <v>2</v>
      </c>
      <c r="F1316" s="3">
        <v>2830.1325714285731</v>
      </c>
      <c r="G1316" s="4">
        <v>0.6</v>
      </c>
      <c r="H1316" s="3">
        <v>5660.2651428571462</v>
      </c>
      <c r="I1316" s="1">
        <v>45642</v>
      </c>
      <c r="J1316" t="s">
        <v>46</v>
      </c>
      <c r="K1316" t="s">
        <v>23</v>
      </c>
      <c r="L1316" s="3">
        <v>2264.1060571428584</v>
      </c>
      <c r="M1316" t="s">
        <v>11</v>
      </c>
    </row>
    <row r="1317" spans="1:13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F1317" s="3">
        <v>3008.3844444444444</v>
      </c>
      <c r="G1317" s="4">
        <v>0.6</v>
      </c>
      <c r="H1317" s="3">
        <v>3008.3844444444444</v>
      </c>
      <c r="I1317" s="1">
        <v>45710</v>
      </c>
      <c r="J1317" t="s">
        <v>46</v>
      </c>
      <c r="K1317" t="s">
        <v>23</v>
      </c>
      <c r="L1317" s="3">
        <v>1203.3537777777779</v>
      </c>
      <c r="M1317" t="s">
        <v>11</v>
      </c>
    </row>
    <row r="1318" spans="1:13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 s="3">
        <v>1529.48</v>
      </c>
      <c r="G1318" s="4">
        <v>0.6</v>
      </c>
      <c r="H1318" s="3">
        <v>6117.92</v>
      </c>
      <c r="I1318" s="1">
        <v>45410</v>
      </c>
      <c r="J1318" t="s">
        <v>22</v>
      </c>
      <c r="K1318" t="s">
        <v>16</v>
      </c>
      <c r="L1318" s="3">
        <v>2447.1680000000001</v>
      </c>
      <c r="M1318" t="s">
        <v>11</v>
      </c>
    </row>
    <row r="1319" spans="1:13" x14ac:dyDescent="0.3">
      <c r="A1319">
        <v>2317</v>
      </c>
      <c r="B1319" t="s">
        <v>1356</v>
      </c>
      <c r="C1319" t="s">
        <v>25</v>
      </c>
      <c r="D1319" t="s">
        <v>86</v>
      </c>
      <c r="E1319">
        <v>2</v>
      </c>
      <c r="F1319" s="3">
        <v>1005.41</v>
      </c>
      <c r="G1319" s="4">
        <v>0.6</v>
      </c>
      <c r="H1319" s="3">
        <v>2010.82</v>
      </c>
      <c r="I1319" s="1">
        <v>45814</v>
      </c>
      <c r="J1319" t="s">
        <v>15</v>
      </c>
      <c r="K1319" t="s">
        <v>16</v>
      </c>
      <c r="L1319" s="3">
        <v>804.32799999999997</v>
      </c>
      <c r="M1319" t="s">
        <v>11</v>
      </c>
    </row>
    <row r="1320" spans="1:13" x14ac:dyDescent="0.3">
      <c r="A1320">
        <v>2318</v>
      </c>
      <c r="B1320" t="s">
        <v>1357</v>
      </c>
      <c r="C1320" t="s">
        <v>33</v>
      </c>
      <c r="D1320" t="s">
        <v>34</v>
      </c>
      <c r="E1320">
        <v>2</v>
      </c>
      <c r="F1320" s="3">
        <v>2487.039615384615</v>
      </c>
      <c r="G1320" s="4">
        <v>0.6</v>
      </c>
      <c r="H1320" s="3">
        <v>4974.07923076923</v>
      </c>
      <c r="I1320" s="1">
        <v>45760</v>
      </c>
      <c r="J1320" t="s">
        <v>56</v>
      </c>
      <c r="K1320" t="s">
        <v>16</v>
      </c>
      <c r="L1320" s="3">
        <v>1989.631692307692</v>
      </c>
      <c r="M1320" t="s">
        <v>11</v>
      </c>
    </row>
    <row r="1321" spans="1:13" x14ac:dyDescent="0.3">
      <c r="A1321">
        <v>2319</v>
      </c>
      <c r="B1321" t="s">
        <v>1358</v>
      </c>
      <c r="C1321" t="s">
        <v>38</v>
      </c>
      <c r="D1321" t="s">
        <v>63</v>
      </c>
      <c r="E1321">
        <v>2</v>
      </c>
      <c r="F1321" s="3">
        <v>881.41</v>
      </c>
      <c r="G1321" s="4">
        <v>1.22</v>
      </c>
      <c r="H1321" s="3">
        <v>1762.82</v>
      </c>
      <c r="I1321" s="1">
        <v>45782</v>
      </c>
      <c r="J1321" t="s">
        <v>46</v>
      </c>
      <c r="K1321" t="s">
        <v>23</v>
      </c>
      <c r="L1321" s="3">
        <v>-387.82039999999995</v>
      </c>
      <c r="M1321" t="s">
        <v>2518</v>
      </c>
    </row>
    <row r="1322" spans="1:13" x14ac:dyDescent="0.3">
      <c r="A1322">
        <v>2320</v>
      </c>
      <c r="B1322" t="s">
        <v>1359</v>
      </c>
      <c r="C1322" t="s">
        <v>13</v>
      </c>
      <c r="D1322" t="s">
        <v>49</v>
      </c>
      <c r="E1322">
        <v>2</v>
      </c>
      <c r="F1322" s="3">
        <v>2785.0877966101693</v>
      </c>
      <c r="G1322" s="4">
        <v>1.27</v>
      </c>
      <c r="H1322" s="3">
        <v>5570.1755932203387</v>
      </c>
      <c r="I1322" s="1">
        <v>45505</v>
      </c>
      <c r="J1322" t="s">
        <v>56</v>
      </c>
      <c r="K1322" t="s">
        <v>16</v>
      </c>
      <c r="L1322" s="3">
        <v>-1503.9474101694916</v>
      </c>
      <c r="M1322" t="s">
        <v>2518</v>
      </c>
    </row>
    <row r="1323" spans="1:13" x14ac:dyDescent="0.3">
      <c r="A1323">
        <v>2321</v>
      </c>
      <c r="B1323" t="s">
        <v>1360</v>
      </c>
      <c r="C1323" t="s">
        <v>25</v>
      </c>
      <c r="D1323" t="s">
        <v>54</v>
      </c>
      <c r="E1323">
        <v>2</v>
      </c>
      <c r="F1323" s="3">
        <v>2530.3836538461546</v>
      </c>
      <c r="G1323" s="4">
        <v>0.6</v>
      </c>
      <c r="H1323" s="3">
        <v>5060.7673076923093</v>
      </c>
      <c r="I1323" s="1">
        <v>45742</v>
      </c>
      <c r="J1323" t="s">
        <v>46</v>
      </c>
      <c r="K1323" t="s">
        <v>23</v>
      </c>
      <c r="L1323" s="3">
        <v>2024.3069230769238</v>
      </c>
      <c r="M1323" t="s">
        <v>11</v>
      </c>
    </row>
    <row r="1324" spans="1:13" x14ac:dyDescent="0.3">
      <c r="A1324">
        <v>2322</v>
      </c>
      <c r="B1324" t="s">
        <v>1361</v>
      </c>
      <c r="C1324" t="s">
        <v>33</v>
      </c>
      <c r="D1324" t="s">
        <v>34</v>
      </c>
      <c r="E1324">
        <v>2</v>
      </c>
      <c r="F1324" s="3">
        <v>2487.039615384615</v>
      </c>
      <c r="G1324" s="4">
        <v>0.98</v>
      </c>
      <c r="H1324" s="3">
        <v>4974.07923076923</v>
      </c>
      <c r="I1324" s="1">
        <v>45782</v>
      </c>
      <c r="J1324" t="s">
        <v>46</v>
      </c>
      <c r="K1324" t="s">
        <v>23</v>
      </c>
      <c r="L1324" s="3">
        <v>99.481584615384691</v>
      </c>
      <c r="M1324" t="s">
        <v>2518</v>
      </c>
    </row>
    <row r="1325" spans="1:13" x14ac:dyDescent="0.3">
      <c r="A1325">
        <v>2323</v>
      </c>
      <c r="B1325" t="s">
        <v>1362</v>
      </c>
      <c r="C1325" t="s">
        <v>13</v>
      </c>
      <c r="D1325" t="s">
        <v>49</v>
      </c>
      <c r="E1325">
        <v>2</v>
      </c>
      <c r="F1325" s="3">
        <v>2785.0877966101693</v>
      </c>
      <c r="G1325" s="4">
        <v>0.6</v>
      </c>
      <c r="H1325" s="3">
        <v>5570.1755932203387</v>
      </c>
      <c r="I1325" s="1">
        <v>45694</v>
      </c>
      <c r="J1325" t="s">
        <v>46</v>
      </c>
      <c r="K1325" t="s">
        <v>23</v>
      </c>
      <c r="L1325" s="3">
        <v>2228.0702372881356</v>
      </c>
      <c r="M1325" t="s">
        <v>11</v>
      </c>
    </row>
    <row r="1326" spans="1:13" x14ac:dyDescent="0.3">
      <c r="A1326">
        <v>1025</v>
      </c>
      <c r="B1326" t="s">
        <v>1363</v>
      </c>
      <c r="C1326" t="s">
        <v>33</v>
      </c>
      <c r="D1326" t="s">
        <v>44</v>
      </c>
      <c r="E1326">
        <v>2</v>
      </c>
      <c r="F1326" s="3">
        <v>2841.7630612244907</v>
      </c>
      <c r="G1326" s="4">
        <v>0.6</v>
      </c>
      <c r="H1326" s="3">
        <v>5683.5261224489814</v>
      </c>
      <c r="I1326" s="1">
        <v>45782</v>
      </c>
      <c r="J1326" t="s">
        <v>15</v>
      </c>
      <c r="K1326" t="s">
        <v>23</v>
      </c>
      <c r="L1326" s="3">
        <v>2273.4104489795927</v>
      </c>
      <c r="M1326" t="s">
        <v>11</v>
      </c>
    </row>
    <row r="1327" spans="1:13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F1327" s="3">
        <v>2868.7768181818178</v>
      </c>
      <c r="G1327" s="4">
        <v>1.19</v>
      </c>
      <c r="H1327" s="3">
        <v>2868.7768181818178</v>
      </c>
      <c r="I1327" s="1">
        <v>45782</v>
      </c>
      <c r="J1327" t="s">
        <v>40</v>
      </c>
      <c r="K1327" t="s">
        <v>23</v>
      </c>
      <c r="L1327" s="3">
        <v>-545.0675954545452</v>
      </c>
      <c r="M1327" t="s">
        <v>2518</v>
      </c>
    </row>
    <row r="1328" spans="1:13" x14ac:dyDescent="0.3">
      <c r="A1328">
        <v>2326</v>
      </c>
      <c r="B1328" t="s">
        <v>1365</v>
      </c>
      <c r="C1328" t="s">
        <v>25</v>
      </c>
      <c r="D1328" t="s">
        <v>54</v>
      </c>
      <c r="E1328">
        <v>2</v>
      </c>
      <c r="F1328" s="3">
        <v>1718.14</v>
      </c>
      <c r="G1328" s="4">
        <v>0.6</v>
      </c>
      <c r="H1328" s="3">
        <v>3436.28</v>
      </c>
      <c r="I1328" s="1">
        <v>45736</v>
      </c>
      <c r="J1328" t="s">
        <v>18</v>
      </c>
      <c r="K1328" t="s">
        <v>23</v>
      </c>
      <c r="L1328" s="3">
        <v>1374.5120000000002</v>
      </c>
      <c r="M1328" t="s">
        <v>11</v>
      </c>
    </row>
    <row r="1329" spans="1:13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F1329" s="3">
        <v>2572.7764000000006</v>
      </c>
      <c r="G1329" s="4">
        <v>0.76</v>
      </c>
      <c r="H1329" s="3">
        <v>-5145.5528000000013</v>
      </c>
      <c r="I1329" s="1">
        <v>45714</v>
      </c>
      <c r="J1329" t="s">
        <v>46</v>
      </c>
      <c r="K1329" t="s">
        <v>16</v>
      </c>
      <c r="L1329" s="3">
        <v>-1234.9326720000004</v>
      </c>
      <c r="M1329" t="s">
        <v>2518</v>
      </c>
    </row>
    <row r="1330" spans="1:13" x14ac:dyDescent="0.3">
      <c r="A1330">
        <v>2328</v>
      </c>
      <c r="B1330" t="s">
        <v>1367</v>
      </c>
      <c r="C1330" t="s">
        <v>13</v>
      </c>
      <c r="D1330" t="s">
        <v>36</v>
      </c>
      <c r="E1330">
        <v>2</v>
      </c>
      <c r="F1330" s="3">
        <v>2882.5046551724135</v>
      </c>
      <c r="G1330" s="4">
        <v>0.6</v>
      </c>
      <c r="H1330" s="3">
        <v>5765.0093103448271</v>
      </c>
      <c r="I1330" s="1">
        <v>45782</v>
      </c>
      <c r="J1330" t="s">
        <v>22</v>
      </c>
      <c r="K1330" t="s">
        <v>16</v>
      </c>
      <c r="L1330" s="3">
        <v>2306.0037241379309</v>
      </c>
      <c r="M1330" t="s">
        <v>11</v>
      </c>
    </row>
    <row r="1331" spans="1:13" x14ac:dyDescent="0.3">
      <c r="A1331">
        <v>1024</v>
      </c>
      <c r="B1331" t="s">
        <v>1368</v>
      </c>
      <c r="C1331" t="s">
        <v>13</v>
      </c>
      <c r="D1331" t="s">
        <v>49</v>
      </c>
      <c r="E1331">
        <v>2</v>
      </c>
      <c r="F1331" s="3">
        <v>1580.59</v>
      </c>
      <c r="G1331" s="4">
        <v>0.08</v>
      </c>
      <c r="H1331" s="3">
        <v>3161.18</v>
      </c>
      <c r="I1331" s="1">
        <v>45782</v>
      </c>
      <c r="J1331" t="s">
        <v>15</v>
      </c>
      <c r="K1331" t="s">
        <v>23</v>
      </c>
      <c r="L1331" s="3">
        <v>2908.2856000000002</v>
      </c>
      <c r="M1331" t="s">
        <v>11</v>
      </c>
    </row>
    <row r="1332" spans="1:13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F1332" s="3">
        <v>2501.5309999999999</v>
      </c>
      <c r="G1332" s="4">
        <v>0.53</v>
      </c>
      <c r="H1332" s="3">
        <v>15009.186</v>
      </c>
      <c r="I1332" s="1">
        <v>45782</v>
      </c>
      <c r="J1332" t="s">
        <v>46</v>
      </c>
      <c r="K1332" t="s">
        <v>16</v>
      </c>
      <c r="L1332" s="3">
        <v>7054.3174199999994</v>
      </c>
      <c r="M1332" t="s">
        <v>11</v>
      </c>
    </row>
    <row r="1333" spans="1:13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 s="3">
        <v>2967.49</v>
      </c>
      <c r="G1333" s="4">
        <v>0.6</v>
      </c>
      <c r="H1333" s="3">
        <v>-5934.98</v>
      </c>
      <c r="I1333" s="1">
        <v>45781</v>
      </c>
      <c r="J1333" t="s">
        <v>46</v>
      </c>
      <c r="K1333" t="s">
        <v>23</v>
      </c>
      <c r="L1333" s="3">
        <v>-2373.9919999999997</v>
      </c>
      <c r="M1333" t="s">
        <v>2518</v>
      </c>
    </row>
    <row r="1334" spans="1:13" x14ac:dyDescent="0.3">
      <c r="A1334">
        <v>2332</v>
      </c>
      <c r="B1334" t="s">
        <v>1371</v>
      </c>
      <c r="C1334" t="s">
        <v>20</v>
      </c>
      <c r="D1334" t="s">
        <v>122</v>
      </c>
      <c r="E1334">
        <v>2</v>
      </c>
      <c r="F1334" s="3">
        <v>4066.97</v>
      </c>
      <c r="G1334" s="4">
        <v>0.59</v>
      </c>
      <c r="H1334" s="3">
        <v>8133.94</v>
      </c>
      <c r="I1334" s="1">
        <v>45806</v>
      </c>
      <c r="J1334" t="s">
        <v>22</v>
      </c>
      <c r="K1334" t="s">
        <v>23</v>
      </c>
      <c r="L1334" s="3">
        <v>3334.9153999999999</v>
      </c>
      <c r="M1334" t="s">
        <v>11</v>
      </c>
    </row>
    <row r="1335" spans="1:13" x14ac:dyDescent="0.3">
      <c r="A1335">
        <v>2333</v>
      </c>
      <c r="B1335" t="s">
        <v>1372</v>
      </c>
      <c r="C1335" t="s">
        <v>38</v>
      </c>
      <c r="D1335" t="s">
        <v>39</v>
      </c>
      <c r="E1335">
        <v>2</v>
      </c>
      <c r="F1335" s="3">
        <v>3008.3844444444444</v>
      </c>
      <c r="G1335" s="4">
        <v>0.6</v>
      </c>
      <c r="H1335" s="3">
        <v>6016.7688888888888</v>
      </c>
      <c r="I1335" s="1">
        <v>45313</v>
      </c>
      <c r="J1335" t="s">
        <v>18</v>
      </c>
      <c r="K1335" t="s">
        <v>16</v>
      </c>
      <c r="L1335" s="3">
        <v>2406.7075555555557</v>
      </c>
      <c r="M1335" t="s">
        <v>11</v>
      </c>
    </row>
    <row r="1336" spans="1:13" x14ac:dyDescent="0.3">
      <c r="A1336">
        <v>2334</v>
      </c>
      <c r="B1336" t="s">
        <v>1373</v>
      </c>
      <c r="C1336" t="s">
        <v>13</v>
      </c>
      <c r="D1336" t="s">
        <v>102</v>
      </c>
      <c r="E1336">
        <v>2</v>
      </c>
      <c r="F1336" s="3">
        <v>2295.4899999999998</v>
      </c>
      <c r="G1336" s="4">
        <v>0.6</v>
      </c>
      <c r="H1336" s="3">
        <v>4590.9799999999996</v>
      </c>
      <c r="I1336" s="1">
        <v>45782</v>
      </c>
      <c r="J1336" t="s">
        <v>46</v>
      </c>
      <c r="K1336" t="s">
        <v>16</v>
      </c>
      <c r="L1336" s="3">
        <v>1836.3919999999998</v>
      </c>
      <c r="M1336" t="s">
        <v>11</v>
      </c>
    </row>
    <row r="1337" spans="1:13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 s="3">
        <v>3508.21</v>
      </c>
      <c r="G1337" s="4">
        <v>0.62</v>
      </c>
      <c r="H1337" s="3">
        <v>3508.21</v>
      </c>
      <c r="I1337" s="1">
        <v>45586</v>
      </c>
      <c r="J1337" t="s">
        <v>40</v>
      </c>
      <c r="K1337" t="s">
        <v>23</v>
      </c>
      <c r="L1337" s="3">
        <v>1333.1197999999999</v>
      </c>
      <c r="M1337" t="s">
        <v>11</v>
      </c>
    </row>
    <row r="1338" spans="1:13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F1338" s="3">
        <v>2700.1263043478252</v>
      </c>
      <c r="G1338" s="4">
        <v>0.6</v>
      </c>
      <c r="H1338" s="3">
        <v>10800.505217391301</v>
      </c>
      <c r="I1338" s="1">
        <v>45587</v>
      </c>
      <c r="J1338" t="s">
        <v>18</v>
      </c>
      <c r="K1338" t="s">
        <v>16</v>
      </c>
      <c r="L1338" s="3">
        <v>4320.2020869565204</v>
      </c>
      <c r="M1338" t="s">
        <v>11</v>
      </c>
    </row>
    <row r="1339" spans="1:13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 s="3">
        <v>1295.44</v>
      </c>
      <c r="G1339" s="4">
        <v>0.6</v>
      </c>
      <c r="H1339" s="3">
        <v>0</v>
      </c>
      <c r="I1339" s="1">
        <v>45704</v>
      </c>
      <c r="J1339" t="s">
        <v>18</v>
      </c>
      <c r="K1339" t="s">
        <v>16</v>
      </c>
      <c r="L1339" s="3">
        <v>0</v>
      </c>
      <c r="M1339" t="s">
        <v>2518</v>
      </c>
    </row>
    <row r="1340" spans="1:13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 s="3">
        <v>1378.76</v>
      </c>
      <c r="G1340" s="4">
        <v>0.19</v>
      </c>
      <c r="H1340" s="3">
        <v>6893.8</v>
      </c>
      <c r="I1340" s="1">
        <v>45699</v>
      </c>
      <c r="J1340" t="s">
        <v>22</v>
      </c>
      <c r="K1340" t="s">
        <v>23</v>
      </c>
      <c r="L1340" s="3">
        <v>5583.9780000000001</v>
      </c>
      <c r="M1340" t="s">
        <v>11</v>
      </c>
    </row>
    <row r="1341" spans="1:13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 s="3">
        <v>1289.24</v>
      </c>
      <c r="G1341" s="4">
        <v>0.6</v>
      </c>
      <c r="H1341" s="3">
        <v>1289.24</v>
      </c>
      <c r="I1341" s="1">
        <v>45595</v>
      </c>
      <c r="J1341" t="s">
        <v>22</v>
      </c>
      <c r="K1341" t="s">
        <v>23</v>
      </c>
      <c r="L1341" s="3">
        <v>515.69600000000003</v>
      </c>
      <c r="M1341" t="s">
        <v>11</v>
      </c>
    </row>
    <row r="1342" spans="1:13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F1342" s="3">
        <v>2572.7764000000006</v>
      </c>
      <c r="G1342" s="4">
        <v>0.6</v>
      </c>
      <c r="H1342" s="3">
        <v>-5145.5528000000013</v>
      </c>
      <c r="I1342" s="1">
        <v>45782</v>
      </c>
      <c r="J1342" t="s">
        <v>56</v>
      </c>
      <c r="K1342" t="s">
        <v>23</v>
      </c>
      <c r="L1342" s="3">
        <v>-2058.2211200000006</v>
      </c>
      <c r="M1342" t="s">
        <v>2518</v>
      </c>
    </row>
    <row r="1343" spans="1:13" x14ac:dyDescent="0.3">
      <c r="A1343">
        <v>2341</v>
      </c>
      <c r="B1343" t="s">
        <v>1380</v>
      </c>
      <c r="C1343" t="s">
        <v>33</v>
      </c>
      <c r="D1343" t="s">
        <v>72</v>
      </c>
      <c r="E1343">
        <v>2</v>
      </c>
      <c r="F1343" s="3">
        <v>2715.5458490566025</v>
      </c>
      <c r="G1343" s="4">
        <v>0.59</v>
      </c>
      <c r="H1343" s="3">
        <v>5431.091698113205</v>
      </c>
      <c r="I1343" s="1">
        <v>45609</v>
      </c>
      <c r="J1343" t="s">
        <v>18</v>
      </c>
      <c r="K1343" t="s">
        <v>16</v>
      </c>
      <c r="L1343" s="3">
        <v>2226.7475962264143</v>
      </c>
      <c r="M1343" t="s">
        <v>11</v>
      </c>
    </row>
    <row r="1344" spans="1:13" x14ac:dyDescent="0.3">
      <c r="A1344">
        <v>2342</v>
      </c>
      <c r="B1344" t="s">
        <v>1381</v>
      </c>
      <c r="C1344" t="s">
        <v>33</v>
      </c>
      <c r="D1344" t="s">
        <v>44</v>
      </c>
      <c r="E1344">
        <v>2</v>
      </c>
      <c r="F1344" s="3">
        <v>1042.4100000000001</v>
      </c>
      <c r="G1344" s="4">
        <v>0.6</v>
      </c>
      <c r="H1344" s="3">
        <v>2084.8200000000002</v>
      </c>
      <c r="I1344" s="1">
        <v>45322</v>
      </c>
      <c r="J1344" t="s">
        <v>18</v>
      </c>
      <c r="K1344" t="s">
        <v>16</v>
      </c>
      <c r="L1344" s="3">
        <v>833.92800000000011</v>
      </c>
      <c r="M1344" t="s">
        <v>11</v>
      </c>
    </row>
    <row r="1345" spans="1:13" x14ac:dyDescent="0.3">
      <c r="A1345">
        <v>2343</v>
      </c>
      <c r="B1345" t="s">
        <v>1382</v>
      </c>
      <c r="C1345" t="s">
        <v>13</v>
      </c>
      <c r="D1345" t="s">
        <v>14</v>
      </c>
      <c r="E1345">
        <v>2</v>
      </c>
      <c r="F1345" s="3">
        <v>2381.2677586206896</v>
      </c>
      <c r="G1345" s="4">
        <v>0.6</v>
      </c>
      <c r="H1345" s="3">
        <v>4762.5355172413792</v>
      </c>
      <c r="I1345" s="1">
        <v>45795</v>
      </c>
      <c r="J1345" t="s">
        <v>18</v>
      </c>
      <c r="K1345" t="s">
        <v>23</v>
      </c>
      <c r="L1345" s="3">
        <v>1905.0142068965517</v>
      </c>
      <c r="M1345" t="s">
        <v>11</v>
      </c>
    </row>
    <row r="1346" spans="1:13" x14ac:dyDescent="0.3">
      <c r="A1346">
        <v>2344</v>
      </c>
      <c r="B1346" t="s">
        <v>1383</v>
      </c>
      <c r="C1346" t="s">
        <v>13</v>
      </c>
      <c r="D1346" t="s">
        <v>14</v>
      </c>
      <c r="E1346">
        <v>2</v>
      </c>
      <c r="F1346" s="3">
        <v>2381.2677586206896</v>
      </c>
      <c r="G1346" s="4">
        <v>1.0900000000000001</v>
      </c>
      <c r="H1346" s="3">
        <v>4762.5355172413792</v>
      </c>
      <c r="I1346" s="1">
        <v>45833</v>
      </c>
      <c r="J1346" t="s">
        <v>56</v>
      </c>
      <c r="K1346" t="s">
        <v>23</v>
      </c>
      <c r="L1346" s="3">
        <v>-428.6281965517245</v>
      </c>
      <c r="M1346" t="s">
        <v>2518</v>
      </c>
    </row>
    <row r="1347" spans="1:13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 s="3">
        <v>1095.03</v>
      </c>
      <c r="G1347" s="4">
        <v>0.6</v>
      </c>
      <c r="H1347" s="3">
        <v>1095.03</v>
      </c>
      <c r="I1347" s="1">
        <v>45645</v>
      </c>
      <c r="J1347" t="s">
        <v>18</v>
      </c>
      <c r="K1347" t="s">
        <v>16</v>
      </c>
      <c r="L1347" s="3">
        <v>438.012</v>
      </c>
      <c r="M1347" t="s">
        <v>2518</v>
      </c>
    </row>
    <row r="1348" spans="1:13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 s="3">
        <v>4922.99</v>
      </c>
      <c r="G1348" s="4">
        <v>0.6</v>
      </c>
      <c r="H1348" s="3">
        <v>-9845.98</v>
      </c>
      <c r="I1348" s="1">
        <v>45612</v>
      </c>
      <c r="J1348" t="s">
        <v>40</v>
      </c>
      <c r="K1348" t="s">
        <v>23</v>
      </c>
      <c r="L1348" s="3">
        <v>-3938.3919999999998</v>
      </c>
      <c r="M1348" t="s">
        <v>2518</v>
      </c>
    </row>
    <row r="1349" spans="1:13" x14ac:dyDescent="0.3">
      <c r="A1349">
        <v>2347</v>
      </c>
      <c r="B1349" t="s">
        <v>1386</v>
      </c>
      <c r="C1349" t="s">
        <v>38</v>
      </c>
      <c r="D1349" t="s">
        <v>39</v>
      </c>
      <c r="E1349">
        <v>2</v>
      </c>
      <c r="F1349" s="3">
        <v>1207.99</v>
      </c>
      <c r="G1349" s="4">
        <v>0.6</v>
      </c>
      <c r="H1349" s="3">
        <v>2415.98</v>
      </c>
      <c r="I1349" s="1">
        <v>45723</v>
      </c>
      <c r="J1349" t="s">
        <v>40</v>
      </c>
      <c r="K1349" t="s">
        <v>16</v>
      </c>
      <c r="L1349" s="3">
        <v>966.39200000000005</v>
      </c>
      <c r="M1349" t="s">
        <v>11</v>
      </c>
    </row>
    <row r="1350" spans="1:13" x14ac:dyDescent="0.3">
      <c r="A1350">
        <v>2348</v>
      </c>
      <c r="B1350" t="s">
        <v>1387</v>
      </c>
      <c r="C1350" t="s">
        <v>25</v>
      </c>
      <c r="D1350" t="s">
        <v>86</v>
      </c>
      <c r="E1350">
        <v>2</v>
      </c>
      <c r="F1350" s="3">
        <v>2501.5309999999999</v>
      </c>
      <c r="G1350" s="4">
        <v>0.6</v>
      </c>
      <c r="H1350" s="3">
        <v>5003.0619999999999</v>
      </c>
      <c r="I1350" s="1">
        <v>45574</v>
      </c>
      <c r="J1350" t="s">
        <v>46</v>
      </c>
      <c r="K1350" t="s">
        <v>23</v>
      </c>
      <c r="L1350" s="3">
        <v>2001.2248</v>
      </c>
      <c r="M1350" t="s">
        <v>11</v>
      </c>
    </row>
    <row r="1351" spans="1:13" x14ac:dyDescent="0.3">
      <c r="A1351">
        <v>2349</v>
      </c>
      <c r="B1351" t="s">
        <v>1388</v>
      </c>
      <c r="C1351" t="s">
        <v>20</v>
      </c>
      <c r="D1351" t="s">
        <v>21</v>
      </c>
      <c r="E1351">
        <v>2</v>
      </c>
      <c r="F1351" s="3">
        <v>2681.1743636363635</v>
      </c>
      <c r="G1351" s="4">
        <v>0.34</v>
      </c>
      <c r="H1351" s="3">
        <v>5362.348727272727</v>
      </c>
      <c r="I1351" s="1">
        <v>45505</v>
      </c>
      <c r="J1351" t="s">
        <v>15</v>
      </c>
      <c r="K1351" t="s">
        <v>23</v>
      </c>
      <c r="L1351" s="3">
        <v>3539.1501599999992</v>
      </c>
      <c r="M1351" t="s">
        <v>11</v>
      </c>
    </row>
    <row r="1352" spans="1:13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 s="3">
        <v>3148.46</v>
      </c>
      <c r="G1352" s="4">
        <v>0.6</v>
      </c>
      <c r="H1352" s="3">
        <v>-3148.46</v>
      </c>
      <c r="I1352" s="1">
        <v>45192</v>
      </c>
      <c r="J1352" t="s">
        <v>40</v>
      </c>
      <c r="K1352" t="s">
        <v>23</v>
      </c>
      <c r="L1352" s="3">
        <v>-1259.384</v>
      </c>
      <c r="M1352" t="s">
        <v>2518</v>
      </c>
    </row>
    <row r="1353" spans="1:13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 s="3">
        <v>1875.17</v>
      </c>
      <c r="G1353" s="4">
        <v>0.6</v>
      </c>
      <c r="H1353" s="3">
        <v>-1875.17</v>
      </c>
      <c r="I1353" s="1">
        <v>45782</v>
      </c>
      <c r="J1353" t="s">
        <v>18</v>
      </c>
      <c r="K1353" t="s">
        <v>23</v>
      </c>
      <c r="L1353" s="3">
        <v>-750.0680000000001</v>
      </c>
      <c r="M1353" t="s">
        <v>2518</v>
      </c>
    </row>
    <row r="1354" spans="1:13" x14ac:dyDescent="0.3">
      <c r="A1354">
        <v>2352</v>
      </c>
      <c r="B1354" t="s">
        <v>1391</v>
      </c>
      <c r="C1354" t="s">
        <v>38</v>
      </c>
      <c r="D1354" t="s">
        <v>59</v>
      </c>
      <c r="E1354">
        <v>2</v>
      </c>
      <c r="F1354" s="3">
        <v>2804.2651923076919</v>
      </c>
      <c r="G1354" s="4">
        <v>1.18</v>
      </c>
      <c r="H1354" s="3">
        <v>5608.5303846153838</v>
      </c>
      <c r="I1354" s="1">
        <v>45782</v>
      </c>
      <c r="J1354" t="s">
        <v>46</v>
      </c>
      <c r="K1354" t="s">
        <v>23</v>
      </c>
      <c r="L1354" s="3">
        <v>-1009.5354692307687</v>
      </c>
      <c r="M1354" t="s">
        <v>2518</v>
      </c>
    </row>
    <row r="1355" spans="1:13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F1355" s="3">
        <v>2501.5309999999999</v>
      </c>
      <c r="G1355" s="4">
        <v>0.6</v>
      </c>
      <c r="H1355" s="3">
        <v>-2501.5309999999999</v>
      </c>
      <c r="I1355" s="1">
        <v>45533</v>
      </c>
      <c r="J1355" t="s">
        <v>56</v>
      </c>
      <c r="K1355" t="s">
        <v>23</v>
      </c>
      <c r="L1355" s="3">
        <v>-1000.6124</v>
      </c>
      <c r="M1355" t="s">
        <v>2518</v>
      </c>
    </row>
    <row r="1356" spans="1:13" x14ac:dyDescent="0.3">
      <c r="A1356">
        <v>2354</v>
      </c>
      <c r="B1356" t="s">
        <v>1393</v>
      </c>
      <c r="C1356" t="s">
        <v>25</v>
      </c>
      <c r="D1356" t="s">
        <v>86</v>
      </c>
      <c r="E1356">
        <v>2</v>
      </c>
      <c r="F1356" s="3">
        <v>2501.5309999999999</v>
      </c>
      <c r="G1356" s="4">
        <v>0.6</v>
      </c>
      <c r="H1356" s="3">
        <v>5003.0619999999999</v>
      </c>
      <c r="I1356" s="1">
        <v>45699</v>
      </c>
      <c r="J1356" t="s">
        <v>56</v>
      </c>
      <c r="K1356" t="s">
        <v>23</v>
      </c>
      <c r="L1356" s="3">
        <v>2001.2248</v>
      </c>
      <c r="M1356" t="s">
        <v>11</v>
      </c>
    </row>
    <row r="1357" spans="1:13" x14ac:dyDescent="0.3">
      <c r="A1357">
        <v>2355</v>
      </c>
      <c r="B1357" t="s">
        <v>1394</v>
      </c>
      <c r="C1357" t="s">
        <v>13</v>
      </c>
      <c r="D1357" t="s">
        <v>102</v>
      </c>
      <c r="E1357">
        <v>2</v>
      </c>
      <c r="F1357" s="3">
        <v>2576.3056896551716</v>
      </c>
      <c r="G1357" s="4">
        <v>0.14000000000000001</v>
      </c>
      <c r="H1357" s="3">
        <v>5152.6113793103432</v>
      </c>
      <c r="I1357" s="1">
        <v>45782</v>
      </c>
      <c r="J1357" t="s">
        <v>56</v>
      </c>
      <c r="K1357" t="s">
        <v>23</v>
      </c>
      <c r="L1357" s="3">
        <v>4431.245786206895</v>
      </c>
      <c r="M1357" t="s">
        <v>11</v>
      </c>
    </row>
    <row r="1358" spans="1:13" x14ac:dyDescent="0.3">
      <c r="A1358">
        <v>2356</v>
      </c>
      <c r="B1358" t="s">
        <v>1395</v>
      </c>
      <c r="C1358" t="s">
        <v>29</v>
      </c>
      <c r="D1358" t="s">
        <v>141</v>
      </c>
      <c r="E1358">
        <v>2</v>
      </c>
      <c r="F1358" s="3">
        <v>3412.15</v>
      </c>
      <c r="G1358" s="4">
        <v>0.01</v>
      </c>
      <c r="H1358" s="3">
        <v>6824.3</v>
      </c>
      <c r="I1358" s="1">
        <v>45763</v>
      </c>
      <c r="J1358" t="s">
        <v>56</v>
      </c>
      <c r="K1358" t="s">
        <v>23</v>
      </c>
      <c r="L1358" s="3">
        <v>6756.0569999999998</v>
      </c>
      <c r="M1358" t="s">
        <v>11</v>
      </c>
    </row>
    <row r="1359" spans="1:13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 s="3">
        <v>509.54</v>
      </c>
      <c r="G1359" s="4">
        <v>0.6</v>
      </c>
      <c r="H1359" s="3">
        <v>2547.7000000000003</v>
      </c>
      <c r="I1359" s="1">
        <v>45649</v>
      </c>
      <c r="J1359" t="s">
        <v>15</v>
      </c>
      <c r="K1359" t="s">
        <v>16</v>
      </c>
      <c r="L1359" s="3">
        <v>1019.0800000000002</v>
      </c>
      <c r="M1359" t="s">
        <v>11</v>
      </c>
    </row>
    <row r="1360" spans="1:13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 s="3">
        <v>3099.15</v>
      </c>
      <c r="G1360" s="4">
        <v>0.6</v>
      </c>
      <c r="H1360" s="3">
        <v>-3099.15</v>
      </c>
      <c r="I1360" s="1">
        <v>45782</v>
      </c>
      <c r="J1360" t="s">
        <v>22</v>
      </c>
      <c r="K1360" t="s">
        <v>23</v>
      </c>
      <c r="L1360" s="3">
        <v>-1239.6600000000001</v>
      </c>
      <c r="M1360" t="s">
        <v>2518</v>
      </c>
    </row>
    <row r="1361" spans="1:13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F1361" s="3">
        <v>2888.8714285714286</v>
      </c>
      <c r="G1361" s="4">
        <v>0.6</v>
      </c>
      <c r="H1361" s="3">
        <v>-2888.8714285714286</v>
      </c>
      <c r="I1361" s="1">
        <v>45502</v>
      </c>
      <c r="J1361" t="s">
        <v>46</v>
      </c>
      <c r="K1361" t="s">
        <v>16</v>
      </c>
      <c r="L1361" s="3">
        <v>-1155.5485714285714</v>
      </c>
      <c r="M1361" t="s">
        <v>2518</v>
      </c>
    </row>
    <row r="1362" spans="1:13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F1362" s="3">
        <v>2830.1325714285731</v>
      </c>
      <c r="G1362" s="4">
        <v>0.6</v>
      </c>
      <c r="H1362" s="3">
        <v>14150.662857142866</v>
      </c>
      <c r="I1362" s="1">
        <v>45842</v>
      </c>
      <c r="J1362" t="s">
        <v>46</v>
      </c>
      <c r="K1362" t="s">
        <v>16</v>
      </c>
      <c r="L1362" s="3">
        <v>5660.2651428571471</v>
      </c>
      <c r="M1362" t="s">
        <v>11</v>
      </c>
    </row>
    <row r="1363" spans="1:13" x14ac:dyDescent="0.3">
      <c r="A1363">
        <v>2361</v>
      </c>
      <c r="B1363" t="s">
        <v>1400</v>
      </c>
      <c r="C1363" t="s">
        <v>33</v>
      </c>
      <c r="D1363" t="s">
        <v>34</v>
      </c>
      <c r="E1363">
        <v>2</v>
      </c>
      <c r="F1363" s="3">
        <v>899.41</v>
      </c>
      <c r="G1363" s="4">
        <v>0.6</v>
      </c>
      <c r="H1363" s="3">
        <v>1798.82</v>
      </c>
      <c r="I1363" s="1">
        <v>45622</v>
      </c>
      <c r="J1363" t="s">
        <v>15</v>
      </c>
      <c r="K1363" t="s">
        <v>23</v>
      </c>
      <c r="L1363" s="3">
        <v>719.52800000000002</v>
      </c>
      <c r="M1363" t="s">
        <v>11</v>
      </c>
    </row>
    <row r="1364" spans="1:13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 s="3">
        <v>2550.98</v>
      </c>
      <c r="G1364" s="4">
        <v>0.6</v>
      </c>
      <c r="H1364" s="3">
        <v>0</v>
      </c>
      <c r="I1364" s="1">
        <v>45664</v>
      </c>
      <c r="J1364" t="s">
        <v>15</v>
      </c>
      <c r="K1364" t="s">
        <v>23</v>
      </c>
      <c r="L1364" s="3">
        <v>0</v>
      </c>
      <c r="M1364" t="s">
        <v>2518</v>
      </c>
    </row>
    <row r="1365" spans="1:13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 s="3">
        <v>3640.29</v>
      </c>
      <c r="G1365" s="4">
        <v>0.86</v>
      </c>
      <c r="H1365" s="3">
        <v>-3640.29</v>
      </c>
      <c r="I1365" s="1">
        <v>45628</v>
      </c>
      <c r="J1365" t="s">
        <v>56</v>
      </c>
      <c r="K1365" t="s">
        <v>16</v>
      </c>
      <c r="L1365" s="3">
        <v>-509.64060000000006</v>
      </c>
      <c r="M1365" t="s">
        <v>2518</v>
      </c>
    </row>
    <row r="1366" spans="1:13" x14ac:dyDescent="0.3">
      <c r="A1366">
        <v>2364</v>
      </c>
      <c r="B1366" t="s">
        <v>1403</v>
      </c>
      <c r="C1366" t="s">
        <v>29</v>
      </c>
      <c r="D1366" t="s">
        <v>141</v>
      </c>
      <c r="E1366">
        <v>2</v>
      </c>
      <c r="F1366" s="3">
        <v>857.68</v>
      </c>
      <c r="G1366" s="4">
        <v>0.6</v>
      </c>
      <c r="H1366" s="3">
        <v>1715.36</v>
      </c>
      <c r="I1366" s="1">
        <v>45817</v>
      </c>
      <c r="J1366" t="s">
        <v>22</v>
      </c>
      <c r="K1366" t="s">
        <v>23</v>
      </c>
      <c r="L1366" s="3">
        <v>686.14400000000001</v>
      </c>
      <c r="M1366" t="s">
        <v>11</v>
      </c>
    </row>
    <row r="1367" spans="1:13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F1367" s="3">
        <v>2868.7768181818178</v>
      </c>
      <c r="G1367" s="4">
        <v>0.49</v>
      </c>
      <c r="H1367" s="3">
        <v>8606.3304545454539</v>
      </c>
      <c r="I1367" s="1">
        <v>45757</v>
      </c>
      <c r="J1367" t="s">
        <v>56</v>
      </c>
      <c r="K1367" t="s">
        <v>23</v>
      </c>
      <c r="L1367" s="3">
        <v>4389.2285318181812</v>
      </c>
      <c r="M1367" t="s">
        <v>11</v>
      </c>
    </row>
    <row r="1368" spans="1:13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 s="3">
        <v>429.37</v>
      </c>
      <c r="G1368" s="4">
        <v>0.6</v>
      </c>
      <c r="H1368" s="3">
        <v>2576.2200000000003</v>
      </c>
      <c r="I1368" s="1">
        <v>45472</v>
      </c>
      <c r="J1368" t="s">
        <v>22</v>
      </c>
      <c r="K1368" t="s">
        <v>23</v>
      </c>
      <c r="L1368" s="3">
        <v>1030.4880000000001</v>
      </c>
      <c r="M1368" t="s">
        <v>11</v>
      </c>
    </row>
    <row r="1369" spans="1:13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 s="3">
        <v>500.41</v>
      </c>
      <c r="G1369" s="4">
        <v>0.6</v>
      </c>
      <c r="H1369" s="3">
        <v>1501.23</v>
      </c>
      <c r="I1369" s="1">
        <v>45648</v>
      </c>
      <c r="J1369" t="s">
        <v>22</v>
      </c>
      <c r="K1369" t="s">
        <v>23</v>
      </c>
      <c r="L1369" s="3">
        <v>600.49200000000008</v>
      </c>
      <c r="M1369" t="s">
        <v>11</v>
      </c>
    </row>
    <row r="1370" spans="1:13" x14ac:dyDescent="0.3">
      <c r="A1370">
        <v>2368</v>
      </c>
      <c r="B1370" t="s">
        <v>1407</v>
      </c>
      <c r="C1370" t="s">
        <v>29</v>
      </c>
      <c r="D1370" t="s">
        <v>30</v>
      </c>
      <c r="E1370">
        <v>2</v>
      </c>
      <c r="F1370" s="3">
        <v>2971.36</v>
      </c>
      <c r="G1370" s="4">
        <v>0.49</v>
      </c>
      <c r="H1370" s="3">
        <v>5942.72</v>
      </c>
      <c r="I1370" s="1">
        <v>45532</v>
      </c>
      <c r="J1370" t="s">
        <v>18</v>
      </c>
      <c r="K1370" t="s">
        <v>23</v>
      </c>
      <c r="L1370" s="3">
        <v>3030.7872000000002</v>
      </c>
      <c r="M1370" t="s">
        <v>11</v>
      </c>
    </row>
    <row r="1371" spans="1:13" x14ac:dyDescent="0.3">
      <c r="A1371">
        <v>2369</v>
      </c>
      <c r="B1371" t="s">
        <v>1408</v>
      </c>
      <c r="C1371" t="s">
        <v>33</v>
      </c>
      <c r="D1371" t="s">
        <v>34</v>
      </c>
      <c r="E1371">
        <v>2</v>
      </c>
      <c r="F1371" s="3">
        <v>935.57</v>
      </c>
      <c r="G1371" s="4">
        <v>0.6</v>
      </c>
      <c r="H1371" s="3">
        <v>1871.14</v>
      </c>
      <c r="I1371" s="1">
        <v>45320</v>
      </c>
      <c r="J1371" t="s">
        <v>18</v>
      </c>
      <c r="K1371" t="s">
        <v>23</v>
      </c>
      <c r="L1371" s="3">
        <v>748.45600000000013</v>
      </c>
      <c r="M1371" t="s">
        <v>11</v>
      </c>
    </row>
    <row r="1372" spans="1:13" x14ac:dyDescent="0.3">
      <c r="A1372">
        <v>2370</v>
      </c>
      <c r="B1372" t="s">
        <v>1409</v>
      </c>
      <c r="C1372" t="s">
        <v>38</v>
      </c>
      <c r="D1372" t="s">
        <v>59</v>
      </c>
      <c r="E1372">
        <v>2</v>
      </c>
      <c r="F1372" s="3">
        <v>2804.2651923076919</v>
      </c>
      <c r="G1372" s="4">
        <v>0.6</v>
      </c>
      <c r="H1372" s="3">
        <v>5608.5303846153838</v>
      </c>
      <c r="I1372" s="1">
        <v>45306</v>
      </c>
      <c r="J1372" t="s">
        <v>22</v>
      </c>
      <c r="K1372" t="s">
        <v>23</v>
      </c>
      <c r="L1372" s="3">
        <v>2243.4121538461536</v>
      </c>
      <c r="M1372" t="s">
        <v>11</v>
      </c>
    </row>
    <row r="1373" spans="1:13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 s="3">
        <v>4467.25</v>
      </c>
      <c r="G1373" s="4">
        <v>0.6</v>
      </c>
      <c r="H1373" s="3">
        <v>13401.75</v>
      </c>
      <c r="I1373" s="1">
        <v>45814</v>
      </c>
      <c r="J1373" t="s">
        <v>56</v>
      </c>
      <c r="K1373" t="s">
        <v>23</v>
      </c>
      <c r="L1373" s="3">
        <v>5360.7000000000007</v>
      </c>
      <c r="M1373" t="s">
        <v>11</v>
      </c>
    </row>
    <row r="1374" spans="1:13" x14ac:dyDescent="0.3">
      <c r="A1374">
        <v>2372</v>
      </c>
      <c r="B1374" t="s">
        <v>1411</v>
      </c>
      <c r="C1374" t="s">
        <v>38</v>
      </c>
      <c r="D1374" t="s">
        <v>63</v>
      </c>
      <c r="E1374">
        <v>2</v>
      </c>
      <c r="F1374" s="3">
        <v>2845.2419672131159</v>
      </c>
      <c r="G1374" s="4">
        <v>0.6</v>
      </c>
      <c r="H1374" s="3">
        <v>5690.4839344262318</v>
      </c>
      <c r="I1374" s="1">
        <v>45782</v>
      </c>
      <c r="J1374" t="s">
        <v>15</v>
      </c>
      <c r="K1374" t="s">
        <v>23</v>
      </c>
      <c r="L1374" s="3">
        <v>2276.193573770493</v>
      </c>
      <c r="M1374" t="s">
        <v>11</v>
      </c>
    </row>
    <row r="1375" spans="1:13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 s="3">
        <v>2490.44</v>
      </c>
      <c r="G1375" s="4">
        <v>0.6</v>
      </c>
      <c r="H1375" s="3">
        <v>-4980.88</v>
      </c>
      <c r="I1375" s="1">
        <v>45782</v>
      </c>
      <c r="J1375" t="s">
        <v>22</v>
      </c>
      <c r="K1375" t="s">
        <v>23</v>
      </c>
      <c r="L1375" s="3">
        <v>-1992.3520000000001</v>
      </c>
      <c r="M1375" t="s">
        <v>2518</v>
      </c>
    </row>
    <row r="1376" spans="1:13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 s="3">
        <v>4867.51</v>
      </c>
      <c r="G1376" s="4">
        <v>1.0900000000000001</v>
      </c>
      <c r="H1376" s="3">
        <v>0</v>
      </c>
      <c r="I1376" s="1">
        <v>45563</v>
      </c>
      <c r="J1376" t="s">
        <v>22</v>
      </c>
      <c r="K1376" t="s">
        <v>23</v>
      </c>
      <c r="L1376" s="3">
        <v>0</v>
      </c>
      <c r="M1376" t="s">
        <v>2518</v>
      </c>
    </row>
    <row r="1377" spans="1:13" x14ac:dyDescent="0.3">
      <c r="A1377">
        <v>2375</v>
      </c>
      <c r="B1377" t="s">
        <v>1414</v>
      </c>
      <c r="C1377" t="s">
        <v>33</v>
      </c>
      <c r="D1377" t="s">
        <v>72</v>
      </c>
      <c r="E1377">
        <v>2</v>
      </c>
      <c r="F1377" s="3">
        <v>2765.79</v>
      </c>
      <c r="G1377" s="4">
        <v>0.6</v>
      </c>
      <c r="H1377" s="3">
        <v>5531.58</v>
      </c>
      <c r="I1377" s="1">
        <v>45782</v>
      </c>
      <c r="J1377" t="s">
        <v>40</v>
      </c>
      <c r="K1377" t="s">
        <v>16</v>
      </c>
      <c r="L1377" s="3">
        <v>2212.6320000000001</v>
      </c>
      <c r="M1377" t="s">
        <v>11</v>
      </c>
    </row>
    <row r="1378" spans="1:13" x14ac:dyDescent="0.3">
      <c r="A1378">
        <v>2376</v>
      </c>
      <c r="B1378" t="s">
        <v>1415</v>
      </c>
      <c r="C1378" t="s">
        <v>20</v>
      </c>
      <c r="D1378" t="s">
        <v>80</v>
      </c>
      <c r="E1378">
        <v>2</v>
      </c>
      <c r="F1378" s="3">
        <v>2483.5844000000002</v>
      </c>
      <c r="G1378" s="4">
        <v>0.6</v>
      </c>
      <c r="H1378" s="3">
        <v>4967.1688000000004</v>
      </c>
      <c r="I1378" s="1">
        <v>45249</v>
      </c>
      <c r="J1378" t="s">
        <v>46</v>
      </c>
      <c r="K1378" t="s">
        <v>16</v>
      </c>
      <c r="L1378" s="3">
        <v>1986.8675200000002</v>
      </c>
      <c r="M1378" t="s">
        <v>11</v>
      </c>
    </row>
    <row r="1379" spans="1:13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 s="3">
        <v>4458.4799999999996</v>
      </c>
      <c r="G1379" s="4">
        <v>0.6</v>
      </c>
      <c r="H1379" s="3">
        <v>17833.919999999998</v>
      </c>
      <c r="I1379" s="1">
        <v>45574</v>
      </c>
      <c r="J1379" t="s">
        <v>40</v>
      </c>
      <c r="K1379" t="s">
        <v>23</v>
      </c>
      <c r="L1379" s="3">
        <v>7133.5679999999993</v>
      </c>
      <c r="M1379" t="s">
        <v>11</v>
      </c>
    </row>
    <row r="1380" spans="1:13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 s="3">
        <v>1985.49</v>
      </c>
      <c r="G1380" s="4">
        <v>0.6</v>
      </c>
      <c r="H1380" s="3">
        <v>0</v>
      </c>
      <c r="I1380" s="1">
        <v>45782</v>
      </c>
      <c r="J1380" t="s">
        <v>18</v>
      </c>
      <c r="K1380" t="s">
        <v>16</v>
      </c>
      <c r="L1380" s="3">
        <v>0</v>
      </c>
      <c r="M1380" t="s">
        <v>2518</v>
      </c>
    </row>
    <row r="1381" spans="1:13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 s="3">
        <v>2188.7399999999998</v>
      </c>
      <c r="G1381" s="4">
        <v>0.6</v>
      </c>
      <c r="H1381" s="3">
        <v>13132.439999999999</v>
      </c>
      <c r="I1381" s="1">
        <v>45343</v>
      </c>
      <c r="J1381" t="s">
        <v>40</v>
      </c>
      <c r="K1381" t="s">
        <v>16</v>
      </c>
      <c r="L1381" s="3">
        <v>5252.9759999999997</v>
      </c>
      <c r="M1381" t="s">
        <v>11</v>
      </c>
    </row>
    <row r="1382" spans="1:13" x14ac:dyDescent="0.3">
      <c r="A1382">
        <v>2380</v>
      </c>
      <c r="B1382" t="s">
        <v>1419</v>
      </c>
      <c r="C1382" t="s">
        <v>20</v>
      </c>
      <c r="D1382" t="s">
        <v>21</v>
      </c>
      <c r="E1382">
        <v>2</v>
      </c>
      <c r="F1382" s="3">
        <v>3820.42</v>
      </c>
      <c r="G1382" s="4">
        <v>1.03</v>
      </c>
      <c r="H1382" s="3">
        <v>7640.84</v>
      </c>
      <c r="I1382" s="1">
        <v>45746</v>
      </c>
      <c r="J1382" t="s">
        <v>22</v>
      </c>
      <c r="K1382" t="s">
        <v>23</v>
      </c>
      <c r="L1382" s="3">
        <v>-229.2252000000002</v>
      </c>
      <c r="M1382" t="s">
        <v>2518</v>
      </c>
    </row>
    <row r="1383" spans="1:13" x14ac:dyDescent="0.3">
      <c r="A1383">
        <v>2381</v>
      </c>
      <c r="B1383" t="s">
        <v>1420</v>
      </c>
      <c r="C1383" t="s">
        <v>25</v>
      </c>
      <c r="D1383" t="s">
        <v>54</v>
      </c>
      <c r="E1383">
        <v>2</v>
      </c>
      <c r="F1383" s="3">
        <v>2530.3836538461546</v>
      </c>
      <c r="G1383" s="4">
        <v>0.6</v>
      </c>
      <c r="H1383" s="3">
        <v>5060.7673076923093</v>
      </c>
      <c r="I1383" s="1">
        <v>45620</v>
      </c>
      <c r="J1383" t="s">
        <v>15</v>
      </c>
      <c r="K1383" t="s">
        <v>23</v>
      </c>
      <c r="L1383" s="3">
        <v>2024.3069230769238</v>
      </c>
      <c r="M1383" t="s">
        <v>11</v>
      </c>
    </row>
    <row r="1384" spans="1:13" x14ac:dyDescent="0.3">
      <c r="A1384">
        <v>2382</v>
      </c>
      <c r="B1384" t="s">
        <v>1421</v>
      </c>
      <c r="C1384" t="s">
        <v>20</v>
      </c>
      <c r="D1384" t="s">
        <v>80</v>
      </c>
      <c r="E1384">
        <v>2</v>
      </c>
      <c r="F1384" s="3">
        <v>3440.31</v>
      </c>
      <c r="G1384" s="4">
        <v>0.6</v>
      </c>
      <c r="H1384" s="3">
        <v>6880.62</v>
      </c>
      <c r="I1384" s="1">
        <v>45786</v>
      </c>
      <c r="J1384" t="s">
        <v>40</v>
      </c>
      <c r="K1384" t="s">
        <v>23</v>
      </c>
      <c r="L1384" s="3">
        <v>2752.248</v>
      </c>
      <c r="M1384" t="s">
        <v>11</v>
      </c>
    </row>
    <row r="1385" spans="1:13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F1385" s="3">
        <v>2501.5309999999999</v>
      </c>
      <c r="G1385" s="4">
        <v>0.6</v>
      </c>
      <c r="H1385" s="3">
        <v>-5003.0619999999999</v>
      </c>
      <c r="I1385" s="1">
        <v>45802</v>
      </c>
      <c r="J1385" t="s">
        <v>56</v>
      </c>
      <c r="K1385" t="s">
        <v>23</v>
      </c>
      <c r="L1385" s="3">
        <v>-2001.2248</v>
      </c>
      <c r="M1385" t="s">
        <v>2518</v>
      </c>
    </row>
    <row r="1386" spans="1:13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 s="3">
        <v>1625.58</v>
      </c>
      <c r="G1386" s="4">
        <v>0.1</v>
      </c>
      <c r="H1386" s="3">
        <v>4876.74</v>
      </c>
      <c r="I1386" s="1">
        <v>45854</v>
      </c>
      <c r="J1386" t="s">
        <v>46</v>
      </c>
      <c r="K1386" t="s">
        <v>23</v>
      </c>
      <c r="L1386" s="3">
        <v>4389.0659999999998</v>
      </c>
      <c r="M1386" t="s">
        <v>11</v>
      </c>
    </row>
    <row r="1387" spans="1:13" x14ac:dyDescent="0.3">
      <c r="A1387">
        <v>2385</v>
      </c>
      <c r="B1387" t="s">
        <v>1424</v>
      </c>
      <c r="C1387" t="s">
        <v>38</v>
      </c>
      <c r="D1387" t="s">
        <v>63</v>
      </c>
      <c r="E1387">
        <v>2</v>
      </c>
      <c r="F1387" s="3">
        <v>2845.2419672131159</v>
      </c>
      <c r="G1387" s="4">
        <v>0.06</v>
      </c>
      <c r="H1387" s="3">
        <v>5690.4839344262318</v>
      </c>
      <c r="I1387" s="1">
        <v>45745</v>
      </c>
      <c r="J1387" t="s">
        <v>15</v>
      </c>
      <c r="K1387" t="s">
        <v>23</v>
      </c>
      <c r="L1387" s="3">
        <v>5349.0548983606577</v>
      </c>
      <c r="M1387" t="s">
        <v>11</v>
      </c>
    </row>
    <row r="1388" spans="1:13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 s="3">
        <v>2253.08</v>
      </c>
      <c r="G1388" s="4">
        <v>0.09</v>
      </c>
      <c r="H1388" s="3">
        <v>0</v>
      </c>
      <c r="I1388" s="1">
        <v>45782</v>
      </c>
      <c r="J1388" t="s">
        <v>18</v>
      </c>
      <c r="K1388" t="s">
        <v>23</v>
      </c>
      <c r="L1388" s="3">
        <v>0</v>
      </c>
      <c r="M1388" t="s">
        <v>2518</v>
      </c>
    </row>
    <row r="1389" spans="1:13" x14ac:dyDescent="0.3">
      <c r="A1389">
        <v>2387</v>
      </c>
      <c r="B1389" t="s">
        <v>1426</v>
      </c>
      <c r="C1389" t="s">
        <v>29</v>
      </c>
      <c r="D1389" t="s">
        <v>141</v>
      </c>
      <c r="E1389">
        <v>2</v>
      </c>
      <c r="F1389" s="3">
        <v>3246.04</v>
      </c>
      <c r="G1389" s="4">
        <v>0.6</v>
      </c>
      <c r="H1389" s="3">
        <v>6492.08</v>
      </c>
      <c r="I1389" s="1">
        <v>45773</v>
      </c>
      <c r="J1389" t="s">
        <v>56</v>
      </c>
      <c r="K1389" t="s">
        <v>23</v>
      </c>
      <c r="L1389" s="3">
        <v>2596.8320000000003</v>
      </c>
      <c r="M1389" t="s">
        <v>11</v>
      </c>
    </row>
    <row r="1390" spans="1:13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F1390" s="3">
        <v>2487.039615384615</v>
      </c>
      <c r="G1390" s="4">
        <v>0.6</v>
      </c>
      <c r="H1390" s="3">
        <v>-4974.07923076923</v>
      </c>
      <c r="I1390" s="1">
        <v>45714</v>
      </c>
      <c r="J1390" t="s">
        <v>56</v>
      </c>
      <c r="K1390" t="s">
        <v>23</v>
      </c>
      <c r="L1390" s="3">
        <v>-1989.631692307692</v>
      </c>
      <c r="M1390" t="s">
        <v>2518</v>
      </c>
    </row>
    <row r="1391" spans="1:13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F1391" s="3">
        <v>2572.7764000000006</v>
      </c>
      <c r="G1391" s="4">
        <v>0.6</v>
      </c>
      <c r="H1391" s="3">
        <v>12863.882000000003</v>
      </c>
      <c r="I1391" s="1">
        <v>45373</v>
      </c>
      <c r="J1391" t="s">
        <v>40</v>
      </c>
      <c r="K1391" t="s">
        <v>23</v>
      </c>
      <c r="L1391" s="3">
        <v>5145.5528000000013</v>
      </c>
      <c r="M1391" t="s">
        <v>11</v>
      </c>
    </row>
    <row r="1392" spans="1:13" x14ac:dyDescent="0.3">
      <c r="A1392">
        <v>2390</v>
      </c>
      <c r="B1392" t="s">
        <v>1429</v>
      </c>
      <c r="C1392" t="s">
        <v>13</v>
      </c>
      <c r="D1392" t="s">
        <v>14</v>
      </c>
      <c r="E1392">
        <v>2</v>
      </c>
      <c r="F1392" s="3">
        <v>3605.36</v>
      </c>
      <c r="G1392" s="4">
        <v>1.01</v>
      </c>
      <c r="H1392" s="3">
        <v>7210.72</v>
      </c>
      <c r="I1392" s="1">
        <v>45660</v>
      </c>
      <c r="J1392" t="s">
        <v>18</v>
      </c>
      <c r="K1392" t="s">
        <v>23</v>
      </c>
      <c r="L1392" s="3">
        <v>-72.107200000000063</v>
      </c>
      <c r="M1392" t="s">
        <v>2518</v>
      </c>
    </row>
    <row r="1393" spans="1:13" x14ac:dyDescent="0.3">
      <c r="A1393">
        <v>2391</v>
      </c>
      <c r="B1393" t="s">
        <v>1430</v>
      </c>
      <c r="C1393" t="s">
        <v>13</v>
      </c>
      <c r="D1393" t="s">
        <v>36</v>
      </c>
      <c r="E1393">
        <v>2</v>
      </c>
      <c r="F1393" s="3">
        <v>4473.9399999999996</v>
      </c>
      <c r="G1393" s="4">
        <v>0.6</v>
      </c>
      <c r="H1393" s="3">
        <v>8947.8799999999992</v>
      </c>
      <c r="I1393" s="1">
        <v>45782</v>
      </c>
      <c r="J1393" t="s">
        <v>40</v>
      </c>
      <c r="K1393" t="s">
        <v>23</v>
      </c>
      <c r="L1393" s="3">
        <v>3579.152</v>
      </c>
      <c r="M1393" t="s">
        <v>11</v>
      </c>
    </row>
    <row r="1394" spans="1:13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 s="3">
        <v>4550.95</v>
      </c>
      <c r="G1394" s="4">
        <v>0.6</v>
      </c>
      <c r="H1394" s="3">
        <v>13652.849999999999</v>
      </c>
      <c r="I1394" s="1">
        <v>45736</v>
      </c>
      <c r="J1394" t="s">
        <v>18</v>
      </c>
      <c r="K1394" t="s">
        <v>23</v>
      </c>
      <c r="L1394" s="3">
        <v>5461.1399999999994</v>
      </c>
      <c r="M1394" t="s">
        <v>11</v>
      </c>
    </row>
    <row r="1395" spans="1:13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 s="3">
        <v>753.85</v>
      </c>
      <c r="G1395" s="4">
        <v>0.6</v>
      </c>
      <c r="H1395" s="3">
        <v>3769.25</v>
      </c>
      <c r="I1395" s="1">
        <v>45615</v>
      </c>
      <c r="J1395" t="s">
        <v>15</v>
      </c>
      <c r="K1395" t="s">
        <v>16</v>
      </c>
      <c r="L1395" s="3">
        <v>1507.7</v>
      </c>
      <c r="M1395" t="s">
        <v>11</v>
      </c>
    </row>
    <row r="1396" spans="1:13" x14ac:dyDescent="0.3">
      <c r="A1396">
        <v>2394</v>
      </c>
      <c r="B1396" t="s">
        <v>1433</v>
      </c>
      <c r="C1396" t="s">
        <v>20</v>
      </c>
      <c r="D1396" t="s">
        <v>21</v>
      </c>
      <c r="E1396">
        <v>2</v>
      </c>
      <c r="F1396" s="3">
        <v>3384.51</v>
      </c>
      <c r="G1396" s="4">
        <v>0.6</v>
      </c>
      <c r="H1396" s="3">
        <v>6769.02</v>
      </c>
      <c r="I1396" s="1">
        <v>45839</v>
      </c>
      <c r="J1396" t="s">
        <v>40</v>
      </c>
      <c r="K1396" t="s">
        <v>23</v>
      </c>
      <c r="L1396" s="3">
        <v>2707.6080000000002</v>
      </c>
      <c r="M1396" t="s">
        <v>11</v>
      </c>
    </row>
    <row r="1397" spans="1:13" x14ac:dyDescent="0.3">
      <c r="A1397">
        <v>2395</v>
      </c>
      <c r="B1397" t="s">
        <v>1434</v>
      </c>
      <c r="C1397" t="s">
        <v>29</v>
      </c>
      <c r="D1397" t="s">
        <v>120</v>
      </c>
      <c r="E1397">
        <v>2</v>
      </c>
      <c r="F1397" s="3">
        <v>2830.1325714285731</v>
      </c>
      <c r="G1397" s="4">
        <v>0.6</v>
      </c>
      <c r="H1397" s="3">
        <v>5660.2651428571462</v>
      </c>
      <c r="I1397" s="1">
        <v>45797</v>
      </c>
      <c r="J1397" t="s">
        <v>56</v>
      </c>
      <c r="K1397" t="s">
        <v>16</v>
      </c>
      <c r="L1397" s="3">
        <v>2264.1060571428584</v>
      </c>
      <c r="M1397" t="s">
        <v>11</v>
      </c>
    </row>
    <row r="1398" spans="1:13" x14ac:dyDescent="0.3">
      <c r="A1398">
        <v>2396</v>
      </c>
      <c r="B1398" t="s">
        <v>1435</v>
      </c>
      <c r="C1398" t="s">
        <v>13</v>
      </c>
      <c r="D1398" t="s">
        <v>14</v>
      </c>
      <c r="E1398">
        <v>2</v>
      </c>
      <c r="F1398" s="3">
        <v>2381.2677586206896</v>
      </c>
      <c r="G1398" s="4">
        <v>1.02</v>
      </c>
      <c r="H1398" s="3">
        <v>4762.5355172413792</v>
      </c>
      <c r="I1398" s="1">
        <v>45619</v>
      </c>
      <c r="J1398" t="s">
        <v>56</v>
      </c>
      <c r="K1398" t="s">
        <v>16</v>
      </c>
      <c r="L1398" s="3">
        <v>-95.250710344827667</v>
      </c>
      <c r="M1398" t="s">
        <v>2518</v>
      </c>
    </row>
    <row r="1399" spans="1:13" x14ac:dyDescent="0.3">
      <c r="A1399">
        <v>2397</v>
      </c>
      <c r="B1399" t="s">
        <v>1436</v>
      </c>
      <c r="C1399" t="s">
        <v>20</v>
      </c>
      <c r="D1399" t="s">
        <v>80</v>
      </c>
      <c r="E1399">
        <v>2</v>
      </c>
      <c r="F1399" s="3">
        <v>1823.51</v>
      </c>
      <c r="G1399" s="4">
        <v>0.6</v>
      </c>
      <c r="H1399" s="3">
        <v>3647.02</v>
      </c>
      <c r="I1399" s="1">
        <v>45704</v>
      </c>
      <c r="J1399" t="s">
        <v>56</v>
      </c>
      <c r="K1399" t="s">
        <v>23</v>
      </c>
      <c r="L1399" s="3">
        <v>1458.808</v>
      </c>
      <c r="M1399" t="s">
        <v>11</v>
      </c>
    </row>
    <row r="1400" spans="1:13" x14ac:dyDescent="0.3">
      <c r="A1400">
        <v>1002</v>
      </c>
      <c r="B1400" t="s">
        <v>1437</v>
      </c>
      <c r="C1400" t="s">
        <v>13</v>
      </c>
      <c r="D1400" t="s">
        <v>49</v>
      </c>
      <c r="E1400">
        <v>2</v>
      </c>
      <c r="F1400" s="3">
        <v>2942.95</v>
      </c>
      <c r="G1400" s="4">
        <v>0.6</v>
      </c>
      <c r="H1400" s="3">
        <v>5885.9</v>
      </c>
      <c r="I1400" s="1">
        <v>45830</v>
      </c>
      <c r="J1400" t="s">
        <v>40</v>
      </c>
      <c r="K1400" t="s">
        <v>23</v>
      </c>
      <c r="L1400" s="3">
        <v>2354.36</v>
      </c>
      <c r="M1400" t="s">
        <v>11</v>
      </c>
    </row>
    <row r="1401" spans="1:13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 s="3">
        <v>3643.5</v>
      </c>
      <c r="G1401" s="4">
        <v>0.6</v>
      </c>
      <c r="H1401" s="3">
        <v>-7287</v>
      </c>
      <c r="I1401" s="1">
        <v>45508</v>
      </c>
      <c r="J1401" t="s">
        <v>15</v>
      </c>
      <c r="K1401" t="s">
        <v>23</v>
      </c>
      <c r="L1401" s="3">
        <v>-2914.8</v>
      </c>
      <c r="M1401" t="s">
        <v>2518</v>
      </c>
    </row>
    <row r="1402" spans="1:13" x14ac:dyDescent="0.3">
      <c r="A1402">
        <v>2400</v>
      </c>
      <c r="B1402" t="s">
        <v>1439</v>
      </c>
      <c r="C1402" t="s">
        <v>38</v>
      </c>
      <c r="D1402" t="s">
        <v>91</v>
      </c>
      <c r="E1402">
        <v>2</v>
      </c>
      <c r="F1402" s="3">
        <v>4756.67</v>
      </c>
      <c r="G1402" s="4">
        <v>0.75</v>
      </c>
      <c r="H1402" s="3">
        <v>9513.34</v>
      </c>
      <c r="I1402" s="1">
        <v>45831</v>
      </c>
      <c r="J1402" t="s">
        <v>46</v>
      </c>
      <c r="K1402" t="s">
        <v>16</v>
      </c>
      <c r="L1402" s="3">
        <v>2378.335</v>
      </c>
      <c r="M1402" t="s">
        <v>11</v>
      </c>
    </row>
    <row r="1403" spans="1:13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 s="3">
        <v>2159.6799999999998</v>
      </c>
      <c r="G1403" s="4">
        <v>0.6</v>
      </c>
      <c r="H1403" s="3">
        <v>4319.3599999999997</v>
      </c>
      <c r="I1403" s="1">
        <v>45666</v>
      </c>
      <c r="J1403" t="s">
        <v>46</v>
      </c>
      <c r="K1403" t="s">
        <v>23</v>
      </c>
      <c r="L1403" s="3">
        <v>1727.7439999999999</v>
      </c>
      <c r="M1403" t="s">
        <v>11</v>
      </c>
    </row>
    <row r="1404" spans="1:13" x14ac:dyDescent="0.3">
      <c r="A1404">
        <v>2402</v>
      </c>
      <c r="B1404" t="s">
        <v>1441</v>
      </c>
      <c r="C1404" t="s">
        <v>33</v>
      </c>
      <c r="D1404" t="s">
        <v>34</v>
      </c>
      <c r="E1404">
        <v>2</v>
      </c>
      <c r="F1404" s="3">
        <v>744.83</v>
      </c>
      <c r="G1404" s="4">
        <v>0.16</v>
      </c>
      <c r="H1404" s="3">
        <v>1489.66</v>
      </c>
      <c r="I1404" s="1">
        <v>45782</v>
      </c>
      <c r="J1404" t="s">
        <v>22</v>
      </c>
      <c r="K1404" t="s">
        <v>23</v>
      </c>
      <c r="L1404" s="3">
        <v>1251.3144</v>
      </c>
      <c r="M1404" t="s">
        <v>11</v>
      </c>
    </row>
    <row r="1405" spans="1:13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F1405" s="3">
        <v>2841.7630612244907</v>
      </c>
      <c r="G1405" s="4">
        <v>0.6</v>
      </c>
      <c r="H1405" s="3">
        <v>0</v>
      </c>
      <c r="I1405" s="1">
        <v>45686</v>
      </c>
      <c r="J1405" t="s">
        <v>56</v>
      </c>
      <c r="K1405" t="s">
        <v>23</v>
      </c>
      <c r="L1405" s="3">
        <v>0</v>
      </c>
      <c r="M1405" t="s">
        <v>2518</v>
      </c>
    </row>
    <row r="1406" spans="1:13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F1406" s="3">
        <v>2462.79</v>
      </c>
      <c r="G1406" s="4">
        <v>0.6</v>
      </c>
      <c r="H1406" s="3">
        <v>9851.16</v>
      </c>
      <c r="I1406" s="1">
        <v>45657</v>
      </c>
      <c r="J1406" t="s">
        <v>15</v>
      </c>
      <c r="K1406" t="s">
        <v>16</v>
      </c>
      <c r="L1406" s="3">
        <v>3940.4639999999999</v>
      </c>
      <c r="M1406" t="s">
        <v>11</v>
      </c>
    </row>
    <row r="1407" spans="1:13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 s="3">
        <v>1943.21</v>
      </c>
      <c r="G1407" s="4">
        <v>0.6</v>
      </c>
      <c r="H1407" s="3">
        <v>-1943.21</v>
      </c>
      <c r="I1407" s="1">
        <v>45782</v>
      </c>
      <c r="J1407" t="s">
        <v>18</v>
      </c>
      <c r="K1407" t="s">
        <v>23</v>
      </c>
      <c r="L1407" s="3">
        <v>-777.28400000000011</v>
      </c>
      <c r="M1407" t="s">
        <v>2518</v>
      </c>
    </row>
    <row r="1408" spans="1:13" x14ac:dyDescent="0.3">
      <c r="A1408">
        <v>2406</v>
      </c>
      <c r="B1408" t="s">
        <v>1445</v>
      </c>
      <c r="C1408" t="s">
        <v>13</v>
      </c>
      <c r="D1408" t="s">
        <v>14</v>
      </c>
      <c r="E1408">
        <v>2</v>
      </c>
      <c r="F1408" s="3">
        <v>4847.7299999999996</v>
      </c>
      <c r="G1408" s="4">
        <v>0.6</v>
      </c>
      <c r="H1408" s="3">
        <v>9695.4599999999991</v>
      </c>
      <c r="I1408" s="1">
        <v>45782</v>
      </c>
      <c r="J1408" t="s">
        <v>18</v>
      </c>
      <c r="K1408" t="s">
        <v>23</v>
      </c>
      <c r="L1408" s="3">
        <v>3878.1839999999997</v>
      </c>
      <c r="M1408" t="s">
        <v>11</v>
      </c>
    </row>
    <row r="1409" spans="1:13" x14ac:dyDescent="0.3">
      <c r="A1409">
        <v>2407</v>
      </c>
      <c r="B1409" t="s">
        <v>1446</v>
      </c>
      <c r="C1409" t="s">
        <v>13</v>
      </c>
      <c r="D1409" t="s">
        <v>14</v>
      </c>
      <c r="E1409">
        <v>2</v>
      </c>
      <c r="F1409" s="3">
        <v>2381.2677586206896</v>
      </c>
      <c r="G1409" s="4">
        <v>0.6</v>
      </c>
      <c r="H1409" s="3">
        <v>4762.5355172413792</v>
      </c>
      <c r="I1409" s="1">
        <v>45801</v>
      </c>
      <c r="J1409" t="s">
        <v>18</v>
      </c>
      <c r="K1409" t="s">
        <v>23</v>
      </c>
      <c r="L1409" s="3">
        <v>1905.0142068965517</v>
      </c>
      <c r="M1409" t="s">
        <v>11</v>
      </c>
    </row>
    <row r="1410" spans="1:13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 s="3">
        <v>2169.73</v>
      </c>
      <c r="G1410" s="4">
        <v>0.6</v>
      </c>
      <c r="H1410" s="3">
        <v>13018.380000000001</v>
      </c>
      <c r="I1410" s="1">
        <v>45782</v>
      </c>
      <c r="J1410" t="s">
        <v>40</v>
      </c>
      <c r="K1410" t="s">
        <v>23</v>
      </c>
      <c r="L1410" s="3">
        <v>5207.3520000000008</v>
      </c>
      <c r="M1410" t="s">
        <v>11</v>
      </c>
    </row>
    <row r="1411" spans="1:13" x14ac:dyDescent="0.3">
      <c r="A1411">
        <v>2409</v>
      </c>
      <c r="B1411" t="s">
        <v>1448</v>
      </c>
      <c r="C1411" t="s">
        <v>38</v>
      </c>
      <c r="D1411" t="s">
        <v>63</v>
      </c>
      <c r="E1411">
        <v>2</v>
      </c>
      <c r="F1411" s="3">
        <v>1430.06</v>
      </c>
      <c r="G1411" s="4">
        <v>0.98</v>
      </c>
      <c r="H1411" s="3">
        <v>2860.12</v>
      </c>
      <c r="I1411" s="1">
        <v>45744</v>
      </c>
      <c r="J1411" t="s">
        <v>46</v>
      </c>
      <c r="K1411" t="s">
        <v>23</v>
      </c>
      <c r="L1411" s="3">
        <v>57.202400000000047</v>
      </c>
      <c r="M1411" t="s">
        <v>2518</v>
      </c>
    </row>
    <row r="1412" spans="1:13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F1412" s="3">
        <v>2462.79</v>
      </c>
      <c r="G1412" s="4">
        <v>0.6</v>
      </c>
      <c r="H1412" s="3">
        <v>7388.37</v>
      </c>
      <c r="I1412" s="1">
        <v>45670</v>
      </c>
      <c r="J1412" t="s">
        <v>46</v>
      </c>
      <c r="K1412" t="s">
        <v>23</v>
      </c>
      <c r="L1412" s="3">
        <v>2955.348</v>
      </c>
      <c r="M1412" t="s">
        <v>11</v>
      </c>
    </row>
    <row r="1413" spans="1:13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F1413" s="3">
        <v>2785.0877966101693</v>
      </c>
      <c r="G1413" s="4">
        <v>0.6</v>
      </c>
      <c r="H1413" s="3">
        <v>-5570.1755932203387</v>
      </c>
      <c r="I1413" s="1">
        <v>45791</v>
      </c>
      <c r="J1413" t="s">
        <v>15</v>
      </c>
      <c r="K1413" t="s">
        <v>16</v>
      </c>
      <c r="L1413" s="3">
        <v>-2228.0702372881356</v>
      </c>
      <c r="M1413" t="s">
        <v>2518</v>
      </c>
    </row>
    <row r="1414" spans="1:13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F1414" s="3">
        <v>2785.0877966101693</v>
      </c>
      <c r="G1414" s="4">
        <v>0.6</v>
      </c>
      <c r="H1414" s="3">
        <v>-2785.0877966101693</v>
      </c>
      <c r="I1414" s="1">
        <v>45218</v>
      </c>
      <c r="J1414" t="s">
        <v>15</v>
      </c>
      <c r="K1414" t="s">
        <v>23</v>
      </c>
      <c r="L1414" s="3">
        <v>-1114.0351186440678</v>
      </c>
      <c r="M1414" t="s">
        <v>2518</v>
      </c>
    </row>
    <row r="1415" spans="1:13" x14ac:dyDescent="0.3">
      <c r="A1415">
        <v>2413</v>
      </c>
      <c r="B1415" t="s">
        <v>1452</v>
      </c>
      <c r="C1415" t="s">
        <v>25</v>
      </c>
      <c r="D1415" t="s">
        <v>26</v>
      </c>
      <c r="E1415">
        <v>2</v>
      </c>
      <c r="F1415" s="3">
        <v>4140.8599999999997</v>
      </c>
      <c r="G1415" s="4">
        <v>0.6</v>
      </c>
      <c r="H1415" s="3">
        <v>8281.7199999999993</v>
      </c>
      <c r="I1415" s="1">
        <v>45580</v>
      </c>
      <c r="J1415" t="s">
        <v>15</v>
      </c>
      <c r="K1415" t="s">
        <v>23</v>
      </c>
      <c r="L1415" s="3">
        <v>3312.6880000000001</v>
      </c>
      <c r="M1415" t="s">
        <v>11</v>
      </c>
    </row>
    <row r="1416" spans="1:13" x14ac:dyDescent="0.3">
      <c r="A1416">
        <v>1037</v>
      </c>
      <c r="B1416" t="s">
        <v>1453</v>
      </c>
      <c r="C1416" t="s">
        <v>29</v>
      </c>
      <c r="D1416" t="s">
        <v>141</v>
      </c>
      <c r="E1416">
        <v>2</v>
      </c>
      <c r="F1416" s="3">
        <v>3127.73</v>
      </c>
      <c r="G1416" s="4">
        <v>0.06</v>
      </c>
      <c r="H1416" s="3">
        <v>6255.46</v>
      </c>
      <c r="I1416" s="1">
        <v>45581</v>
      </c>
      <c r="J1416" t="s">
        <v>18</v>
      </c>
      <c r="K1416" t="s">
        <v>23</v>
      </c>
      <c r="L1416" s="3">
        <v>5880.1323999999995</v>
      </c>
      <c r="M1416" t="s">
        <v>11</v>
      </c>
    </row>
    <row r="1417" spans="1:13" x14ac:dyDescent="0.3">
      <c r="A1417">
        <v>2415</v>
      </c>
      <c r="B1417" t="s">
        <v>1454</v>
      </c>
      <c r="C1417" t="s">
        <v>13</v>
      </c>
      <c r="D1417" t="s">
        <v>102</v>
      </c>
      <c r="E1417">
        <v>2</v>
      </c>
      <c r="F1417" s="3">
        <v>3395.67</v>
      </c>
      <c r="G1417" s="4">
        <v>0.6</v>
      </c>
      <c r="H1417" s="3">
        <v>6791.34</v>
      </c>
      <c r="I1417" s="1">
        <v>45782</v>
      </c>
      <c r="J1417" t="s">
        <v>40</v>
      </c>
      <c r="K1417" t="s">
        <v>16</v>
      </c>
      <c r="L1417" s="3">
        <v>2716.5360000000001</v>
      </c>
      <c r="M1417" t="s">
        <v>11</v>
      </c>
    </row>
    <row r="1418" spans="1:13" x14ac:dyDescent="0.3">
      <c r="A1418">
        <v>2416</v>
      </c>
      <c r="B1418" t="s">
        <v>1455</v>
      </c>
      <c r="C1418" t="s">
        <v>38</v>
      </c>
      <c r="D1418" t="s">
        <v>91</v>
      </c>
      <c r="E1418">
        <v>2</v>
      </c>
      <c r="F1418" s="3">
        <v>2868.7768181818178</v>
      </c>
      <c r="G1418" s="4">
        <v>1.27</v>
      </c>
      <c r="H1418" s="3">
        <v>5737.5536363636356</v>
      </c>
      <c r="I1418" s="1">
        <v>45364</v>
      </c>
      <c r="J1418" t="s">
        <v>46</v>
      </c>
      <c r="K1418" t="s">
        <v>23</v>
      </c>
      <c r="L1418" s="3">
        <v>-1549.1394818181818</v>
      </c>
      <c r="M1418" t="s">
        <v>2518</v>
      </c>
    </row>
    <row r="1419" spans="1:13" x14ac:dyDescent="0.3">
      <c r="A1419">
        <v>2417</v>
      </c>
      <c r="B1419" t="s">
        <v>1456</v>
      </c>
      <c r="C1419" t="s">
        <v>20</v>
      </c>
      <c r="D1419" t="s">
        <v>80</v>
      </c>
      <c r="E1419">
        <v>2</v>
      </c>
      <c r="F1419" s="3">
        <v>4268.68</v>
      </c>
      <c r="G1419" s="4">
        <v>0.67</v>
      </c>
      <c r="H1419" s="3">
        <v>8537.36</v>
      </c>
      <c r="I1419" s="1">
        <v>45506</v>
      </c>
      <c r="J1419" t="s">
        <v>15</v>
      </c>
      <c r="K1419" t="s">
        <v>23</v>
      </c>
      <c r="L1419" s="3">
        <v>2817.3287999999998</v>
      </c>
      <c r="M1419" t="s">
        <v>11</v>
      </c>
    </row>
    <row r="1420" spans="1:13" x14ac:dyDescent="0.3">
      <c r="A1420">
        <v>2418</v>
      </c>
      <c r="B1420" t="s">
        <v>1457</v>
      </c>
      <c r="C1420" t="s">
        <v>20</v>
      </c>
      <c r="D1420" t="s">
        <v>88</v>
      </c>
      <c r="E1420">
        <v>2</v>
      </c>
      <c r="F1420" s="3">
        <v>3435.95</v>
      </c>
      <c r="G1420" s="4">
        <v>0.36</v>
      </c>
      <c r="H1420" s="3">
        <v>6871.9</v>
      </c>
      <c r="I1420" s="1">
        <v>45782</v>
      </c>
      <c r="J1420" t="s">
        <v>15</v>
      </c>
      <c r="K1420" t="s">
        <v>23</v>
      </c>
      <c r="L1420" s="3">
        <v>4398.0159999999996</v>
      </c>
      <c r="M1420" t="s">
        <v>11</v>
      </c>
    </row>
    <row r="1421" spans="1:13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 s="3">
        <v>1832.16</v>
      </c>
      <c r="G1421" s="4">
        <v>0.6</v>
      </c>
      <c r="H1421" s="3">
        <v>3664.32</v>
      </c>
      <c r="I1421" s="1">
        <v>45552</v>
      </c>
      <c r="J1421" t="s">
        <v>22</v>
      </c>
      <c r="K1421" t="s">
        <v>16</v>
      </c>
      <c r="L1421" s="3">
        <v>1465.7280000000001</v>
      </c>
      <c r="M1421" t="s">
        <v>11</v>
      </c>
    </row>
    <row r="1422" spans="1:13" x14ac:dyDescent="0.3">
      <c r="A1422">
        <v>2420</v>
      </c>
      <c r="B1422" t="s">
        <v>1459</v>
      </c>
      <c r="C1422" t="s">
        <v>20</v>
      </c>
      <c r="D1422" t="s">
        <v>80</v>
      </c>
      <c r="E1422">
        <v>2</v>
      </c>
      <c r="F1422" s="3">
        <v>3714.46</v>
      </c>
      <c r="G1422" s="4">
        <v>0.6</v>
      </c>
      <c r="H1422" s="3">
        <v>7428.92</v>
      </c>
      <c r="I1422" s="1">
        <v>45684</v>
      </c>
      <c r="J1422" t="s">
        <v>18</v>
      </c>
      <c r="K1422" t="s">
        <v>16</v>
      </c>
      <c r="L1422" s="3">
        <v>2971.5680000000002</v>
      </c>
      <c r="M1422" t="s">
        <v>11</v>
      </c>
    </row>
    <row r="1423" spans="1:13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 s="3">
        <v>4411.3900000000003</v>
      </c>
      <c r="G1423" s="4">
        <v>0.6</v>
      </c>
      <c r="H1423" s="3">
        <v>17645.560000000001</v>
      </c>
      <c r="I1423" s="1">
        <v>45516</v>
      </c>
      <c r="J1423" t="s">
        <v>56</v>
      </c>
      <c r="K1423" t="s">
        <v>23</v>
      </c>
      <c r="L1423" s="3">
        <v>7058.2240000000011</v>
      </c>
      <c r="M1423" t="s">
        <v>11</v>
      </c>
    </row>
    <row r="1424" spans="1:13" x14ac:dyDescent="0.3">
      <c r="A1424">
        <v>2422</v>
      </c>
      <c r="B1424" t="s">
        <v>1461</v>
      </c>
      <c r="C1424" t="s">
        <v>33</v>
      </c>
      <c r="D1424" t="s">
        <v>44</v>
      </c>
      <c r="E1424">
        <v>2</v>
      </c>
      <c r="F1424" s="3">
        <v>2841.7630612244907</v>
      </c>
      <c r="G1424" s="4">
        <v>0.22</v>
      </c>
      <c r="H1424" s="3">
        <v>5683.5261224489814</v>
      </c>
      <c r="I1424" s="1">
        <v>45536</v>
      </c>
      <c r="J1424" t="s">
        <v>40</v>
      </c>
      <c r="K1424" t="s">
        <v>23</v>
      </c>
      <c r="L1424" s="3">
        <v>4433.1503755102058</v>
      </c>
      <c r="M1424" t="s">
        <v>11</v>
      </c>
    </row>
    <row r="1425" spans="1:13" x14ac:dyDescent="0.3">
      <c r="A1425">
        <v>2423</v>
      </c>
      <c r="B1425" t="s">
        <v>1462</v>
      </c>
      <c r="C1425" t="s">
        <v>25</v>
      </c>
      <c r="D1425" t="s">
        <v>54</v>
      </c>
      <c r="E1425">
        <v>2</v>
      </c>
      <c r="F1425" s="3">
        <v>2530.3836538461546</v>
      </c>
      <c r="G1425" s="4">
        <v>0.6</v>
      </c>
      <c r="H1425" s="3">
        <v>5060.7673076923093</v>
      </c>
      <c r="I1425" s="1">
        <v>45256</v>
      </c>
      <c r="J1425" t="s">
        <v>18</v>
      </c>
      <c r="K1425" t="s">
        <v>23</v>
      </c>
      <c r="L1425" s="3">
        <v>2024.3069230769238</v>
      </c>
      <c r="M1425" t="s">
        <v>11</v>
      </c>
    </row>
    <row r="1426" spans="1:13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 s="3">
        <v>2476.15</v>
      </c>
      <c r="G1426" s="4">
        <v>0.6</v>
      </c>
      <c r="H1426" s="3">
        <v>12380.75</v>
      </c>
      <c r="I1426" s="1">
        <v>45279</v>
      </c>
      <c r="J1426" t="s">
        <v>46</v>
      </c>
      <c r="K1426" t="s">
        <v>16</v>
      </c>
      <c r="L1426" s="3">
        <v>4952.3</v>
      </c>
      <c r="M1426" t="s">
        <v>11</v>
      </c>
    </row>
    <row r="1427" spans="1:13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 s="3">
        <v>2632.44</v>
      </c>
      <c r="G1427" s="4">
        <v>0.6</v>
      </c>
      <c r="H1427" s="3">
        <v>0</v>
      </c>
      <c r="I1427" s="1">
        <v>45591</v>
      </c>
      <c r="J1427" t="s">
        <v>46</v>
      </c>
      <c r="K1427" t="s">
        <v>23</v>
      </c>
      <c r="L1427" s="3">
        <v>0</v>
      </c>
      <c r="M1427" t="s">
        <v>2518</v>
      </c>
    </row>
    <row r="1428" spans="1:13" x14ac:dyDescent="0.3">
      <c r="A1428">
        <v>2426</v>
      </c>
      <c r="B1428" t="s">
        <v>1465</v>
      </c>
      <c r="C1428" t="s">
        <v>20</v>
      </c>
      <c r="D1428" t="s">
        <v>80</v>
      </c>
      <c r="E1428">
        <v>2</v>
      </c>
      <c r="F1428" s="3">
        <v>2483.5844000000002</v>
      </c>
      <c r="G1428" s="4">
        <v>0.6</v>
      </c>
      <c r="H1428" s="3">
        <v>4967.1688000000004</v>
      </c>
      <c r="I1428" s="1">
        <v>45844</v>
      </c>
      <c r="J1428" t="s">
        <v>15</v>
      </c>
      <c r="K1428" t="s">
        <v>23</v>
      </c>
      <c r="L1428" s="3">
        <v>1986.8675200000002</v>
      </c>
      <c r="M1428" t="s">
        <v>11</v>
      </c>
    </row>
    <row r="1429" spans="1:13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 s="3">
        <v>1510.89</v>
      </c>
      <c r="G1429" s="4">
        <v>0.6</v>
      </c>
      <c r="H1429" s="3">
        <v>7554.4500000000007</v>
      </c>
      <c r="I1429" s="1">
        <v>45611</v>
      </c>
      <c r="J1429" t="s">
        <v>40</v>
      </c>
      <c r="K1429" t="s">
        <v>23</v>
      </c>
      <c r="L1429" s="3">
        <v>3021.7800000000007</v>
      </c>
      <c r="M1429" t="s">
        <v>11</v>
      </c>
    </row>
    <row r="1430" spans="1:13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F1430" s="3">
        <v>2888.8714285714286</v>
      </c>
      <c r="G1430" s="4">
        <v>0.6</v>
      </c>
      <c r="H1430" s="3">
        <v>-5777.7428571428572</v>
      </c>
      <c r="I1430" s="1">
        <v>45674</v>
      </c>
      <c r="J1430" t="s">
        <v>15</v>
      </c>
      <c r="K1430" t="s">
        <v>23</v>
      </c>
      <c r="L1430" s="3">
        <v>-2311.0971428571429</v>
      </c>
      <c r="M1430" t="s">
        <v>2518</v>
      </c>
    </row>
    <row r="1431" spans="1:13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 s="3">
        <v>4193.1000000000004</v>
      </c>
      <c r="G1431" s="4">
        <v>0.6</v>
      </c>
      <c r="H1431" s="3">
        <v>-4193.1000000000004</v>
      </c>
      <c r="I1431" s="1">
        <v>45561</v>
      </c>
      <c r="J1431" t="s">
        <v>56</v>
      </c>
      <c r="K1431" t="s">
        <v>16</v>
      </c>
      <c r="L1431" s="3">
        <v>-1677.2400000000002</v>
      </c>
      <c r="M1431" t="s">
        <v>2518</v>
      </c>
    </row>
    <row r="1432" spans="1:13" x14ac:dyDescent="0.3">
      <c r="A1432">
        <v>2430</v>
      </c>
      <c r="B1432" t="s">
        <v>1469</v>
      </c>
      <c r="C1432" t="s">
        <v>13</v>
      </c>
      <c r="D1432" t="s">
        <v>102</v>
      </c>
      <c r="E1432">
        <v>2</v>
      </c>
      <c r="F1432" s="3">
        <v>3149.37</v>
      </c>
      <c r="G1432" s="4">
        <v>0.6</v>
      </c>
      <c r="H1432" s="3">
        <v>6298.74</v>
      </c>
      <c r="I1432" s="1">
        <v>45782</v>
      </c>
      <c r="J1432" t="s">
        <v>46</v>
      </c>
      <c r="K1432" t="s">
        <v>16</v>
      </c>
      <c r="L1432" s="3">
        <v>2519.4960000000001</v>
      </c>
      <c r="M1432" t="s">
        <v>11</v>
      </c>
    </row>
    <row r="1433" spans="1:13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 s="3">
        <v>714.5</v>
      </c>
      <c r="G1433" s="4">
        <v>0.72</v>
      </c>
      <c r="H1433" s="3">
        <v>-1429</v>
      </c>
      <c r="I1433" s="1">
        <v>45497</v>
      </c>
      <c r="J1433" t="s">
        <v>15</v>
      </c>
      <c r="K1433" t="s">
        <v>23</v>
      </c>
      <c r="L1433" s="3">
        <v>-400.12000000000006</v>
      </c>
      <c r="M1433" t="s">
        <v>2518</v>
      </c>
    </row>
    <row r="1434" spans="1:13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F1434" s="3">
        <v>2725.8557142857148</v>
      </c>
      <c r="G1434" s="4">
        <v>0.11</v>
      </c>
      <c r="H1434" s="3">
        <v>2725.8557142857148</v>
      </c>
      <c r="I1434" s="1">
        <v>45782</v>
      </c>
      <c r="J1434" t="s">
        <v>22</v>
      </c>
      <c r="K1434" t="s">
        <v>23</v>
      </c>
      <c r="L1434" s="3">
        <v>2426.0115857142864</v>
      </c>
      <c r="M1434" t="s">
        <v>11</v>
      </c>
    </row>
    <row r="1435" spans="1:13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 s="3">
        <v>2489.1799999999998</v>
      </c>
      <c r="G1435" s="4">
        <v>0.6</v>
      </c>
      <c r="H1435" s="3">
        <v>0</v>
      </c>
      <c r="I1435" s="1">
        <v>45531</v>
      </c>
      <c r="J1435" t="s">
        <v>18</v>
      </c>
      <c r="K1435" t="s">
        <v>16</v>
      </c>
      <c r="L1435" s="3">
        <v>0</v>
      </c>
      <c r="M1435" t="s">
        <v>2518</v>
      </c>
    </row>
    <row r="1436" spans="1:13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F1436" s="3">
        <v>2700.1263043478252</v>
      </c>
      <c r="G1436" s="4">
        <v>0.6</v>
      </c>
      <c r="H1436" s="3">
        <v>0</v>
      </c>
      <c r="I1436" s="1">
        <v>45508</v>
      </c>
      <c r="J1436" t="s">
        <v>56</v>
      </c>
      <c r="K1436" t="s">
        <v>23</v>
      </c>
      <c r="L1436" s="3">
        <v>0</v>
      </c>
      <c r="M1436" t="s">
        <v>2518</v>
      </c>
    </row>
    <row r="1437" spans="1:13" x14ac:dyDescent="0.3">
      <c r="A1437">
        <v>2435</v>
      </c>
      <c r="B1437" t="s">
        <v>1473</v>
      </c>
      <c r="C1437" t="s">
        <v>29</v>
      </c>
      <c r="D1437" t="s">
        <v>30</v>
      </c>
      <c r="E1437">
        <v>2</v>
      </c>
      <c r="F1437" s="3">
        <v>2617.6390384615388</v>
      </c>
      <c r="G1437" s="4">
        <v>0.6</v>
      </c>
      <c r="H1437" s="3">
        <v>5235.2780769230776</v>
      </c>
      <c r="I1437" s="1">
        <v>45136</v>
      </c>
      <c r="J1437" t="s">
        <v>22</v>
      </c>
      <c r="K1437" t="s">
        <v>16</v>
      </c>
      <c r="L1437" s="3">
        <v>2094.111230769231</v>
      </c>
      <c r="M1437" t="s">
        <v>11</v>
      </c>
    </row>
    <row r="1438" spans="1:13" x14ac:dyDescent="0.3">
      <c r="A1438">
        <v>2436</v>
      </c>
      <c r="B1438" t="s">
        <v>1474</v>
      </c>
      <c r="C1438" t="s">
        <v>33</v>
      </c>
      <c r="D1438" t="s">
        <v>44</v>
      </c>
      <c r="E1438">
        <v>2</v>
      </c>
      <c r="F1438" s="3">
        <v>2841.7630612244907</v>
      </c>
      <c r="G1438" s="4">
        <v>0.6</v>
      </c>
      <c r="H1438" s="3">
        <v>5683.5261224489814</v>
      </c>
      <c r="I1438" s="1">
        <v>45782</v>
      </c>
      <c r="J1438" t="s">
        <v>56</v>
      </c>
      <c r="K1438" t="s">
        <v>23</v>
      </c>
      <c r="L1438" s="3">
        <v>2273.4104489795927</v>
      </c>
      <c r="M1438" t="s">
        <v>11</v>
      </c>
    </row>
    <row r="1439" spans="1:13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 s="3">
        <v>1906.91</v>
      </c>
      <c r="G1439" s="4">
        <v>0.97</v>
      </c>
      <c r="H1439" s="3">
        <v>1906.91</v>
      </c>
      <c r="I1439" s="1">
        <v>45782</v>
      </c>
      <c r="J1439" t="s">
        <v>18</v>
      </c>
      <c r="K1439" t="s">
        <v>23</v>
      </c>
      <c r="L1439" s="3">
        <v>57.207300000000053</v>
      </c>
      <c r="M1439" t="s">
        <v>2518</v>
      </c>
    </row>
    <row r="1440" spans="1:13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F1440" s="3">
        <v>2776.2202000000002</v>
      </c>
      <c r="G1440" s="4">
        <v>0.6</v>
      </c>
      <c r="H1440" s="3">
        <v>13881.101000000001</v>
      </c>
      <c r="I1440" s="1">
        <v>45365</v>
      </c>
      <c r="J1440" t="s">
        <v>56</v>
      </c>
      <c r="K1440" t="s">
        <v>23</v>
      </c>
      <c r="L1440" s="3">
        <v>5552.4404000000004</v>
      </c>
      <c r="M1440" t="s">
        <v>11</v>
      </c>
    </row>
    <row r="1441" spans="1:13" x14ac:dyDescent="0.3">
      <c r="A1441">
        <v>2439</v>
      </c>
      <c r="B1441" t="s">
        <v>1477</v>
      </c>
      <c r="C1441" t="s">
        <v>29</v>
      </c>
      <c r="D1441" t="s">
        <v>141</v>
      </c>
      <c r="E1441">
        <v>2</v>
      </c>
      <c r="F1441" s="3">
        <v>2462.79</v>
      </c>
      <c r="G1441" s="4">
        <v>0.24</v>
      </c>
      <c r="H1441" s="3">
        <v>4925.58</v>
      </c>
      <c r="I1441" s="1">
        <v>45562</v>
      </c>
      <c r="J1441" t="s">
        <v>15</v>
      </c>
      <c r="K1441" t="s">
        <v>16</v>
      </c>
      <c r="L1441" s="3">
        <v>3743.4407999999999</v>
      </c>
      <c r="M1441" t="s">
        <v>11</v>
      </c>
    </row>
    <row r="1442" spans="1:13" x14ac:dyDescent="0.3">
      <c r="A1442">
        <v>2440</v>
      </c>
      <c r="B1442" t="s">
        <v>1478</v>
      </c>
      <c r="C1442" t="s">
        <v>33</v>
      </c>
      <c r="D1442" t="s">
        <v>72</v>
      </c>
      <c r="E1442">
        <v>2</v>
      </c>
      <c r="F1442" s="3">
        <v>3846.31</v>
      </c>
      <c r="G1442" s="4">
        <v>0.51</v>
      </c>
      <c r="H1442" s="3">
        <v>7692.62</v>
      </c>
      <c r="I1442" s="1">
        <v>45539</v>
      </c>
      <c r="J1442" t="s">
        <v>46</v>
      </c>
      <c r="K1442" t="s">
        <v>23</v>
      </c>
      <c r="L1442" s="3">
        <v>3769.3838000000001</v>
      </c>
      <c r="M1442" t="s">
        <v>11</v>
      </c>
    </row>
    <row r="1443" spans="1:13" x14ac:dyDescent="0.3">
      <c r="A1443">
        <v>2441</v>
      </c>
      <c r="B1443" t="s">
        <v>1479</v>
      </c>
      <c r="C1443" t="s">
        <v>38</v>
      </c>
      <c r="D1443" t="s">
        <v>63</v>
      </c>
      <c r="E1443">
        <v>2</v>
      </c>
      <c r="F1443" s="3">
        <v>2845.2419672131159</v>
      </c>
      <c r="G1443" s="4">
        <v>0.81</v>
      </c>
      <c r="H1443" s="3">
        <v>5690.4839344262318</v>
      </c>
      <c r="I1443" s="1">
        <v>45782</v>
      </c>
      <c r="J1443" t="s">
        <v>46</v>
      </c>
      <c r="K1443" t="s">
        <v>23</v>
      </c>
      <c r="L1443" s="3">
        <v>1081.1919475409838</v>
      </c>
      <c r="M1443" t="s">
        <v>11</v>
      </c>
    </row>
    <row r="1444" spans="1:13" x14ac:dyDescent="0.3">
      <c r="A1444">
        <v>2442</v>
      </c>
      <c r="B1444" t="s">
        <v>1480</v>
      </c>
      <c r="C1444" t="s">
        <v>13</v>
      </c>
      <c r="D1444" t="s">
        <v>36</v>
      </c>
      <c r="E1444">
        <v>2</v>
      </c>
      <c r="F1444" s="3">
        <v>2882.5046551724135</v>
      </c>
      <c r="G1444" s="4">
        <v>0.6</v>
      </c>
      <c r="H1444" s="3">
        <v>5765.0093103448271</v>
      </c>
      <c r="I1444" s="1">
        <v>45688</v>
      </c>
      <c r="J1444" t="s">
        <v>46</v>
      </c>
      <c r="K1444" t="s">
        <v>16</v>
      </c>
      <c r="L1444" s="3">
        <v>2306.0037241379309</v>
      </c>
      <c r="M1444" t="s">
        <v>11</v>
      </c>
    </row>
    <row r="1445" spans="1:13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 s="3">
        <v>4981.8599999999997</v>
      </c>
      <c r="G1445" s="4">
        <v>0.6</v>
      </c>
      <c r="H1445" s="3">
        <v>4981.8599999999997</v>
      </c>
      <c r="I1445" s="1">
        <v>45562</v>
      </c>
      <c r="J1445" t="s">
        <v>46</v>
      </c>
      <c r="K1445" t="s">
        <v>23</v>
      </c>
      <c r="L1445" s="3">
        <v>1992.7439999999999</v>
      </c>
      <c r="M1445" t="s">
        <v>11</v>
      </c>
    </row>
    <row r="1446" spans="1:13" x14ac:dyDescent="0.3">
      <c r="A1446">
        <v>2444</v>
      </c>
      <c r="B1446" t="s">
        <v>1482</v>
      </c>
      <c r="C1446" t="s">
        <v>13</v>
      </c>
      <c r="D1446" t="s">
        <v>36</v>
      </c>
      <c r="E1446">
        <v>2</v>
      </c>
      <c r="F1446" s="3">
        <v>3470.88</v>
      </c>
      <c r="G1446" s="4">
        <v>0.6</v>
      </c>
      <c r="H1446" s="3">
        <v>6941.76</v>
      </c>
      <c r="I1446" s="1">
        <v>45782</v>
      </c>
      <c r="J1446" t="s">
        <v>46</v>
      </c>
      <c r="K1446" t="s">
        <v>23</v>
      </c>
      <c r="L1446" s="3">
        <v>2776.7040000000002</v>
      </c>
      <c r="M1446" t="s">
        <v>11</v>
      </c>
    </row>
    <row r="1447" spans="1:13" x14ac:dyDescent="0.3">
      <c r="A1447">
        <v>2445</v>
      </c>
      <c r="B1447" t="s">
        <v>1483</v>
      </c>
      <c r="C1447" t="s">
        <v>29</v>
      </c>
      <c r="D1447" t="s">
        <v>141</v>
      </c>
      <c r="E1447">
        <v>2</v>
      </c>
      <c r="F1447" s="3">
        <v>2282.02</v>
      </c>
      <c r="G1447" s="4">
        <v>0.6</v>
      </c>
      <c r="H1447" s="3">
        <v>4564.04</v>
      </c>
      <c r="I1447" s="1">
        <v>45658</v>
      </c>
      <c r="J1447" t="s">
        <v>22</v>
      </c>
      <c r="K1447" t="s">
        <v>16</v>
      </c>
      <c r="L1447" s="3">
        <v>1825.616</v>
      </c>
      <c r="M1447" t="s">
        <v>11</v>
      </c>
    </row>
    <row r="1448" spans="1:13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F1448" s="3">
        <v>2576.3056896551716</v>
      </c>
      <c r="G1448" s="4">
        <v>1.27</v>
      </c>
      <c r="H1448" s="3">
        <v>15457.83413793103</v>
      </c>
      <c r="I1448" s="1">
        <v>45606</v>
      </c>
      <c r="J1448" t="s">
        <v>40</v>
      </c>
      <c r="K1448" t="s">
        <v>16</v>
      </c>
      <c r="L1448" s="3">
        <v>-4173.6152172413786</v>
      </c>
      <c r="M1448" t="s">
        <v>2518</v>
      </c>
    </row>
    <row r="1449" spans="1:13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 s="3">
        <v>1773.3</v>
      </c>
      <c r="G1449" s="4">
        <v>0.6</v>
      </c>
      <c r="H1449" s="3">
        <v>10639.8</v>
      </c>
      <c r="I1449" s="1">
        <v>45607</v>
      </c>
      <c r="J1449" t="s">
        <v>56</v>
      </c>
      <c r="K1449" t="s">
        <v>23</v>
      </c>
      <c r="L1449" s="3">
        <v>4255.92</v>
      </c>
      <c r="M1449" t="s">
        <v>11</v>
      </c>
    </row>
    <row r="1450" spans="1:13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F1450" s="3">
        <v>2725.8557142857148</v>
      </c>
      <c r="G1450" s="4">
        <v>0.6</v>
      </c>
      <c r="H1450" s="3">
        <v>8177.5671428571441</v>
      </c>
      <c r="I1450" s="1">
        <v>45844</v>
      </c>
      <c r="J1450" t="s">
        <v>15</v>
      </c>
      <c r="K1450" t="s">
        <v>16</v>
      </c>
      <c r="L1450" s="3">
        <v>3271.0268571428578</v>
      </c>
      <c r="M1450" t="s">
        <v>11</v>
      </c>
    </row>
    <row r="1451" spans="1:13" x14ac:dyDescent="0.3">
      <c r="A1451">
        <v>2449</v>
      </c>
      <c r="B1451" t="s">
        <v>1486</v>
      </c>
      <c r="C1451" t="s">
        <v>25</v>
      </c>
      <c r="D1451" t="s">
        <v>86</v>
      </c>
      <c r="E1451">
        <v>2</v>
      </c>
      <c r="F1451" s="3">
        <v>2344.38</v>
      </c>
      <c r="G1451" s="4">
        <v>0.6</v>
      </c>
      <c r="H1451" s="3">
        <v>4688.76</v>
      </c>
      <c r="I1451" s="1">
        <v>45782</v>
      </c>
      <c r="J1451" t="s">
        <v>22</v>
      </c>
      <c r="K1451" t="s">
        <v>23</v>
      </c>
      <c r="L1451" s="3">
        <v>1875.5040000000001</v>
      </c>
      <c r="M1451" t="s">
        <v>11</v>
      </c>
    </row>
    <row r="1452" spans="1:13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 s="3">
        <v>3333.87</v>
      </c>
      <c r="G1452" s="4">
        <v>0.6</v>
      </c>
      <c r="H1452" s="3">
        <v>6667.74</v>
      </c>
      <c r="I1452" s="1">
        <v>45782</v>
      </c>
      <c r="J1452" t="s">
        <v>18</v>
      </c>
      <c r="K1452" t="s">
        <v>23</v>
      </c>
      <c r="L1452" s="3">
        <v>2667.096</v>
      </c>
      <c r="M1452" t="s">
        <v>11</v>
      </c>
    </row>
    <row r="1453" spans="1:13" x14ac:dyDescent="0.3">
      <c r="A1453">
        <v>2451</v>
      </c>
      <c r="B1453" t="s">
        <v>1488</v>
      </c>
      <c r="C1453" t="s">
        <v>25</v>
      </c>
      <c r="D1453" t="s">
        <v>86</v>
      </c>
      <c r="E1453">
        <v>2</v>
      </c>
      <c r="F1453" s="3">
        <v>2501.5309999999999</v>
      </c>
      <c r="G1453" s="4">
        <v>0.6</v>
      </c>
      <c r="H1453" s="3">
        <v>5003.0619999999999</v>
      </c>
      <c r="I1453" s="1">
        <v>45535</v>
      </c>
      <c r="J1453" t="s">
        <v>18</v>
      </c>
      <c r="K1453" t="s">
        <v>23</v>
      </c>
      <c r="L1453" s="3">
        <v>2001.2248</v>
      </c>
      <c r="M1453" t="s">
        <v>11</v>
      </c>
    </row>
    <row r="1454" spans="1:13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F1454" s="3">
        <v>2559.6667307692314</v>
      </c>
      <c r="G1454" s="4">
        <v>0.6</v>
      </c>
      <c r="H1454" s="3">
        <v>7679.0001923076943</v>
      </c>
      <c r="I1454" s="1">
        <v>45782</v>
      </c>
      <c r="J1454" t="s">
        <v>22</v>
      </c>
      <c r="K1454" t="s">
        <v>23</v>
      </c>
      <c r="L1454" s="3">
        <v>3071.6000769230777</v>
      </c>
      <c r="M1454" t="s">
        <v>11</v>
      </c>
    </row>
    <row r="1455" spans="1:13" x14ac:dyDescent="0.3">
      <c r="A1455">
        <v>2453</v>
      </c>
      <c r="B1455" t="s">
        <v>1490</v>
      </c>
      <c r="C1455" t="s">
        <v>13</v>
      </c>
      <c r="D1455" t="s">
        <v>14</v>
      </c>
      <c r="E1455">
        <v>2</v>
      </c>
      <c r="F1455" s="3">
        <v>2381.2677586206896</v>
      </c>
      <c r="G1455" s="4">
        <v>0.72</v>
      </c>
      <c r="H1455" s="3">
        <v>4762.5355172413792</v>
      </c>
      <c r="I1455" s="1">
        <v>45441</v>
      </c>
      <c r="J1455" t="s">
        <v>56</v>
      </c>
      <c r="K1455" t="s">
        <v>23</v>
      </c>
      <c r="L1455" s="3">
        <v>1333.5099448275864</v>
      </c>
      <c r="M1455" t="s">
        <v>11</v>
      </c>
    </row>
    <row r="1456" spans="1:13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F1456" s="3">
        <v>2487.039615384615</v>
      </c>
      <c r="G1456" s="4">
        <v>0.6</v>
      </c>
      <c r="H1456" s="3">
        <v>7461.118846153845</v>
      </c>
      <c r="I1456" s="1">
        <v>45782</v>
      </c>
      <c r="J1456" t="s">
        <v>40</v>
      </c>
      <c r="K1456" t="s">
        <v>23</v>
      </c>
      <c r="L1456" s="3">
        <v>2984.447538461538</v>
      </c>
      <c r="M1456" t="s">
        <v>11</v>
      </c>
    </row>
    <row r="1457" spans="1:13" x14ac:dyDescent="0.3">
      <c r="A1457">
        <v>2455</v>
      </c>
      <c r="B1457" t="s">
        <v>1492</v>
      </c>
      <c r="C1457" t="s">
        <v>25</v>
      </c>
      <c r="D1457" t="s">
        <v>54</v>
      </c>
      <c r="E1457">
        <v>2</v>
      </c>
      <c r="F1457" s="3">
        <v>2530.3836538461546</v>
      </c>
      <c r="G1457" s="4">
        <v>0.6</v>
      </c>
      <c r="H1457" s="3">
        <v>5060.7673076923093</v>
      </c>
      <c r="I1457" s="1">
        <v>45782</v>
      </c>
      <c r="J1457" t="s">
        <v>46</v>
      </c>
      <c r="K1457" t="s">
        <v>23</v>
      </c>
      <c r="L1457" s="3">
        <v>2024.3069230769238</v>
      </c>
      <c r="M1457" t="s">
        <v>11</v>
      </c>
    </row>
    <row r="1458" spans="1:13" x14ac:dyDescent="0.3">
      <c r="A1458">
        <v>2456</v>
      </c>
      <c r="B1458" t="s">
        <v>1493</v>
      </c>
      <c r="C1458" t="s">
        <v>29</v>
      </c>
      <c r="D1458" t="s">
        <v>141</v>
      </c>
      <c r="E1458">
        <v>2</v>
      </c>
      <c r="F1458" s="3">
        <v>889.88</v>
      </c>
      <c r="G1458" s="4">
        <v>0.6</v>
      </c>
      <c r="H1458" s="3">
        <v>1779.76</v>
      </c>
      <c r="I1458" s="1">
        <v>45706</v>
      </c>
      <c r="J1458" t="s">
        <v>18</v>
      </c>
      <c r="K1458" t="s">
        <v>23</v>
      </c>
      <c r="L1458" s="3">
        <v>711.904</v>
      </c>
      <c r="M1458" t="s">
        <v>11</v>
      </c>
    </row>
    <row r="1459" spans="1:13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F1459" s="3">
        <v>2700.1263043478252</v>
      </c>
      <c r="G1459" s="4">
        <v>1.25</v>
      </c>
      <c r="H1459" s="3">
        <v>16200.757826086952</v>
      </c>
      <c r="I1459" s="1">
        <v>45550</v>
      </c>
      <c r="J1459" t="s">
        <v>15</v>
      </c>
      <c r="K1459" t="s">
        <v>16</v>
      </c>
      <c r="L1459" s="3">
        <v>-4050.1894565217381</v>
      </c>
      <c r="M1459" t="s">
        <v>2518</v>
      </c>
    </row>
    <row r="1460" spans="1:13" x14ac:dyDescent="0.3">
      <c r="A1460">
        <v>2458</v>
      </c>
      <c r="B1460" t="s">
        <v>1495</v>
      </c>
      <c r="C1460" t="s">
        <v>33</v>
      </c>
      <c r="D1460" t="s">
        <v>44</v>
      </c>
      <c r="E1460">
        <v>2</v>
      </c>
      <c r="F1460" s="3">
        <v>2841.7630612244907</v>
      </c>
      <c r="G1460" s="4">
        <v>0.64</v>
      </c>
      <c r="H1460" s="3">
        <v>5683.5261224489814</v>
      </c>
      <c r="I1460" s="1">
        <v>45606</v>
      </c>
      <c r="J1460" t="s">
        <v>15</v>
      </c>
      <c r="K1460" t="s">
        <v>23</v>
      </c>
      <c r="L1460" s="3">
        <v>2046.0694040816331</v>
      </c>
      <c r="M1460" t="s">
        <v>11</v>
      </c>
    </row>
    <row r="1461" spans="1:13" x14ac:dyDescent="0.3">
      <c r="A1461">
        <v>2459</v>
      </c>
      <c r="B1461" t="s">
        <v>1496</v>
      </c>
      <c r="C1461" t="s">
        <v>29</v>
      </c>
      <c r="D1461" t="s">
        <v>42</v>
      </c>
      <c r="E1461">
        <v>2</v>
      </c>
      <c r="F1461" s="3">
        <v>2559.6667307692314</v>
      </c>
      <c r="G1461" s="4">
        <v>0.6</v>
      </c>
      <c r="H1461" s="3">
        <v>5119.3334615384629</v>
      </c>
      <c r="I1461" s="1">
        <v>45782</v>
      </c>
      <c r="J1461" t="s">
        <v>22</v>
      </c>
      <c r="K1461" t="s">
        <v>23</v>
      </c>
      <c r="L1461" s="3">
        <v>2047.7333846153851</v>
      </c>
      <c r="M1461" t="s">
        <v>11</v>
      </c>
    </row>
    <row r="1462" spans="1:13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 s="3">
        <v>3157.28</v>
      </c>
      <c r="G1462" s="4">
        <v>7.0000000000000007E-2</v>
      </c>
      <c r="H1462" s="3">
        <v>-6314.56</v>
      </c>
      <c r="I1462" s="1">
        <v>45194</v>
      </c>
      <c r="J1462" t="s">
        <v>56</v>
      </c>
      <c r="K1462" t="s">
        <v>23</v>
      </c>
      <c r="L1462" s="3">
        <v>-5872.5407999999998</v>
      </c>
      <c r="M1462" t="s">
        <v>2518</v>
      </c>
    </row>
    <row r="1463" spans="1:13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 s="3">
        <v>4225.58</v>
      </c>
      <c r="G1463" s="4">
        <v>0.6</v>
      </c>
      <c r="H1463" s="3">
        <v>4225.58</v>
      </c>
      <c r="I1463" s="1">
        <v>45685</v>
      </c>
      <c r="J1463" t="s">
        <v>56</v>
      </c>
      <c r="K1463" t="s">
        <v>23</v>
      </c>
      <c r="L1463" s="3">
        <v>1690.232</v>
      </c>
      <c r="M1463" t="s">
        <v>11</v>
      </c>
    </row>
    <row r="1464" spans="1:13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 s="3">
        <v>2123.2199999999998</v>
      </c>
      <c r="G1464" s="4">
        <v>0.6</v>
      </c>
      <c r="H1464" s="3">
        <v>4246.4399999999996</v>
      </c>
      <c r="I1464" s="1">
        <v>45833</v>
      </c>
      <c r="J1464" t="s">
        <v>22</v>
      </c>
      <c r="K1464" t="s">
        <v>23</v>
      </c>
      <c r="L1464" s="3">
        <v>1698.576</v>
      </c>
      <c r="M1464" t="s">
        <v>11</v>
      </c>
    </row>
    <row r="1465" spans="1:13" x14ac:dyDescent="0.3">
      <c r="A1465">
        <v>2463</v>
      </c>
      <c r="B1465" t="s">
        <v>1500</v>
      </c>
      <c r="C1465" t="s">
        <v>29</v>
      </c>
      <c r="D1465" t="s">
        <v>42</v>
      </c>
      <c r="E1465">
        <v>2</v>
      </c>
      <c r="F1465" s="3">
        <v>405.52</v>
      </c>
      <c r="G1465" s="4">
        <v>0.6</v>
      </c>
      <c r="H1465" s="3">
        <v>811.04</v>
      </c>
      <c r="I1465" s="1">
        <v>45723</v>
      </c>
      <c r="J1465" t="s">
        <v>15</v>
      </c>
      <c r="K1465" t="s">
        <v>23</v>
      </c>
      <c r="L1465" s="3">
        <v>324.416</v>
      </c>
      <c r="M1465" t="s">
        <v>2518</v>
      </c>
    </row>
    <row r="1466" spans="1:13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F1466" s="3">
        <v>2501.5309999999999</v>
      </c>
      <c r="G1466" s="4">
        <v>0.32</v>
      </c>
      <c r="H1466" s="3">
        <v>-2501.5309999999999</v>
      </c>
      <c r="I1466" s="1">
        <v>45751</v>
      </c>
      <c r="J1466" t="s">
        <v>56</v>
      </c>
      <c r="K1466" t="s">
        <v>23</v>
      </c>
      <c r="L1466" s="3">
        <v>-1701.0410799999997</v>
      </c>
      <c r="M1466" t="s">
        <v>2518</v>
      </c>
    </row>
    <row r="1467" spans="1:13" x14ac:dyDescent="0.3">
      <c r="A1467">
        <v>2465</v>
      </c>
      <c r="B1467" t="s">
        <v>1502</v>
      </c>
      <c r="C1467" t="s">
        <v>13</v>
      </c>
      <c r="D1467" t="s">
        <v>49</v>
      </c>
      <c r="E1467">
        <v>2</v>
      </c>
      <c r="F1467" s="3">
        <v>493.99</v>
      </c>
      <c r="G1467" s="4">
        <v>0.6</v>
      </c>
      <c r="H1467" s="3">
        <v>987.98</v>
      </c>
      <c r="I1467" s="1">
        <v>45684</v>
      </c>
      <c r="J1467" t="s">
        <v>56</v>
      </c>
      <c r="K1467" t="s">
        <v>23</v>
      </c>
      <c r="L1467" s="3">
        <v>395.19200000000001</v>
      </c>
      <c r="M1467" t="s">
        <v>2518</v>
      </c>
    </row>
    <row r="1468" spans="1:13" x14ac:dyDescent="0.3">
      <c r="A1468">
        <v>2466</v>
      </c>
      <c r="B1468" t="s">
        <v>1503</v>
      </c>
      <c r="C1468" t="s">
        <v>38</v>
      </c>
      <c r="D1468" t="s">
        <v>59</v>
      </c>
      <c r="E1468">
        <v>2</v>
      </c>
      <c r="F1468" s="3">
        <v>2335.61</v>
      </c>
      <c r="G1468" s="4">
        <v>0.17</v>
      </c>
      <c r="H1468" s="3">
        <v>4671.22</v>
      </c>
      <c r="I1468" s="1">
        <v>45782</v>
      </c>
      <c r="J1468" t="s">
        <v>18</v>
      </c>
      <c r="K1468" t="s">
        <v>23</v>
      </c>
      <c r="L1468" s="3">
        <v>3877.1125999999999</v>
      </c>
      <c r="M1468" t="s">
        <v>11</v>
      </c>
    </row>
    <row r="1469" spans="1:13" x14ac:dyDescent="0.3">
      <c r="A1469">
        <v>2467</v>
      </c>
      <c r="B1469" t="s">
        <v>1504</v>
      </c>
      <c r="C1469" t="s">
        <v>25</v>
      </c>
      <c r="D1469" t="s">
        <v>26</v>
      </c>
      <c r="E1469">
        <v>2</v>
      </c>
      <c r="F1469" s="3">
        <v>2888.8714285714286</v>
      </c>
      <c r="G1469" s="4">
        <v>0.6</v>
      </c>
      <c r="H1469" s="3">
        <v>5777.7428571428572</v>
      </c>
      <c r="I1469" s="1">
        <v>45823</v>
      </c>
      <c r="J1469" t="s">
        <v>22</v>
      </c>
      <c r="K1469" t="s">
        <v>16</v>
      </c>
      <c r="L1469" s="3">
        <v>2311.0971428571429</v>
      </c>
      <c r="M1469" t="s">
        <v>11</v>
      </c>
    </row>
    <row r="1470" spans="1:13" x14ac:dyDescent="0.3">
      <c r="A1470">
        <v>2468</v>
      </c>
      <c r="B1470" t="s">
        <v>1505</v>
      </c>
      <c r="C1470" t="s">
        <v>33</v>
      </c>
      <c r="D1470" t="s">
        <v>44</v>
      </c>
      <c r="E1470">
        <v>2</v>
      </c>
      <c r="F1470" s="3">
        <v>2841.7630612244907</v>
      </c>
      <c r="G1470" s="4">
        <v>0.6</v>
      </c>
      <c r="H1470" s="3">
        <v>5683.5261224489814</v>
      </c>
      <c r="I1470" s="1">
        <v>45760</v>
      </c>
      <c r="J1470" t="s">
        <v>22</v>
      </c>
      <c r="K1470" t="s">
        <v>23</v>
      </c>
      <c r="L1470" s="3">
        <v>2273.4104489795927</v>
      </c>
      <c r="M1470" t="s">
        <v>11</v>
      </c>
    </row>
    <row r="1471" spans="1:13" x14ac:dyDescent="0.3">
      <c r="A1471">
        <v>2469</v>
      </c>
      <c r="B1471" t="s">
        <v>1506</v>
      </c>
      <c r="C1471" t="s">
        <v>20</v>
      </c>
      <c r="D1471" t="s">
        <v>80</v>
      </c>
      <c r="E1471">
        <v>2</v>
      </c>
      <c r="F1471" s="3">
        <v>4132.13</v>
      </c>
      <c r="G1471" s="4">
        <v>0.6</v>
      </c>
      <c r="H1471" s="3">
        <v>8264.26</v>
      </c>
      <c r="I1471" s="1">
        <v>45776</v>
      </c>
      <c r="J1471" t="s">
        <v>22</v>
      </c>
      <c r="K1471" t="s">
        <v>23</v>
      </c>
      <c r="L1471" s="3">
        <v>3305.7040000000002</v>
      </c>
      <c r="M1471" t="s">
        <v>11</v>
      </c>
    </row>
    <row r="1472" spans="1:13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F1472" s="3">
        <v>2681.1743636363635</v>
      </c>
      <c r="G1472" s="4">
        <v>0.74</v>
      </c>
      <c r="H1472" s="3">
        <v>8043.5230909090906</v>
      </c>
      <c r="I1472" s="1">
        <v>45535</v>
      </c>
      <c r="J1472" t="s">
        <v>46</v>
      </c>
      <c r="K1472" t="s">
        <v>23</v>
      </c>
      <c r="L1472" s="3">
        <v>2091.3160036363638</v>
      </c>
      <c r="M1472" t="s">
        <v>11</v>
      </c>
    </row>
    <row r="1473" spans="1:13" x14ac:dyDescent="0.3">
      <c r="A1473">
        <v>2471</v>
      </c>
      <c r="B1473" t="s">
        <v>1508</v>
      </c>
      <c r="C1473" t="s">
        <v>13</v>
      </c>
      <c r="D1473" t="s">
        <v>14</v>
      </c>
      <c r="E1473">
        <v>2</v>
      </c>
      <c r="F1473" s="3">
        <v>4457.83</v>
      </c>
      <c r="G1473" s="4">
        <v>0.66</v>
      </c>
      <c r="H1473" s="3">
        <v>8915.66</v>
      </c>
      <c r="I1473" s="1">
        <v>45782</v>
      </c>
      <c r="J1473" t="s">
        <v>46</v>
      </c>
      <c r="K1473" t="s">
        <v>23</v>
      </c>
      <c r="L1473" s="3">
        <v>3031.3243999999995</v>
      </c>
      <c r="M1473" t="s">
        <v>11</v>
      </c>
    </row>
    <row r="1474" spans="1:13" x14ac:dyDescent="0.3">
      <c r="A1474">
        <v>2472</v>
      </c>
      <c r="B1474" t="s">
        <v>1509</v>
      </c>
      <c r="C1474" t="s">
        <v>13</v>
      </c>
      <c r="D1474" t="s">
        <v>102</v>
      </c>
      <c r="E1474">
        <v>2</v>
      </c>
      <c r="F1474" s="3">
        <v>4357.9399999999996</v>
      </c>
      <c r="G1474" s="4">
        <v>0.33</v>
      </c>
      <c r="H1474" s="3">
        <v>8715.8799999999992</v>
      </c>
      <c r="I1474" s="1">
        <v>45782</v>
      </c>
      <c r="J1474" t="s">
        <v>15</v>
      </c>
      <c r="K1474" t="s">
        <v>23</v>
      </c>
      <c r="L1474" s="3">
        <v>5839.6395999999986</v>
      </c>
      <c r="M1474" t="s">
        <v>11</v>
      </c>
    </row>
    <row r="1475" spans="1:13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 s="3">
        <v>408.21</v>
      </c>
      <c r="G1475" s="4">
        <v>1.1599999999999999</v>
      </c>
      <c r="H1475" s="3">
        <v>2449.2599999999998</v>
      </c>
      <c r="I1475" s="1">
        <v>45516</v>
      </c>
      <c r="J1475" t="s">
        <v>15</v>
      </c>
      <c r="K1475" t="s">
        <v>23</v>
      </c>
      <c r="L1475" s="3">
        <v>-391.88159999999976</v>
      </c>
      <c r="M1475" t="s">
        <v>2518</v>
      </c>
    </row>
    <row r="1476" spans="1:13" x14ac:dyDescent="0.3">
      <c r="A1476">
        <v>2474</v>
      </c>
      <c r="B1476" t="s">
        <v>1511</v>
      </c>
      <c r="C1476" t="s">
        <v>25</v>
      </c>
      <c r="D1476" t="s">
        <v>26</v>
      </c>
      <c r="E1476">
        <v>2</v>
      </c>
      <c r="F1476" s="3">
        <v>2888.8714285714286</v>
      </c>
      <c r="G1476" s="4">
        <v>0.6</v>
      </c>
      <c r="H1476" s="3">
        <v>5777.7428571428572</v>
      </c>
      <c r="I1476" s="1">
        <v>45605</v>
      </c>
      <c r="J1476" t="s">
        <v>40</v>
      </c>
      <c r="K1476" t="s">
        <v>23</v>
      </c>
      <c r="L1476" s="3">
        <v>2311.0971428571429</v>
      </c>
      <c r="M1476" t="s">
        <v>11</v>
      </c>
    </row>
    <row r="1477" spans="1:13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 s="3">
        <v>642.48</v>
      </c>
      <c r="G1477" s="4">
        <v>0.17</v>
      </c>
      <c r="H1477" s="3">
        <v>3212.4</v>
      </c>
      <c r="I1477" s="1">
        <v>45782</v>
      </c>
      <c r="J1477" t="s">
        <v>18</v>
      </c>
      <c r="K1477" t="s">
        <v>16</v>
      </c>
      <c r="L1477" s="3">
        <v>2666.2919999999999</v>
      </c>
      <c r="M1477" t="s">
        <v>11</v>
      </c>
    </row>
    <row r="1478" spans="1:13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 s="3">
        <v>2967.26</v>
      </c>
      <c r="G1478" s="4">
        <v>0.6</v>
      </c>
      <c r="H1478" s="3">
        <v>14836.300000000001</v>
      </c>
      <c r="I1478" s="1">
        <v>45782</v>
      </c>
      <c r="J1478" t="s">
        <v>56</v>
      </c>
      <c r="K1478" t="s">
        <v>23</v>
      </c>
      <c r="L1478" s="3">
        <v>5934.52</v>
      </c>
      <c r="M1478" t="s">
        <v>11</v>
      </c>
    </row>
    <row r="1479" spans="1:13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 s="3">
        <v>3725.14</v>
      </c>
      <c r="G1479" s="4">
        <v>0.6</v>
      </c>
      <c r="H1479" s="3">
        <v>11175.42</v>
      </c>
      <c r="I1479" s="1">
        <v>45782</v>
      </c>
      <c r="J1479" t="s">
        <v>40</v>
      </c>
      <c r="K1479" t="s">
        <v>16</v>
      </c>
      <c r="L1479" s="3">
        <v>4470.1680000000006</v>
      </c>
      <c r="M1479" t="s">
        <v>11</v>
      </c>
    </row>
    <row r="1480" spans="1:13" x14ac:dyDescent="0.3">
      <c r="A1480">
        <v>2478</v>
      </c>
      <c r="B1480" t="s">
        <v>1515</v>
      </c>
      <c r="C1480" t="s">
        <v>38</v>
      </c>
      <c r="D1480" t="s">
        <v>91</v>
      </c>
      <c r="E1480">
        <v>2</v>
      </c>
      <c r="F1480" s="3">
        <v>1904.58</v>
      </c>
      <c r="G1480" s="4">
        <v>0.6</v>
      </c>
      <c r="H1480" s="3">
        <v>3809.16</v>
      </c>
      <c r="I1480" s="1">
        <v>45557</v>
      </c>
      <c r="J1480" t="s">
        <v>22</v>
      </c>
      <c r="K1480" t="s">
        <v>23</v>
      </c>
      <c r="L1480" s="3">
        <v>1523.664</v>
      </c>
      <c r="M1480" t="s">
        <v>11</v>
      </c>
    </row>
    <row r="1481" spans="1:13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F1481" s="3">
        <v>2572.7764000000006</v>
      </c>
      <c r="G1481" s="4">
        <v>1.1100000000000001</v>
      </c>
      <c r="H1481" s="3">
        <v>-2572.7764000000006</v>
      </c>
      <c r="I1481" s="1">
        <v>45696</v>
      </c>
      <c r="J1481" t="s">
        <v>46</v>
      </c>
      <c r="K1481" t="s">
        <v>23</v>
      </c>
      <c r="L1481" s="3">
        <v>283.00540400000034</v>
      </c>
      <c r="M1481" t="s">
        <v>2518</v>
      </c>
    </row>
    <row r="1482" spans="1:13" x14ac:dyDescent="0.3">
      <c r="A1482">
        <v>2480</v>
      </c>
      <c r="B1482" t="s">
        <v>1517</v>
      </c>
      <c r="C1482" t="s">
        <v>25</v>
      </c>
      <c r="D1482" t="s">
        <v>54</v>
      </c>
      <c r="E1482">
        <v>2</v>
      </c>
      <c r="F1482" s="3">
        <v>2530.3836538461546</v>
      </c>
      <c r="G1482" s="4">
        <v>0.14000000000000001</v>
      </c>
      <c r="H1482" s="3">
        <v>5060.7673076923093</v>
      </c>
      <c r="I1482" s="1">
        <v>45573</v>
      </c>
      <c r="J1482" t="s">
        <v>40</v>
      </c>
      <c r="K1482" t="s">
        <v>23</v>
      </c>
      <c r="L1482" s="3">
        <v>4352.259884615386</v>
      </c>
      <c r="M1482" t="s">
        <v>11</v>
      </c>
    </row>
    <row r="1483" spans="1:13" x14ac:dyDescent="0.3">
      <c r="A1483">
        <v>2481</v>
      </c>
      <c r="B1483" t="s">
        <v>1518</v>
      </c>
      <c r="C1483" t="s">
        <v>20</v>
      </c>
      <c r="D1483" t="s">
        <v>80</v>
      </c>
      <c r="E1483">
        <v>2</v>
      </c>
      <c r="F1483" s="3">
        <v>2483.5844000000002</v>
      </c>
      <c r="G1483" s="4">
        <v>0.6</v>
      </c>
      <c r="H1483" s="3">
        <v>4967.1688000000004</v>
      </c>
      <c r="I1483" s="1">
        <v>45774</v>
      </c>
      <c r="J1483" t="s">
        <v>22</v>
      </c>
      <c r="K1483" t="s">
        <v>23</v>
      </c>
      <c r="L1483" s="3">
        <v>1986.8675200000002</v>
      </c>
      <c r="M1483" t="s">
        <v>11</v>
      </c>
    </row>
    <row r="1484" spans="1:13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 s="3">
        <v>4439.3900000000003</v>
      </c>
      <c r="G1484" s="4">
        <v>0.6</v>
      </c>
      <c r="H1484" s="3">
        <v>17757.560000000001</v>
      </c>
      <c r="I1484" s="1">
        <v>45543</v>
      </c>
      <c r="J1484" t="s">
        <v>18</v>
      </c>
      <c r="K1484" t="s">
        <v>16</v>
      </c>
      <c r="L1484" s="3">
        <v>7103.0240000000013</v>
      </c>
      <c r="M1484" t="s">
        <v>11</v>
      </c>
    </row>
    <row r="1485" spans="1:13" x14ac:dyDescent="0.3">
      <c r="A1485">
        <v>2483</v>
      </c>
      <c r="B1485" t="s">
        <v>1520</v>
      </c>
      <c r="C1485" t="s">
        <v>38</v>
      </c>
      <c r="D1485" t="s">
        <v>63</v>
      </c>
      <c r="E1485">
        <v>2</v>
      </c>
      <c r="F1485" s="3">
        <v>2845.2419672131159</v>
      </c>
      <c r="G1485" s="4">
        <v>0.96</v>
      </c>
      <c r="H1485" s="3">
        <v>5690.4839344262318</v>
      </c>
      <c r="I1485" s="1">
        <v>45790</v>
      </c>
      <c r="J1485" t="s">
        <v>46</v>
      </c>
      <c r="K1485" t="s">
        <v>23</v>
      </c>
      <c r="L1485" s="3">
        <v>227.61935737704948</v>
      </c>
      <c r="M1485" t="s">
        <v>2518</v>
      </c>
    </row>
    <row r="1486" spans="1:13" x14ac:dyDescent="0.3">
      <c r="A1486">
        <v>2484</v>
      </c>
      <c r="B1486" t="s">
        <v>1521</v>
      </c>
      <c r="C1486" t="s">
        <v>33</v>
      </c>
      <c r="D1486" t="s">
        <v>82</v>
      </c>
      <c r="E1486">
        <v>2</v>
      </c>
      <c r="F1486" s="3">
        <v>2776.2202000000002</v>
      </c>
      <c r="G1486" s="4">
        <v>0.6</v>
      </c>
      <c r="H1486" s="3">
        <v>5552.4404000000004</v>
      </c>
      <c r="I1486" s="1">
        <v>45622</v>
      </c>
      <c r="J1486" t="s">
        <v>46</v>
      </c>
      <c r="K1486" t="s">
        <v>16</v>
      </c>
      <c r="L1486" s="3">
        <v>2220.9761600000002</v>
      </c>
      <c r="M1486" t="s">
        <v>11</v>
      </c>
    </row>
    <row r="1487" spans="1:13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 s="3">
        <v>2103.54</v>
      </c>
      <c r="G1487" s="4">
        <v>0.6</v>
      </c>
      <c r="H1487" s="3">
        <v>2103.54</v>
      </c>
      <c r="I1487" s="1">
        <v>45662</v>
      </c>
      <c r="J1487" t="s">
        <v>56</v>
      </c>
      <c r="K1487" t="s">
        <v>16</v>
      </c>
      <c r="L1487" s="3">
        <v>841.41600000000005</v>
      </c>
      <c r="M1487" t="s">
        <v>11</v>
      </c>
    </row>
    <row r="1488" spans="1:13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F1488" s="3">
        <v>2700.1263043478252</v>
      </c>
      <c r="G1488" s="4">
        <v>0.6</v>
      </c>
      <c r="H1488" s="3">
        <v>-5400.2526086956505</v>
      </c>
      <c r="I1488" s="1">
        <v>45507</v>
      </c>
      <c r="J1488" t="s">
        <v>18</v>
      </c>
      <c r="K1488" t="s">
        <v>23</v>
      </c>
      <c r="L1488" s="3">
        <v>-2160.1010434782602</v>
      </c>
      <c r="M1488" t="s">
        <v>2518</v>
      </c>
    </row>
    <row r="1489" spans="1:13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F1489" s="3">
        <v>2700.1263043478252</v>
      </c>
      <c r="G1489" s="4">
        <v>0.6</v>
      </c>
      <c r="H1489" s="3">
        <v>-5400.2526086956505</v>
      </c>
      <c r="I1489" s="1">
        <v>45706</v>
      </c>
      <c r="J1489" t="s">
        <v>22</v>
      </c>
      <c r="K1489" t="s">
        <v>23</v>
      </c>
      <c r="L1489" s="3">
        <v>-2160.1010434782602</v>
      </c>
      <c r="M1489" t="s">
        <v>2518</v>
      </c>
    </row>
    <row r="1490" spans="1:13" x14ac:dyDescent="0.3">
      <c r="A1490">
        <v>2488</v>
      </c>
      <c r="B1490" t="s">
        <v>1525</v>
      </c>
      <c r="C1490" t="s">
        <v>20</v>
      </c>
      <c r="D1490" t="s">
        <v>80</v>
      </c>
      <c r="E1490">
        <v>2</v>
      </c>
      <c r="F1490" s="3">
        <v>718.84</v>
      </c>
      <c r="G1490" s="4">
        <v>0.53</v>
      </c>
      <c r="H1490" s="3">
        <v>1437.68</v>
      </c>
      <c r="I1490" s="1">
        <v>45335</v>
      </c>
      <c r="J1490" t="s">
        <v>18</v>
      </c>
      <c r="K1490" t="s">
        <v>23</v>
      </c>
      <c r="L1490" s="3">
        <v>675.70960000000002</v>
      </c>
      <c r="M1490" t="s">
        <v>11</v>
      </c>
    </row>
    <row r="1491" spans="1:13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F1491" s="3">
        <v>2501.5309999999999</v>
      </c>
      <c r="G1491" s="4">
        <v>0.6</v>
      </c>
      <c r="H1491" s="3">
        <v>0</v>
      </c>
      <c r="I1491" s="1">
        <v>45842</v>
      </c>
      <c r="J1491" t="s">
        <v>46</v>
      </c>
      <c r="K1491" t="s">
        <v>23</v>
      </c>
      <c r="L1491" s="3">
        <v>0</v>
      </c>
      <c r="M1491" t="s">
        <v>2518</v>
      </c>
    </row>
    <row r="1492" spans="1:13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 s="3">
        <v>688.38</v>
      </c>
      <c r="G1492" s="4">
        <v>0.6</v>
      </c>
      <c r="H1492" s="3">
        <v>3441.9</v>
      </c>
      <c r="I1492" s="1">
        <v>45624</v>
      </c>
      <c r="J1492" t="s">
        <v>40</v>
      </c>
      <c r="K1492" t="s">
        <v>23</v>
      </c>
      <c r="L1492" s="3">
        <v>1376.7600000000002</v>
      </c>
      <c r="M1492" t="s">
        <v>11</v>
      </c>
    </row>
    <row r="1493" spans="1:13" x14ac:dyDescent="0.3">
      <c r="A1493">
        <v>2491</v>
      </c>
      <c r="B1493" t="s">
        <v>1528</v>
      </c>
      <c r="C1493" t="s">
        <v>25</v>
      </c>
      <c r="D1493" t="s">
        <v>54</v>
      </c>
      <c r="E1493">
        <v>2</v>
      </c>
      <c r="F1493" s="3">
        <v>2530.3836538461546</v>
      </c>
      <c r="G1493" s="4">
        <v>0.68</v>
      </c>
      <c r="H1493" s="3">
        <v>5060.7673076923093</v>
      </c>
      <c r="I1493" s="1">
        <v>45517</v>
      </c>
      <c r="J1493" t="s">
        <v>40</v>
      </c>
      <c r="K1493" t="s">
        <v>16</v>
      </c>
      <c r="L1493" s="3">
        <v>1619.4455384615387</v>
      </c>
      <c r="M1493" t="s">
        <v>11</v>
      </c>
    </row>
    <row r="1494" spans="1:13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F1494" s="3">
        <v>2483.5844000000002</v>
      </c>
      <c r="G1494" s="4">
        <v>0.6</v>
      </c>
      <c r="H1494" s="3">
        <v>-2483.5844000000002</v>
      </c>
      <c r="I1494" s="1">
        <v>45845</v>
      </c>
      <c r="J1494" t="s">
        <v>40</v>
      </c>
      <c r="K1494" t="s">
        <v>16</v>
      </c>
      <c r="L1494" s="3">
        <v>-993.43376000000012</v>
      </c>
      <c r="M1494" t="s">
        <v>2518</v>
      </c>
    </row>
    <row r="1495" spans="1:13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F1495" s="3">
        <v>2804.2651923076919</v>
      </c>
      <c r="G1495" s="4">
        <v>0.92</v>
      </c>
      <c r="H1495" s="3">
        <v>5608.5303846153838</v>
      </c>
      <c r="I1495" s="1">
        <v>45782</v>
      </c>
      <c r="J1495" t="s">
        <v>18</v>
      </c>
      <c r="K1495" t="s">
        <v>23</v>
      </c>
      <c r="L1495" s="3">
        <v>448.68243076923051</v>
      </c>
      <c r="M1495" t="s">
        <v>2518</v>
      </c>
    </row>
    <row r="1496" spans="1:13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F1496" s="3">
        <v>2888.8714285714286</v>
      </c>
      <c r="G1496" s="4">
        <v>1.1599999999999999</v>
      </c>
      <c r="H1496" s="3">
        <v>8666.6142857142859</v>
      </c>
      <c r="I1496" s="1">
        <v>45782</v>
      </c>
      <c r="J1496" t="s">
        <v>56</v>
      </c>
      <c r="K1496" t="s">
        <v>23</v>
      </c>
      <c r="L1496" s="3">
        <v>-1386.6582857142851</v>
      </c>
      <c r="M1496" t="s">
        <v>2518</v>
      </c>
    </row>
    <row r="1497" spans="1:13" x14ac:dyDescent="0.3">
      <c r="A1497">
        <v>2495</v>
      </c>
      <c r="B1497" t="s">
        <v>1532</v>
      </c>
      <c r="C1497" t="s">
        <v>13</v>
      </c>
      <c r="D1497" t="s">
        <v>14</v>
      </c>
      <c r="E1497">
        <v>2</v>
      </c>
      <c r="F1497" s="3">
        <v>1106.0899999999999</v>
      </c>
      <c r="G1497" s="4">
        <v>0.6</v>
      </c>
      <c r="H1497" s="3">
        <v>2212.1799999999998</v>
      </c>
      <c r="I1497" s="1">
        <v>45197</v>
      </c>
      <c r="J1497" t="s">
        <v>15</v>
      </c>
      <c r="K1497" t="s">
        <v>16</v>
      </c>
      <c r="L1497" s="3">
        <v>884.87199999999996</v>
      </c>
      <c r="M1497" t="s">
        <v>11</v>
      </c>
    </row>
    <row r="1498" spans="1:13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F1498" s="3">
        <v>2681.1743636363635</v>
      </c>
      <c r="G1498" s="4">
        <v>0.6</v>
      </c>
      <c r="H1498" s="3">
        <v>-5362.348727272727</v>
      </c>
      <c r="I1498" s="1">
        <v>45800</v>
      </c>
      <c r="J1498" t="s">
        <v>15</v>
      </c>
      <c r="K1498" t="s">
        <v>23</v>
      </c>
      <c r="L1498" s="3">
        <v>-2144.9394909090911</v>
      </c>
      <c r="M1498" t="s">
        <v>2518</v>
      </c>
    </row>
    <row r="1499" spans="1:13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 s="3">
        <v>3607.5</v>
      </c>
      <c r="G1499" s="4">
        <v>0.6</v>
      </c>
      <c r="H1499" s="3">
        <v>3607.5</v>
      </c>
      <c r="I1499" s="1">
        <v>45670</v>
      </c>
      <c r="J1499" t="s">
        <v>18</v>
      </c>
      <c r="K1499" t="s">
        <v>23</v>
      </c>
      <c r="L1499" s="3">
        <v>1443</v>
      </c>
      <c r="M1499" t="s">
        <v>11</v>
      </c>
    </row>
    <row r="1500" spans="1:13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 s="3">
        <v>2043.67</v>
      </c>
      <c r="G1500" s="4">
        <v>0.6</v>
      </c>
      <c r="H1500" s="3">
        <v>8174.68</v>
      </c>
      <c r="I1500" s="1">
        <v>45176</v>
      </c>
      <c r="J1500" t="s">
        <v>46</v>
      </c>
      <c r="K1500" t="s">
        <v>16</v>
      </c>
      <c r="L1500" s="3">
        <v>3269.8720000000003</v>
      </c>
      <c r="M1500" t="s">
        <v>11</v>
      </c>
    </row>
    <row r="1501" spans="1:13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 s="3">
        <v>4638.76</v>
      </c>
      <c r="G1501" s="4">
        <v>0.6</v>
      </c>
      <c r="H1501" s="3">
        <v>-9277.52</v>
      </c>
      <c r="I1501" s="1">
        <v>45677</v>
      </c>
      <c r="J1501" t="s">
        <v>56</v>
      </c>
      <c r="K1501" t="s">
        <v>23</v>
      </c>
      <c r="L1501" s="3">
        <v>-3711.0080000000003</v>
      </c>
      <c r="M1501" t="s">
        <v>2518</v>
      </c>
    </row>
    <row r="1502" spans="1:13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F1502" s="3">
        <v>2830.1325714285731</v>
      </c>
      <c r="G1502" s="4">
        <v>0.92</v>
      </c>
      <c r="H1502" s="3">
        <v>14150.662857142866</v>
      </c>
      <c r="I1502" s="1">
        <v>45503</v>
      </c>
      <c r="J1502" t="s">
        <v>15</v>
      </c>
      <c r="K1502" t="s">
        <v>23</v>
      </c>
      <c r="L1502" s="3">
        <v>1132.0530285714287</v>
      </c>
      <c r="M1502" t="s">
        <v>11</v>
      </c>
    </row>
    <row r="1503" spans="1:13" x14ac:dyDescent="0.3">
      <c r="A1503">
        <v>2501</v>
      </c>
      <c r="B1503" t="s">
        <v>1537</v>
      </c>
      <c r="C1503" t="s">
        <v>38</v>
      </c>
      <c r="D1503" t="s">
        <v>59</v>
      </c>
      <c r="E1503">
        <v>2</v>
      </c>
      <c r="F1503" s="3">
        <v>2804.2651923076919</v>
      </c>
      <c r="G1503" s="4">
        <v>0.6</v>
      </c>
      <c r="H1503" s="3">
        <v>5608.5303846153838</v>
      </c>
      <c r="I1503" s="1">
        <v>45782</v>
      </c>
      <c r="J1503" t="s">
        <v>18</v>
      </c>
      <c r="K1503" t="s">
        <v>23</v>
      </c>
      <c r="L1503" s="3">
        <v>2243.4121538461536</v>
      </c>
      <c r="M1503" t="s">
        <v>11</v>
      </c>
    </row>
    <row r="1504" spans="1:13" x14ac:dyDescent="0.3">
      <c r="A1504">
        <v>2502</v>
      </c>
      <c r="B1504" t="s">
        <v>1538</v>
      </c>
      <c r="C1504" t="s">
        <v>25</v>
      </c>
      <c r="D1504" t="s">
        <v>26</v>
      </c>
      <c r="E1504">
        <v>2</v>
      </c>
      <c r="F1504" s="3">
        <v>2888.8714285714286</v>
      </c>
      <c r="G1504" s="4">
        <v>1</v>
      </c>
      <c r="H1504" s="3">
        <v>5777.7428571428572</v>
      </c>
      <c r="I1504" s="1">
        <v>45855</v>
      </c>
      <c r="J1504" t="s">
        <v>22</v>
      </c>
      <c r="K1504" t="s">
        <v>23</v>
      </c>
      <c r="L1504" s="3">
        <v>0</v>
      </c>
      <c r="M1504" t="s">
        <v>2518</v>
      </c>
    </row>
    <row r="1505" spans="1:13" x14ac:dyDescent="0.3">
      <c r="A1505">
        <v>2503</v>
      </c>
      <c r="B1505" t="s">
        <v>1539</v>
      </c>
      <c r="C1505" t="s">
        <v>29</v>
      </c>
      <c r="D1505" t="s">
        <v>42</v>
      </c>
      <c r="E1505">
        <v>2</v>
      </c>
      <c r="F1505" s="3">
        <v>1259.22</v>
      </c>
      <c r="G1505" s="4">
        <v>0.6</v>
      </c>
      <c r="H1505" s="3">
        <v>2518.44</v>
      </c>
      <c r="I1505" s="1">
        <v>45499</v>
      </c>
      <c r="J1505" t="s">
        <v>40</v>
      </c>
      <c r="K1505" t="s">
        <v>23</v>
      </c>
      <c r="L1505" s="3">
        <v>1007.3760000000001</v>
      </c>
      <c r="M1505" t="s">
        <v>11</v>
      </c>
    </row>
    <row r="1506" spans="1:13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F1506" s="3">
        <v>2845.2419672131159</v>
      </c>
      <c r="G1506" s="4">
        <v>1.2</v>
      </c>
      <c r="H1506" s="3">
        <v>5690.4839344262318</v>
      </c>
      <c r="I1506" s="1">
        <v>45782</v>
      </c>
      <c r="J1506" t="s">
        <v>18</v>
      </c>
      <c r="K1506" t="s">
        <v>23</v>
      </c>
      <c r="L1506" s="3">
        <v>-1138.096786885246</v>
      </c>
      <c r="M1506" t="s">
        <v>2518</v>
      </c>
    </row>
    <row r="1507" spans="1:13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 s="3">
        <v>1258.77</v>
      </c>
      <c r="G1507" s="4">
        <v>0.71</v>
      </c>
      <c r="H1507" s="3">
        <v>-1258.77</v>
      </c>
      <c r="I1507" s="1">
        <v>45658</v>
      </c>
      <c r="J1507" t="s">
        <v>56</v>
      </c>
      <c r="K1507" t="s">
        <v>23</v>
      </c>
      <c r="L1507" s="3">
        <v>-365.04330000000004</v>
      </c>
      <c r="M1507" t="s">
        <v>2518</v>
      </c>
    </row>
    <row r="1508" spans="1:13" x14ac:dyDescent="0.3">
      <c r="A1508">
        <v>2506</v>
      </c>
      <c r="B1508" t="s">
        <v>1542</v>
      </c>
      <c r="C1508" t="s">
        <v>20</v>
      </c>
      <c r="D1508" t="s">
        <v>122</v>
      </c>
      <c r="E1508">
        <v>2</v>
      </c>
      <c r="F1508" s="3">
        <v>2700.1263043478252</v>
      </c>
      <c r="G1508" s="4">
        <v>0.6</v>
      </c>
      <c r="H1508" s="3">
        <v>5400.2526086956505</v>
      </c>
      <c r="I1508" s="1">
        <v>45649</v>
      </c>
      <c r="J1508" t="s">
        <v>56</v>
      </c>
      <c r="K1508" t="s">
        <v>23</v>
      </c>
      <c r="L1508" s="3">
        <v>2160.1010434782602</v>
      </c>
      <c r="M1508" t="s">
        <v>11</v>
      </c>
    </row>
    <row r="1509" spans="1:13" x14ac:dyDescent="0.3">
      <c r="A1509">
        <v>2507</v>
      </c>
      <c r="B1509" t="s">
        <v>1543</v>
      </c>
      <c r="C1509" t="s">
        <v>33</v>
      </c>
      <c r="D1509" t="s">
        <v>82</v>
      </c>
      <c r="E1509">
        <v>2</v>
      </c>
      <c r="F1509" s="3">
        <v>2776.2202000000002</v>
      </c>
      <c r="G1509" s="4">
        <v>0.6</v>
      </c>
      <c r="H1509" s="3">
        <v>5552.4404000000004</v>
      </c>
      <c r="I1509" s="1">
        <v>45821</v>
      </c>
      <c r="J1509" t="s">
        <v>18</v>
      </c>
      <c r="K1509" t="s">
        <v>16</v>
      </c>
      <c r="L1509" s="3">
        <v>2220.9761600000002</v>
      </c>
      <c r="M1509" t="s">
        <v>11</v>
      </c>
    </row>
    <row r="1510" spans="1:13" x14ac:dyDescent="0.3">
      <c r="A1510">
        <v>2508</v>
      </c>
      <c r="B1510" t="s">
        <v>1544</v>
      </c>
      <c r="C1510" t="s">
        <v>33</v>
      </c>
      <c r="D1510" t="s">
        <v>44</v>
      </c>
      <c r="E1510">
        <v>2</v>
      </c>
      <c r="F1510" s="3">
        <v>4245.43</v>
      </c>
      <c r="G1510" s="4">
        <v>0.6</v>
      </c>
      <c r="H1510" s="3">
        <v>8490.86</v>
      </c>
      <c r="I1510" s="1">
        <v>45739</v>
      </c>
      <c r="J1510" t="s">
        <v>40</v>
      </c>
      <c r="K1510" t="s">
        <v>23</v>
      </c>
      <c r="L1510" s="3">
        <v>3396.3440000000005</v>
      </c>
      <c r="M1510" t="s">
        <v>11</v>
      </c>
    </row>
    <row r="1511" spans="1:13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F1511" s="3">
        <v>2681.1743636363635</v>
      </c>
      <c r="G1511" s="4">
        <v>0.6</v>
      </c>
      <c r="H1511" s="3">
        <v>13405.871818181819</v>
      </c>
      <c r="I1511" s="1">
        <v>45538</v>
      </c>
      <c r="J1511" t="s">
        <v>46</v>
      </c>
      <c r="K1511" t="s">
        <v>23</v>
      </c>
      <c r="L1511" s="3">
        <v>5362.348727272728</v>
      </c>
      <c r="M1511" t="s">
        <v>11</v>
      </c>
    </row>
    <row r="1512" spans="1:13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F1512" s="3">
        <v>2804.2651923076919</v>
      </c>
      <c r="G1512" s="4">
        <v>0.6</v>
      </c>
      <c r="H1512" s="3">
        <v>0</v>
      </c>
      <c r="I1512" s="1">
        <v>45782</v>
      </c>
      <c r="J1512" t="s">
        <v>15</v>
      </c>
      <c r="K1512" t="s">
        <v>16</v>
      </c>
      <c r="L1512" s="3">
        <v>0</v>
      </c>
      <c r="M1512" t="s">
        <v>2518</v>
      </c>
    </row>
    <row r="1513" spans="1:13" x14ac:dyDescent="0.3">
      <c r="A1513">
        <v>2511</v>
      </c>
      <c r="B1513" t="s">
        <v>1547</v>
      </c>
      <c r="C1513" t="s">
        <v>20</v>
      </c>
      <c r="D1513" t="s">
        <v>80</v>
      </c>
      <c r="E1513">
        <v>2</v>
      </c>
      <c r="F1513" s="3">
        <v>2822.43</v>
      </c>
      <c r="G1513" s="4">
        <v>1</v>
      </c>
      <c r="H1513" s="3">
        <v>5644.86</v>
      </c>
      <c r="I1513" s="1">
        <v>45730</v>
      </c>
      <c r="J1513" t="s">
        <v>40</v>
      </c>
      <c r="K1513" t="s">
        <v>16</v>
      </c>
      <c r="L1513" s="3">
        <v>0</v>
      </c>
      <c r="M1513" t="s">
        <v>2518</v>
      </c>
    </row>
    <row r="1514" spans="1:13" x14ac:dyDescent="0.3">
      <c r="A1514">
        <v>2512</v>
      </c>
      <c r="B1514" t="s">
        <v>1548</v>
      </c>
      <c r="C1514" t="s">
        <v>13</v>
      </c>
      <c r="D1514" t="s">
        <v>36</v>
      </c>
      <c r="E1514">
        <v>2</v>
      </c>
      <c r="F1514" s="3">
        <v>2882.5046551724135</v>
      </c>
      <c r="G1514" s="4">
        <v>0.53</v>
      </c>
      <c r="H1514" s="3">
        <v>5765.0093103448271</v>
      </c>
      <c r="I1514" s="1">
        <v>45580</v>
      </c>
      <c r="J1514" t="s">
        <v>40</v>
      </c>
      <c r="K1514" t="s">
        <v>23</v>
      </c>
      <c r="L1514" s="3">
        <v>2709.5543758620688</v>
      </c>
      <c r="M1514" t="s">
        <v>11</v>
      </c>
    </row>
    <row r="1515" spans="1:13" x14ac:dyDescent="0.3">
      <c r="A1515">
        <v>2513</v>
      </c>
      <c r="B1515" t="s">
        <v>1549</v>
      </c>
      <c r="C1515" t="s">
        <v>38</v>
      </c>
      <c r="D1515" t="s">
        <v>59</v>
      </c>
      <c r="E1515">
        <v>2</v>
      </c>
      <c r="F1515" s="3">
        <v>3625.99</v>
      </c>
      <c r="G1515" s="4">
        <v>0.93</v>
      </c>
      <c r="H1515" s="3">
        <v>7251.98</v>
      </c>
      <c r="I1515" s="1">
        <v>45631</v>
      </c>
      <c r="J1515" t="s">
        <v>15</v>
      </c>
      <c r="K1515" t="s">
        <v>16</v>
      </c>
      <c r="L1515" s="3">
        <v>507.6385999999996</v>
      </c>
      <c r="M1515" t="s">
        <v>11</v>
      </c>
    </row>
    <row r="1516" spans="1:13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F1516" s="3">
        <v>2785.0877966101693</v>
      </c>
      <c r="G1516" s="4">
        <v>0.1</v>
      </c>
      <c r="H1516" s="3">
        <v>11140.351186440677</v>
      </c>
      <c r="I1516" s="1">
        <v>45794</v>
      </c>
      <c r="J1516" t="s">
        <v>56</v>
      </c>
      <c r="K1516" t="s">
        <v>23</v>
      </c>
      <c r="L1516" s="3">
        <v>10026.31606779661</v>
      </c>
      <c r="M1516" t="s">
        <v>11</v>
      </c>
    </row>
    <row r="1517" spans="1:13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F1517" s="3">
        <v>2725.8557142857148</v>
      </c>
      <c r="G1517" s="4">
        <v>0.6</v>
      </c>
      <c r="H1517" s="3">
        <v>8177.5671428571441</v>
      </c>
      <c r="I1517" s="1">
        <v>45782</v>
      </c>
      <c r="J1517" t="s">
        <v>40</v>
      </c>
      <c r="K1517" t="s">
        <v>23</v>
      </c>
      <c r="L1517" s="3">
        <v>3271.0268571428578</v>
      </c>
      <c r="M1517" t="s">
        <v>11</v>
      </c>
    </row>
    <row r="1518" spans="1:13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 s="3">
        <v>1927.87</v>
      </c>
      <c r="G1518" s="4">
        <v>0.6</v>
      </c>
      <c r="H1518" s="3">
        <v>1927.87</v>
      </c>
      <c r="I1518" s="1">
        <v>45825</v>
      </c>
      <c r="J1518" t="s">
        <v>15</v>
      </c>
      <c r="K1518" t="s">
        <v>23</v>
      </c>
      <c r="L1518" s="3">
        <v>771.14800000000002</v>
      </c>
      <c r="M1518" t="s">
        <v>11</v>
      </c>
    </row>
    <row r="1519" spans="1:13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F1519" s="3">
        <v>2501.5309999999999</v>
      </c>
      <c r="G1519" s="4">
        <v>0.2</v>
      </c>
      <c r="H1519" s="3">
        <v>5003.0619999999999</v>
      </c>
      <c r="I1519" s="1">
        <v>45641</v>
      </c>
      <c r="J1519" t="s">
        <v>46</v>
      </c>
      <c r="K1519" t="s">
        <v>23</v>
      </c>
      <c r="L1519" s="3">
        <v>4002.4495999999999</v>
      </c>
      <c r="M1519" t="s">
        <v>11</v>
      </c>
    </row>
    <row r="1520" spans="1:13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 s="3">
        <v>773.28</v>
      </c>
      <c r="G1520" s="4">
        <v>0.6</v>
      </c>
      <c r="H1520" s="3">
        <v>4639.68</v>
      </c>
      <c r="I1520" s="1">
        <v>45744</v>
      </c>
      <c r="J1520" t="s">
        <v>46</v>
      </c>
      <c r="K1520" t="s">
        <v>23</v>
      </c>
      <c r="L1520" s="3">
        <v>1855.8720000000003</v>
      </c>
      <c r="M1520" t="s">
        <v>11</v>
      </c>
    </row>
    <row r="1521" spans="1:13" x14ac:dyDescent="0.3">
      <c r="A1521">
        <v>2519</v>
      </c>
      <c r="B1521" t="s">
        <v>1555</v>
      </c>
      <c r="C1521" t="s">
        <v>38</v>
      </c>
      <c r="D1521" t="s">
        <v>59</v>
      </c>
      <c r="E1521">
        <v>2</v>
      </c>
      <c r="F1521" s="3">
        <v>3873.82</v>
      </c>
      <c r="G1521" s="4">
        <v>0.99</v>
      </c>
      <c r="H1521" s="3">
        <v>7747.64</v>
      </c>
      <c r="I1521" s="1">
        <v>45549</v>
      </c>
      <c r="J1521" t="s">
        <v>15</v>
      </c>
      <c r="K1521" t="s">
        <v>23</v>
      </c>
      <c r="L1521" s="3">
        <v>77.476400000000069</v>
      </c>
      <c r="M1521" t="s">
        <v>2518</v>
      </c>
    </row>
    <row r="1522" spans="1:13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 s="3">
        <v>2581.19</v>
      </c>
      <c r="G1522" s="4">
        <v>1.04</v>
      </c>
      <c r="H1522" s="3">
        <v>2581.19</v>
      </c>
      <c r="I1522" s="1">
        <v>45418</v>
      </c>
      <c r="J1522" t="s">
        <v>56</v>
      </c>
      <c r="K1522" t="s">
        <v>23</v>
      </c>
      <c r="L1522" s="3">
        <v>-103.24760000000009</v>
      </c>
      <c r="M1522" t="s">
        <v>2518</v>
      </c>
    </row>
    <row r="1523" spans="1:13" x14ac:dyDescent="0.3">
      <c r="A1523">
        <v>2521</v>
      </c>
      <c r="B1523" t="s">
        <v>1557</v>
      </c>
      <c r="C1523" t="s">
        <v>38</v>
      </c>
      <c r="D1523" t="s">
        <v>63</v>
      </c>
      <c r="E1523">
        <v>2</v>
      </c>
      <c r="F1523" s="3">
        <v>2845.2419672131159</v>
      </c>
      <c r="G1523" s="4">
        <v>0.6</v>
      </c>
      <c r="H1523" s="3">
        <v>5690.4839344262318</v>
      </c>
      <c r="I1523" s="1">
        <v>45538</v>
      </c>
      <c r="J1523" t="s">
        <v>22</v>
      </c>
      <c r="K1523" t="s">
        <v>16</v>
      </c>
      <c r="L1523" s="3">
        <v>2276.193573770493</v>
      </c>
      <c r="M1523" t="s">
        <v>11</v>
      </c>
    </row>
    <row r="1524" spans="1:13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 s="3">
        <v>2847.02</v>
      </c>
      <c r="G1524" s="4">
        <v>0.56999999999999995</v>
      </c>
      <c r="H1524" s="3">
        <v>11388.08</v>
      </c>
      <c r="I1524" s="1">
        <v>45171</v>
      </c>
      <c r="J1524" t="s">
        <v>46</v>
      </c>
      <c r="K1524" t="s">
        <v>23</v>
      </c>
      <c r="L1524" s="3">
        <v>4896.8744000000006</v>
      </c>
      <c r="M1524" t="s">
        <v>11</v>
      </c>
    </row>
    <row r="1525" spans="1:13" x14ac:dyDescent="0.3">
      <c r="A1525">
        <v>2523</v>
      </c>
      <c r="B1525" t="s">
        <v>1559</v>
      </c>
      <c r="C1525" t="s">
        <v>29</v>
      </c>
      <c r="D1525" t="s">
        <v>141</v>
      </c>
      <c r="E1525">
        <v>2</v>
      </c>
      <c r="F1525" s="3">
        <v>2840.78</v>
      </c>
      <c r="G1525" s="4">
        <v>0.6</v>
      </c>
      <c r="H1525" s="3">
        <v>5681.56</v>
      </c>
      <c r="I1525" s="1">
        <v>45565</v>
      </c>
      <c r="J1525" t="s">
        <v>46</v>
      </c>
      <c r="K1525" t="s">
        <v>23</v>
      </c>
      <c r="L1525" s="3">
        <v>2272.6240000000003</v>
      </c>
      <c r="M1525" t="s">
        <v>11</v>
      </c>
    </row>
    <row r="1526" spans="1:13" x14ac:dyDescent="0.3">
      <c r="A1526">
        <v>2524</v>
      </c>
      <c r="B1526" t="s">
        <v>1560</v>
      </c>
      <c r="C1526" t="s">
        <v>33</v>
      </c>
      <c r="D1526" t="s">
        <v>44</v>
      </c>
      <c r="E1526">
        <v>2</v>
      </c>
      <c r="F1526" s="3">
        <v>3539.22</v>
      </c>
      <c r="G1526" s="4">
        <v>0.6</v>
      </c>
      <c r="H1526" s="3">
        <v>7078.44</v>
      </c>
      <c r="I1526" s="1">
        <v>45540</v>
      </c>
      <c r="J1526" t="s">
        <v>40</v>
      </c>
      <c r="K1526" t="s">
        <v>23</v>
      </c>
      <c r="L1526" s="3">
        <v>2831.3760000000002</v>
      </c>
      <c r="M1526" t="s">
        <v>11</v>
      </c>
    </row>
    <row r="1527" spans="1:13" x14ac:dyDescent="0.3">
      <c r="A1527">
        <v>2525</v>
      </c>
      <c r="B1527" t="s">
        <v>1561</v>
      </c>
      <c r="C1527" t="s">
        <v>20</v>
      </c>
      <c r="D1527" t="s">
        <v>21</v>
      </c>
      <c r="E1527">
        <v>2</v>
      </c>
      <c r="F1527" s="3">
        <v>3046.11</v>
      </c>
      <c r="G1527" s="4">
        <v>0.6</v>
      </c>
      <c r="H1527" s="3">
        <v>6092.22</v>
      </c>
      <c r="I1527" s="1">
        <v>45776</v>
      </c>
      <c r="J1527" t="s">
        <v>40</v>
      </c>
      <c r="K1527" t="s">
        <v>23</v>
      </c>
      <c r="L1527" s="3">
        <v>2436.8880000000004</v>
      </c>
      <c r="M1527" t="s">
        <v>11</v>
      </c>
    </row>
    <row r="1528" spans="1:13" x14ac:dyDescent="0.3">
      <c r="A1528">
        <v>2526</v>
      </c>
      <c r="B1528" t="s">
        <v>1562</v>
      </c>
      <c r="C1528" t="s">
        <v>29</v>
      </c>
      <c r="D1528" t="s">
        <v>30</v>
      </c>
      <c r="E1528">
        <v>2</v>
      </c>
      <c r="F1528" s="3">
        <v>2617.6390384615388</v>
      </c>
      <c r="G1528" s="4">
        <v>0.94</v>
      </c>
      <c r="H1528" s="3">
        <v>5235.2780769230776</v>
      </c>
      <c r="I1528" s="1">
        <v>45782</v>
      </c>
      <c r="J1528" t="s">
        <v>22</v>
      </c>
      <c r="K1528" t="s">
        <v>23</v>
      </c>
      <c r="L1528" s="3">
        <v>314.11668461538494</v>
      </c>
      <c r="M1528" t="s">
        <v>2518</v>
      </c>
    </row>
    <row r="1529" spans="1:13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 s="3">
        <v>4057.33</v>
      </c>
      <c r="G1529" s="4">
        <v>1.22</v>
      </c>
      <c r="H1529" s="3">
        <v>-4057.33</v>
      </c>
      <c r="I1529" s="1">
        <v>45782</v>
      </c>
      <c r="J1529" t="s">
        <v>40</v>
      </c>
      <c r="K1529" t="s">
        <v>16</v>
      </c>
      <c r="L1529" s="3">
        <v>892.61259999999993</v>
      </c>
      <c r="M1529" t="s">
        <v>11</v>
      </c>
    </row>
    <row r="1530" spans="1:13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F1530" s="3">
        <v>2530.3836538461546</v>
      </c>
      <c r="G1530" s="4">
        <v>0.02</v>
      </c>
      <c r="H1530" s="3">
        <v>-2530.3836538461546</v>
      </c>
      <c r="I1530" s="1">
        <v>45816</v>
      </c>
      <c r="J1530" t="s">
        <v>15</v>
      </c>
      <c r="K1530" t="s">
        <v>23</v>
      </c>
      <c r="L1530" s="3">
        <v>-2479.7759807692314</v>
      </c>
      <c r="M1530" t="s">
        <v>2518</v>
      </c>
    </row>
    <row r="1531" spans="1:13" x14ac:dyDescent="0.3">
      <c r="A1531">
        <v>2529</v>
      </c>
      <c r="B1531" t="s">
        <v>1565</v>
      </c>
      <c r="C1531" t="s">
        <v>33</v>
      </c>
      <c r="D1531" t="s">
        <v>34</v>
      </c>
      <c r="E1531">
        <v>2</v>
      </c>
      <c r="F1531" s="3">
        <v>419.25</v>
      </c>
      <c r="G1531" s="4">
        <v>0.6</v>
      </c>
      <c r="H1531" s="3">
        <v>838.5</v>
      </c>
      <c r="I1531" s="1">
        <v>45782</v>
      </c>
      <c r="J1531" t="s">
        <v>22</v>
      </c>
      <c r="K1531" t="s">
        <v>23</v>
      </c>
      <c r="L1531" s="3">
        <v>335.40000000000003</v>
      </c>
      <c r="M1531" t="s">
        <v>2518</v>
      </c>
    </row>
    <row r="1532" spans="1:13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F1532" s="3">
        <v>2841.7630612244907</v>
      </c>
      <c r="G1532" s="4">
        <v>0.6</v>
      </c>
      <c r="H1532" s="3">
        <v>0</v>
      </c>
      <c r="I1532" s="1">
        <v>45653</v>
      </c>
      <c r="J1532" t="s">
        <v>18</v>
      </c>
      <c r="K1532" t="s">
        <v>23</v>
      </c>
      <c r="L1532" s="3">
        <v>0</v>
      </c>
      <c r="M1532" t="s">
        <v>2518</v>
      </c>
    </row>
    <row r="1533" spans="1:13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 s="3">
        <v>816.33</v>
      </c>
      <c r="G1533" s="4">
        <v>0.6</v>
      </c>
      <c r="H1533" s="3">
        <v>1632.66</v>
      </c>
      <c r="I1533" s="1">
        <v>45638</v>
      </c>
      <c r="J1533" t="s">
        <v>22</v>
      </c>
      <c r="K1533" t="s">
        <v>16</v>
      </c>
      <c r="L1533" s="3">
        <v>653.06400000000008</v>
      </c>
      <c r="M1533" t="s">
        <v>11</v>
      </c>
    </row>
    <row r="1534" spans="1:13" x14ac:dyDescent="0.3">
      <c r="A1534">
        <v>2532</v>
      </c>
      <c r="B1534" t="s">
        <v>1568</v>
      </c>
      <c r="C1534" t="s">
        <v>25</v>
      </c>
      <c r="D1534" t="s">
        <v>54</v>
      </c>
      <c r="E1534">
        <v>2</v>
      </c>
      <c r="F1534" s="3">
        <v>1863.19</v>
      </c>
      <c r="G1534" s="4">
        <v>0.01</v>
      </c>
      <c r="H1534" s="3">
        <v>3726.38</v>
      </c>
      <c r="I1534" s="1">
        <v>45782</v>
      </c>
      <c r="J1534" t="s">
        <v>22</v>
      </c>
      <c r="K1534" t="s">
        <v>23</v>
      </c>
      <c r="L1534" s="3">
        <v>3689.1161999999999</v>
      </c>
      <c r="M1534" t="s">
        <v>11</v>
      </c>
    </row>
    <row r="1535" spans="1:13" x14ac:dyDescent="0.3">
      <c r="A1535">
        <v>2533</v>
      </c>
      <c r="B1535" t="s">
        <v>1569</v>
      </c>
      <c r="C1535" t="s">
        <v>38</v>
      </c>
      <c r="D1535" t="s">
        <v>59</v>
      </c>
      <c r="E1535">
        <v>2</v>
      </c>
      <c r="F1535" s="3">
        <v>3960.8</v>
      </c>
      <c r="G1535" s="4">
        <v>0.03</v>
      </c>
      <c r="H1535" s="3">
        <v>7921.6</v>
      </c>
      <c r="I1535" s="1">
        <v>45666</v>
      </c>
      <c r="J1535" t="s">
        <v>22</v>
      </c>
      <c r="K1535" t="s">
        <v>23</v>
      </c>
      <c r="L1535" s="3">
        <v>7683.9520000000002</v>
      </c>
      <c r="M1535" t="s">
        <v>11</v>
      </c>
    </row>
    <row r="1536" spans="1:13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 s="3">
        <v>687.34</v>
      </c>
      <c r="G1536" s="4">
        <v>1.21</v>
      </c>
      <c r="H1536" s="3">
        <v>2749.36</v>
      </c>
      <c r="I1536" s="1">
        <v>45671</v>
      </c>
      <c r="J1536" t="s">
        <v>15</v>
      </c>
      <c r="K1536" t="s">
        <v>23</v>
      </c>
      <c r="L1536" s="3">
        <v>-577.36559999999997</v>
      </c>
      <c r="M1536" t="s">
        <v>2518</v>
      </c>
    </row>
    <row r="1537" spans="1:13" x14ac:dyDescent="0.3">
      <c r="A1537">
        <v>2535</v>
      </c>
      <c r="B1537" t="s">
        <v>1571</v>
      </c>
      <c r="C1537" t="s">
        <v>29</v>
      </c>
      <c r="D1537" t="s">
        <v>30</v>
      </c>
      <c r="E1537">
        <v>2</v>
      </c>
      <c r="F1537" s="3">
        <v>2617.6390384615388</v>
      </c>
      <c r="G1537" s="4">
        <v>0.6</v>
      </c>
      <c r="H1537" s="3">
        <v>5235.2780769230776</v>
      </c>
      <c r="I1537" s="1">
        <v>45543</v>
      </c>
      <c r="J1537" t="s">
        <v>15</v>
      </c>
      <c r="K1537" t="s">
        <v>16</v>
      </c>
      <c r="L1537" s="3">
        <v>2094.111230769231</v>
      </c>
      <c r="M1537" t="s">
        <v>11</v>
      </c>
    </row>
    <row r="1538" spans="1:13" x14ac:dyDescent="0.3">
      <c r="A1538">
        <v>2536</v>
      </c>
      <c r="B1538" t="s">
        <v>1572</v>
      </c>
      <c r="C1538" t="s">
        <v>13</v>
      </c>
      <c r="D1538" t="s">
        <v>14</v>
      </c>
      <c r="E1538">
        <v>2</v>
      </c>
      <c r="F1538" s="3">
        <v>2381.2677586206896</v>
      </c>
      <c r="G1538" s="4">
        <v>0.6</v>
      </c>
      <c r="H1538" s="3">
        <v>4762.5355172413792</v>
      </c>
      <c r="I1538" s="1">
        <v>45782</v>
      </c>
      <c r="J1538" t="s">
        <v>22</v>
      </c>
      <c r="K1538" t="s">
        <v>16</v>
      </c>
      <c r="L1538" s="3">
        <v>1905.0142068965517</v>
      </c>
      <c r="M1538" t="s">
        <v>11</v>
      </c>
    </row>
    <row r="1539" spans="1:13" x14ac:dyDescent="0.3">
      <c r="A1539">
        <v>2537</v>
      </c>
      <c r="B1539" t="s">
        <v>1573</v>
      </c>
      <c r="C1539" t="s">
        <v>25</v>
      </c>
      <c r="D1539" t="s">
        <v>54</v>
      </c>
      <c r="E1539">
        <v>2</v>
      </c>
      <c r="F1539" s="3">
        <v>3449.08</v>
      </c>
      <c r="G1539" s="4">
        <v>1.0900000000000001</v>
      </c>
      <c r="H1539" s="3">
        <v>6898.16</v>
      </c>
      <c r="I1539" s="1">
        <v>45359</v>
      </c>
      <c r="J1539" t="s">
        <v>40</v>
      </c>
      <c r="K1539" t="s">
        <v>16</v>
      </c>
      <c r="L1539" s="3">
        <v>-620.83440000000053</v>
      </c>
      <c r="M1539" t="s">
        <v>2518</v>
      </c>
    </row>
    <row r="1540" spans="1:13" x14ac:dyDescent="0.3">
      <c r="A1540">
        <v>2538</v>
      </c>
      <c r="B1540" t="s">
        <v>1574</v>
      </c>
      <c r="C1540" t="s">
        <v>38</v>
      </c>
      <c r="D1540" t="s">
        <v>39</v>
      </c>
      <c r="E1540">
        <v>2</v>
      </c>
      <c r="F1540" s="3">
        <v>3008.3844444444444</v>
      </c>
      <c r="G1540" s="4">
        <v>0.6</v>
      </c>
      <c r="H1540" s="3">
        <v>6016.7688888888888</v>
      </c>
      <c r="I1540" s="1">
        <v>45816</v>
      </c>
      <c r="J1540" t="s">
        <v>56</v>
      </c>
      <c r="K1540" t="s">
        <v>16</v>
      </c>
      <c r="L1540" s="3">
        <v>2406.7075555555557</v>
      </c>
      <c r="M1540" t="s">
        <v>11</v>
      </c>
    </row>
    <row r="1541" spans="1:13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F1541" s="3">
        <v>2483.5844000000002</v>
      </c>
      <c r="G1541" s="4">
        <v>0.6</v>
      </c>
      <c r="H1541" s="3">
        <v>9934.3376000000007</v>
      </c>
      <c r="I1541" s="1">
        <v>45782</v>
      </c>
      <c r="J1541" t="s">
        <v>22</v>
      </c>
      <c r="K1541" t="s">
        <v>23</v>
      </c>
      <c r="L1541" s="3">
        <v>3973.7350400000005</v>
      </c>
      <c r="M1541" t="s">
        <v>11</v>
      </c>
    </row>
    <row r="1542" spans="1:13" x14ac:dyDescent="0.3">
      <c r="A1542">
        <v>2540</v>
      </c>
      <c r="B1542" t="s">
        <v>1576</v>
      </c>
      <c r="C1542" t="s">
        <v>13</v>
      </c>
      <c r="D1542" t="s">
        <v>14</v>
      </c>
      <c r="E1542">
        <v>2</v>
      </c>
      <c r="F1542" s="3">
        <v>799.82</v>
      </c>
      <c r="G1542" s="4">
        <v>0.6</v>
      </c>
      <c r="H1542" s="3">
        <v>1599.64</v>
      </c>
      <c r="I1542" s="1">
        <v>45813</v>
      </c>
      <c r="J1542" t="s">
        <v>56</v>
      </c>
      <c r="K1542" t="s">
        <v>16</v>
      </c>
      <c r="L1542" s="3">
        <v>639.85600000000011</v>
      </c>
      <c r="M1542" t="s">
        <v>11</v>
      </c>
    </row>
    <row r="1543" spans="1:13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F1543" s="3">
        <v>2576.3056896551716</v>
      </c>
      <c r="G1543" s="4">
        <v>0.6</v>
      </c>
      <c r="H1543" s="3">
        <v>7728.9170689655148</v>
      </c>
      <c r="I1543" s="1">
        <v>45574</v>
      </c>
      <c r="J1543" t="s">
        <v>15</v>
      </c>
      <c r="K1543" t="s">
        <v>23</v>
      </c>
      <c r="L1543" s="3">
        <v>3091.5668275862063</v>
      </c>
      <c r="M1543" t="s">
        <v>11</v>
      </c>
    </row>
    <row r="1544" spans="1:13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F1544" s="3">
        <v>2483.5844000000002</v>
      </c>
      <c r="G1544" s="4">
        <v>0.42</v>
      </c>
      <c r="H1544" s="3">
        <v>7450.753200000001</v>
      </c>
      <c r="I1544" s="1">
        <v>45722</v>
      </c>
      <c r="J1544" t="s">
        <v>40</v>
      </c>
      <c r="K1544" t="s">
        <v>23</v>
      </c>
      <c r="L1544" s="3">
        <v>4321.4368560000012</v>
      </c>
      <c r="M1544" t="s">
        <v>11</v>
      </c>
    </row>
    <row r="1545" spans="1:13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 s="3">
        <v>3501.9</v>
      </c>
      <c r="G1545" s="4">
        <v>0.6</v>
      </c>
      <c r="H1545" s="3">
        <v>14007.6</v>
      </c>
      <c r="I1545" s="1">
        <v>45221</v>
      </c>
      <c r="J1545" t="s">
        <v>56</v>
      </c>
      <c r="K1545" t="s">
        <v>23</v>
      </c>
      <c r="L1545" s="3">
        <v>5603.0400000000009</v>
      </c>
      <c r="M1545" t="s">
        <v>11</v>
      </c>
    </row>
    <row r="1546" spans="1:13" x14ac:dyDescent="0.3">
      <c r="A1546">
        <v>2544</v>
      </c>
      <c r="B1546" t="s">
        <v>1580</v>
      </c>
      <c r="C1546" t="s">
        <v>29</v>
      </c>
      <c r="D1546" t="s">
        <v>42</v>
      </c>
      <c r="E1546">
        <v>2</v>
      </c>
      <c r="F1546" s="3">
        <v>3205.96</v>
      </c>
      <c r="G1546" s="4">
        <v>0.6</v>
      </c>
      <c r="H1546" s="3">
        <v>6411.92</v>
      </c>
      <c r="I1546" s="1">
        <v>45548</v>
      </c>
      <c r="J1546" t="s">
        <v>22</v>
      </c>
      <c r="K1546" t="s">
        <v>23</v>
      </c>
      <c r="L1546" s="3">
        <v>2564.768</v>
      </c>
      <c r="M1546" t="s">
        <v>11</v>
      </c>
    </row>
    <row r="1547" spans="1:13" x14ac:dyDescent="0.3">
      <c r="A1547">
        <v>2545</v>
      </c>
      <c r="B1547" t="s">
        <v>1581</v>
      </c>
      <c r="C1547" t="s">
        <v>38</v>
      </c>
      <c r="D1547" t="s">
        <v>91</v>
      </c>
      <c r="E1547">
        <v>2</v>
      </c>
      <c r="F1547" s="3">
        <v>2109.08</v>
      </c>
      <c r="G1547" s="4">
        <v>0.6</v>
      </c>
      <c r="H1547" s="3">
        <v>4218.16</v>
      </c>
      <c r="I1547" s="1">
        <v>45782</v>
      </c>
      <c r="J1547" t="s">
        <v>15</v>
      </c>
      <c r="K1547" t="s">
        <v>23</v>
      </c>
      <c r="L1547" s="3">
        <v>1687.2640000000001</v>
      </c>
      <c r="M1547" t="s">
        <v>11</v>
      </c>
    </row>
    <row r="1548" spans="1:13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 s="3">
        <v>3574.54</v>
      </c>
      <c r="G1548" s="4">
        <v>0.6</v>
      </c>
      <c r="H1548" s="3">
        <v>3574.54</v>
      </c>
      <c r="I1548" s="1">
        <v>45513</v>
      </c>
      <c r="J1548" t="s">
        <v>22</v>
      </c>
      <c r="K1548" t="s">
        <v>16</v>
      </c>
      <c r="L1548" s="3">
        <v>1429.816</v>
      </c>
      <c r="M1548" t="s">
        <v>11</v>
      </c>
    </row>
    <row r="1549" spans="1:13" x14ac:dyDescent="0.3">
      <c r="A1549">
        <v>2547</v>
      </c>
      <c r="B1549" t="s">
        <v>1583</v>
      </c>
      <c r="C1549" t="s">
        <v>25</v>
      </c>
      <c r="D1549" t="s">
        <v>66</v>
      </c>
      <c r="E1549">
        <v>2</v>
      </c>
      <c r="F1549" s="3">
        <v>4896.32</v>
      </c>
      <c r="G1549" s="4">
        <v>1.26</v>
      </c>
      <c r="H1549" s="3">
        <v>9792.64</v>
      </c>
      <c r="I1549" s="1">
        <v>45634</v>
      </c>
      <c r="J1549" t="s">
        <v>15</v>
      </c>
      <c r="K1549" t="s">
        <v>23</v>
      </c>
      <c r="L1549" s="3">
        <v>-2546.0864000000001</v>
      </c>
      <c r="M1549" t="s">
        <v>2518</v>
      </c>
    </row>
    <row r="1550" spans="1:13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 s="3">
        <v>4994.07</v>
      </c>
      <c r="G1550" s="4">
        <v>0.6</v>
      </c>
      <c r="H1550" s="3">
        <v>-4994.07</v>
      </c>
      <c r="I1550" s="1">
        <v>45782</v>
      </c>
      <c r="J1550" t="s">
        <v>56</v>
      </c>
      <c r="K1550" t="s">
        <v>23</v>
      </c>
      <c r="L1550" s="3">
        <v>-1997.6279999999999</v>
      </c>
      <c r="M1550" t="s">
        <v>2518</v>
      </c>
    </row>
    <row r="1551" spans="1:13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 s="3">
        <v>2319.23</v>
      </c>
      <c r="G1551" s="4">
        <v>0.6</v>
      </c>
      <c r="H1551" s="3">
        <v>13915.380000000001</v>
      </c>
      <c r="I1551" s="1">
        <v>45674</v>
      </c>
      <c r="J1551" t="s">
        <v>18</v>
      </c>
      <c r="K1551" t="s">
        <v>16</v>
      </c>
      <c r="L1551" s="3">
        <v>5566.152000000001</v>
      </c>
      <c r="M1551" t="s">
        <v>11</v>
      </c>
    </row>
    <row r="1552" spans="1:13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 s="3">
        <v>1463.64</v>
      </c>
      <c r="G1552" s="4">
        <v>0.6</v>
      </c>
      <c r="H1552" s="3">
        <v>-1463.64</v>
      </c>
      <c r="I1552" s="1">
        <v>45777</v>
      </c>
      <c r="J1552" t="s">
        <v>56</v>
      </c>
      <c r="K1552" t="s">
        <v>16</v>
      </c>
      <c r="L1552" s="3">
        <v>-585.45600000000002</v>
      </c>
      <c r="M1552" t="s">
        <v>2518</v>
      </c>
    </row>
    <row r="1553" spans="1:13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 s="3">
        <v>4776.97</v>
      </c>
      <c r="G1553" s="4">
        <v>0.6</v>
      </c>
      <c r="H1553" s="3">
        <v>28661.82</v>
      </c>
      <c r="I1553" s="1">
        <v>45782</v>
      </c>
      <c r="J1553" t="s">
        <v>18</v>
      </c>
      <c r="K1553" t="s">
        <v>23</v>
      </c>
      <c r="L1553" s="3">
        <v>11464.728000000001</v>
      </c>
      <c r="M1553" t="s">
        <v>11</v>
      </c>
    </row>
    <row r="1554" spans="1:13" x14ac:dyDescent="0.3">
      <c r="A1554">
        <v>2552</v>
      </c>
      <c r="B1554" t="s">
        <v>1588</v>
      </c>
      <c r="C1554" t="s">
        <v>38</v>
      </c>
      <c r="D1554" t="s">
        <v>39</v>
      </c>
      <c r="E1554">
        <v>2</v>
      </c>
      <c r="F1554" s="3">
        <v>3617.02</v>
      </c>
      <c r="G1554" s="4">
        <v>0.6</v>
      </c>
      <c r="H1554" s="3">
        <v>7234.04</v>
      </c>
      <c r="I1554" s="1">
        <v>45644</v>
      </c>
      <c r="J1554" t="s">
        <v>56</v>
      </c>
      <c r="K1554" t="s">
        <v>16</v>
      </c>
      <c r="L1554" s="3">
        <v>2893.616</v>
      </c>
      <c r="M1554" t="s">
        <v>11</v>
      </c>
    </row>
    <row r="1555" spans="1:13" x14ac:dyDescent="0.3">
      <c r="A1555">
        <v>2553</v>
      </c>
      <c r="B1555" t="s">
        <v>1589</v>
      </c>
      <c r="C1555" t="s">
        <v>38</v>
      </c>
      <c r="D1555" t="s">
        <v>59</v>
      </c>
      <c r="E1555">
        <v>2</v>
      </c>
      <c r="F1555" s="3">
        <v>3347.39</v>
      </c>
      <c r="G1555" s="4">
        <v>0.6</v>
      </c>
      <c r="H1555" s="3">
        <v>6694.78</v>
      </c>
      <c r="I1555" s="1">
        <v>45193</v>
      </c>
      <c r="J1555" t="s">
        <v>22</v>
      </c>
      <c r="K1555" t="s">
        <v>23</v>
      </c>
      <c r="L1555" s="3">
        <v>2677.9120000000003</v>
      </c>
      <c r="M1555" t="s">
        <v>11</v>
      </c>
    </row>
    <row r="1556" spans="1:13" x14ac:dyDescent="0.3">
      <c r="A1556">
        <v>2554</v>
      </c>
      <c r="B1556" t="s">
        <v>1590</v>
      </c>
      <c r="C1556" t="s">
        <v>25</v>
      </c>
      <c r="D1556" t="s">
        <v>54</v>
      </c>
      <c r="E1556">
        <v>2</v>
      </c>
      <c r="F1556" s="3">
        <v>2433.4699999999998</v>
      </c>
      <c r="G1556" s="4">
        <v>0.6</v>
      </c>
      <c r="H1556" s="3">
        <v>4866.9399999999996</v>
      </c>
      <c r="I1556" s="1">
        <v>45551</v>
      </c>
      <c r="J1556" t="s">
        <v>56</v>
      </c>
      <c r="K1556" t="s">
        <v>23</v>
      </c>
      <c r="L1556" s="3">
        <v>1946.7759999999998</v>
      </c>
      <c r="M1556" t="s">
        <v>11</v>
      </c>
    </row>
    <row r="1557" spans="1:13" x14ac:dyDescent="0.3">
      <c r="A1557">
        <v>2555</v>
      </c>
      <c r="B1557" t="s">
        <v>1591</v>
      </c>
      <c r="C1557" t="s">
        <v>13</v>
      </c>
      <c r="D1557" t="s">
        <v>14</v>
      </c>
      <c r="E1557">
        <v>2</v>
      </c>
      <c r="F1557" s="3">
        <v>3633.07</v>
      </c>
      <c r="G1557" s="4">
        <v>0.22</v>
      </c>
      <c r="H1557" s="3">
        <v>7266.14</v>
      </c>
      <c r="I1557" s="1">
        <v>45313</v>
      </c>
      <c r="J1557" t="s">
        <v>46</v>
      </c>
      <c r="K1557" t="s">
        <v>23</v>
      </c>
      <c r="L1557" s="3">
        <v>5667.5892000000003</v>
      </c>
      <c r="M1557" t="s">
        <v>11</v>
      </c>
    </row>
    <row r="1558" spans="1:13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 s="3">
        <v>2068.88</v>
      </c>
      <c r="G1558" s="4">
        <v>0.6</v>
      </c>
      <c r="H1558" s="3">
        <v>4137.76</v>
      </c>
      <c r="I1558" s="1">
        <v>45782</v>
      </c>
      <c r="J1558" t="s">
        <v>40</v>
      </c>
      <c r="K1558" t="s">
        <v>23</v>
      </c>
      <c r="L1558" s="3">
        <v>1655.1040000000003</v>
      </c>
      <c r="M1558" t="s">
        <v>11</v>
      </c>
    </row>
    <row r="1559" spans="1:13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 s="3">
        <v>4626.4399999999996</v>
      </c>
      <c r="G1559" s="4">
        <v>1.1000000000000001</v>
      </c>
      <c r="H1559" s="3">
        <v>-4626.4399999999996</v>
      </c>
      <c r="I1559" s="1">
        <v>45780</v>
      </c>
      <c r="J1559" t="s">
        <v>18</v>
      </c>
      <c r="K1559" t="s">
        <v>23</v>
      </c>
      <c r="L1559" s="3">
        <v>462.64400000000035</v>
      </c>
      <c r="M1559" t="s">
        <v>2518</v>
      </c>
    </row>
    <row r="1560" spans="1:13" x14ac:dyDescent="0.3">
      <c r="A1560">
        <v>2558</v>
      </c>
      <c r="B1560" t="s">
        <v>1594</v>
      </c>
      <c r="C1560" t="s">
        <v>29</v>
      </c>
      <c r="D1560" t="s">
        <v>42</v>
      </c>
      <c r="E1560">
        <v>2</v>
      </c>
      <c r="F1560" s="3">
        <v>1175.25</v>
      </c>
      <c r="G1560" s="4">
        <v>0.6</v>
      </c>
      <c r="H1560" s="3">
        <v>2350.5</v>
      </c>
      <c r="I1560" s="1">
        <v>45782</v>
      </c>
      <c r="J1560" t="s">
        <v>22</v>
      </c>
      <c r="K1560" t="s">
        <v>23</v>
      </c>
      <c r="L1560" s="3">
        <v>940.2</v>
      </c>
      <c r="M1560" t="s">
        <v>11</v>
      </c>
    </row>
    <row r="1561" spans="1:13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F1561" s="3">
        <v>2830.1325714285731</v>
      </c>
      <c r="G1561" s="4">
        <v>0.3</v>
      </c>
      <c r="H1561" s="3">
        <v>0</v>
      </c>
      <c r="I1561" s="1">
        <v>45782</v>
      </c>
      <c r="J1561" t="s">
        <v>46</v>
      </c>
      <c r="K1561" t="s">
        <v>23</v>
      </c>
      <c r="L1561" s="3">
        <v>0</v>
      </c>
      <c r="M1561" t="s">
        <v>2518</v>
      </c>
    </row>
    <row r="1562" spans="1:13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 s="3">
        <v>4699.66</v>
      </c>
      <c r="G1562" s="4">
        <v>0.6</v>
      </c>
      <c r="H1562" s="3">
        <v>-4699.66</v>
      </c>
      <c r="I1562" s="1">
        <v>45782</v>
      </c>
      <c r="J1562" t="s">
        <v>22</v>
      </c>
      <c r="K1562" t="s">
        <v>16</v>
      </c>
      <c r="L1562" s="3">
        <v>-1879.864</v>
      </c>
      <c r="M1562" t="s">
        <v>2518</v>
      </c>
    </row>
    <row r="1563" spans="1:13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F1563" s="3">
        <v>2681.1743636363635</v>
      </c>
      <c r="G1563" s="4">
        <v>0.6</v>
      </c>
      <c r="H1563" s="3">
        <v>13405.871818181819</v>
      </c>
      <c r="I1563" s="1">
        <v>45782</v>
      </c>
      <c r="J1563" t="s">
        <v>18</v>
      </c>
      <c r="K1563" t="s">
        <v>23</v>
      </c>
      <c r="L1563" s="3">
        <v>5362.348727272728</v>
      </c>
      <c r="M1563" t="s">
        <v>11</v>
      </c>
    </row>
    <row r="1564" spans="1:13" x14ac:dyDescent="0.3">
      <c r="A1564">
        <v>1044</v>
      </c>
      <c r="B1564" t="s">
        <v>1598</v>
      </c>
      <c r="C1564" t="s">
        <v>20</v>
      </c>
      <c r="D1564" t="s">
        <v>80</v>
      </c>
      <c r="E1564">
        <v>2</v>
      </c>
      <c r="F1564" s="3">
        <v>756.73</v>
      </c>
      <c r="G1564" s="4">
        <v>0.6</v>
      </c>
      <c r="H1564" s="3">
        <v>1513.46</v>
      </c>
      <c r="I1564" s="1">
        <v>45631</v>
      </c>
      <c r="J1564" t="s">
        <v>15</v>
      </c>
      <c r="K1564" t="s">
        <v>23</v>
      </c>
      <c r="L1564" s="3">
        <v>605.38400000000001</v>
      </c>
      <c r="M1564" t="s">
        <v>11</v>
      </c>
    </row>
    <row r="1565" spans="1:13" x14ac:dyDescent="0.3">
      <c r="A1565">
        <v>2563</v>
      </c>
      <c r="B1565" t="s">
        <v>1599</v>
      </c>
      <c r="C1565" t="s">
        <v>29</v>
      </c>
      <c r="D1565" t="s">
        <v>42</v>
      </c>
      <c r="E1565">
        <v>2</v>
      </c>
      <c r="F1565" s="3">
        <v>2559.6667307692314</v>
      </c>
      <c r="G1565" s="4">
        <v>0.41</v>
      </c>
      <c r="H1565" s="3">
        <v>5119.3334615384629</v>
      </c>
      <c r="I1565" s="1">
        <v>45789</v>
      </c>
      <c r="J1565" t="s">
        <v>56</v>
      </c>
      <c r="K1565" t="s">
        <v>16</v>
      </c>
      <c r="L1565" s="3">
        <v>3020.4067423076935</v>
      </c>
      <c r="M1565" t="s">
        <v>11</v>
      </c>
    </row>
    <row r="1566" spans="1:13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F1566" s="3">
        <v>2700.1263043478252</v>
      </c>
      <c r="G1566" s="4">
        <v>0.6</v>
      </c>
      <c r="H1566" s="3">
        <v>-2700.1263043478252</v>
      </c>
      <c r="I1566" s="1">
        <v>45290</v>
      </c>
      <c r="J1566" t="s">
        <v>22</v>
      </c>
      <c r="K1566" t="s">
        <v>16</v>
      </c>
      <c r="L1566" s="3">
        <v>-1080.0505217391301</v>
      </c>
      <c r="M1566" t="s">
        <v>2518</v>
      </c>
    </row>
    <row r="1567" spans="1:13" x14ac:dyDescent="0.3">
      <c r="A1567">
        <v>2565</v>
      </c>
      <c r="B1567" t="s">
        <v>1601</v>
      </c>
      <c r="C1567" t="s">
        <v>25</v>
      </c>
      <c r="D1567" t="s">
        <v>54</v>
      </c>
      <c r="E1567">
        <v>2</v>
      </c>
      <c r="F1567" s="3">
        <v>2530.3836538461546</v>
      </c>
      <c r="G1567" s="4">
        <v>0.6</v>
      </c>
      <c r="H1567" s="3">
        <v>5060.7673076923093</v>
      </c>
      <c r="I1567" s="1">
        <v>45782</v>
      </c>
      <c r="J1567" t="s">
        <v>46</v>
      </c>
      <c r="K1567" t="s">
        <v>23</v>
      </c>
      <c r="L1567" s="3">
        <v>2024.3069230769238</v>
      </c>
      <c r="M1567" t="s">
        <v>11</v>
      </c>
    </row>
    <row r="1568" spans="1:13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 s="3">
        <v>4482.08</v>
      </c>
      <c r="G1568" s="4">
        <v>0.6</v>
      </c>
      <c r="H1568" s="3">
        <v>4482.08</v>
      </c>
      <c r="I1568" s="1">
        <v>45508</v>
      </c>
      <c r="J1568" t="s">
        <v>40</v>
      </c>
      <c r="K1568" t="s">
        <v>23</v>
      </c>
      <c r="L1568" s="3">
        <v>1792.8320000000001</v>
      </c>
      <c r="M1568" t="s">
        <v>11</v>
      </c>
    </row>
    <row r="1569" spans="1:13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F1569" s="3">
        <v>2776.2202000000002</v>
      </c>
      <c r="G1569" s="4">
        <v>0.35</v>
      </c>
      <c r="H1569" s="3">
        <v>11104.880800000001</v>
      </c>
      <c r="I1569" s="1">
        <v>45643</v>
      </c>
      <c r="J1569" t="s">
        <v>15</v>
      </c>
      <c r="K1569" t="s">
        <v>23</v>
      </c>
      <c r="L1569" s="3">
        <v>7218.172520000001</v>
      </c>
      <c r="M1569" t="s">
        <v>11</v>
      </c>
    </row>
    <row r="1570" spans="1:13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 s="3">
        <v>2355.2800000000002</v>
      </c>
      <c r="G1570" s="4">
        <v>0.6</v>
      </c>
      <c r="H1570" s="3">
        <v>14131.68</v>
      </c>
      <c r="I1570" s="1">
        <v>45674</v>
      </c>
      <c r="J1570" t="s">
        <v>18</v>
      </c>
      <c r="K1570" t="s">
        <v>23</v>
      </c>
      <c r="L1570" s="3">
        <v>5652.6720000000005</v>
      </c>
      <c r="M1570" t="s">
        <v>11</v>
      </c>
    </row>
    <row r="1571" spans="1:13" x14ac:dyDescent="0.3">
      <c r="A1571">
        <v>2569</v>
      </c>
      <c r="B1571" t="s">
        <v>1605</v>
      </c>
      <c r="C1571" t="s">
        <v>20</v>
      </c>
      <c r="D1571" t="s">
        <v>122</v>
      </c>
      <c r="E1571">
        <v>2</v>
      </c>
      <c r="F1571" s="3">
        <v>1263.8399999999999</v>
      </c>
      <c r="G1571" s="4">
        <v>0.6</v>
      </c>
      <c r="H1571" s="3">
        <v>2527.6799999999998</v>
      </c>
      <c r="I1571" s="1">
        <v>45694</v>
      </c>
      <c r="J1571" t="s">
        <v>56</v>
      </c>
      <c r="K1571" t="s">
        <v>23</v>
      </c>
      <c r="L1571" s="3">
        <v>1011.072</v>
      </c>
      <c r="M1571" t="s">
        <v>11</v>
      </c>
    </row>
    <row r="1572" spans="1:13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F1572" s="3">
        <v>2725.8557142857148</v>
      </c>
      <c r="G1572" s="4">
        <v>0.78</v>
      </c>
      <c r="H1572" s="3">
        <v>-2725.8557142857148</v>
      </c>
      <c r="I1572" s="1">
        <v>45763</v>
      </c>
      <c r="J1572" t="s">
        <v>56</v>
      </c>
      <c r="K1572" t="s">
        <v>23</v>
      </c>
      <c r="L1572" s="3">
        <v>-599.6882571428572</v>
      </c>
      <c r="M1572" t="s">
        <v>2518</v>
      </c>
    </row>
    <row r="1573" spans="1:13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 s="3">
        <v>3061.98</v>
      </c>
      <c r="G1573" s="4">
        <v>0.6</v>
      </c>
      <c r="H1573" s="3">
        <v>-6123.96</v>
      </c>
      <c r="I1573" s="1">
        <v>45843</v>
      </c>
      <c r="J1573" t="s">
        <v>18</v>
      </c>
      <c r="K1573" t="s">
        <v>23</v>
      </c>
      <c r="L1573" s="3">
        <v>-2449.5840000000003</v>
      </c>
      <c r="M1573" t="s">
        <v>2518</v>
      </c>
    </row>
    <row r="1574" spans="1:13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F1574" s="3">
        <v>2841.7630612244907</v>
      </c>
      <c r="G1574" s="4">
        <v>0.6</v>
      </c>
      <c r="H1574" s="3">
        <v>0</v>
      </c>
      <c r="I1574" s="1">
        <v>45698</v>
      </c>
      <c r="J1574" t="s">
        <v>46</v>
      </c>
      <c r="K1574" t="s">
        <v>23</v>
      </c>
      <c r="L1574" s="3">
        <v>0</v>
      </c>
      <c r="M1574" t="s">
        <v>2518</v>
      </c>
    </row>
    <row r="1575" spans="1:13" x14ac:dyDescent="0.3">
      <c r="A1575">
        <v>2573</v>
      </c>
      <c r="B1575" t="s">
        <v>1609</v>
      </c>
      <c r="C1575" t="s">
        <v>20</v>
      </c>
      <c r="D1575" t="s">
        <v>122</v>
      </c>
      <c r="E1575">
        <v>2</v>
      </c>
      <c r="F1575" s="3">
        <v>2700.1263043478252</v>
      </c>
      <c r="G1575" s="4">
        <v>0.6</v>
      </c>
      <c r="H1575" s="3">
        <v>5400.2526086956505</v>
      </c>
      <c r="I1575" s="1">
        <v>45303</v>
      </c>
      <c r="J1575" t="s">
        <v>18</v>
      </c>
      <c r="K1575" t="s">
        <v>23</v>
      </c>
      <c r="L1575" s="3">
        <v>2160.1010434782602</v>
      </c>
      <c r="M1575" t="s">
        <v>11</v>
      </c>
    </row>
    <row r="1576" spans="1:13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F1576" s="3">
        <v>2845.2419672131159</v>
      </c>
      <c r="G1576" s="4">
        <v>0.6</v>
      </c>
      <c r="H1576" s="3">
        <v>-5690.4839344262318</v>
      </c>
      <c r="I1576" s="1">
        <v>45602</v>
      </c>
      <c r="J1576" t="s">
        <v>46</v>
      </c>
      <c r="K1576" t="s">
        <v>23</v>
      </c>
      <c r="L1576" s="3">
        <v>-2276.193573770493</v>
      </c>
      <c r="M1576" t="s">
        <v>2518</v>
      </c>
    </row>
    <row r="1577" spans="1:13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 s="3">
        <v>2714.78</v>
      </c>
      <c r="G1577" s="4">
        <v>0.42</v>
      </c>
      <c r="H1577" s="3">
        <v>-5429.56</v>
      </c>
      <c r="I1577" s="1">
        <v>45785</v>
      </c>
      <c r="J1577" t="s">
        <v>18</v>
      </c>
      <c r="K1577" t="s">
        <v>23</v>
      </c>
      <c r="L1577" s="3">
        <v>-3149.1448000000005</v>
      </c>
      <c r="M1577" t="s">
        <v>2518</v>
      </c>
    </row>
    <row r="1578" spans="1:13" x14ac:dyDescent="0.3">
      <c r="A1578">
        <v>2576</v>
      </c>
      <c r="B1578" t="s">
        <v>1612</v>
      </c>
      <c r="C1578" t="s">
        <v>13</v>
      </c>
      <c r="D1578" t="s">
        <v>49</v>
      </c>
      <c r="E1578">
        <v>2</v>
      </c>
      <c r="F1578" s="3">
        <v>2785.0877966101693</v>
      </c>
      <c r="G1578" s="4">
        <v>0.56000000000000005</v>
      </c>
      <c r="H1578" s="3">
        <v>5570.1755932203387</v>
      </c>
      <c r="I1578" s="1">
        <v>45851</v>
      </c>
      <c r="J1578" t="s">
        <v>22</v>
      </c>
      <c r="K1578" t="s">
        <v>16</v>
      </c>
      <c r="L1578" s="3">
        <v>2450.8772610169485</v>
      </c>
      <c r="M1578" t="s">
        <v>11</v>
      </c>
    </row>
    <row r="1579" spans="1:13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 s="3">
        <v>609.05999999999995</v>
      </c>
      <c r="G1579" s="4">
        <v>0.17</v>
      </c>
      <c r="H1579" s="3">
        <v>609.05999999999995</v>
      </c>
      <c r="I1579" s="1">
        <v>45597</v>
      </c>
      <c r="J1579" t="s">
        <v>18</v>
      </c>
      <c r="K1579" t="s">
        <v>16</v>
      </c>
      <c r="L1579" s="3">
        <v>505.51979999999992</v>
      </c>
      <c r="M1579" t="s">
        <v>11</v>
      </c>
    </row>
    <row r="1580" spans="1:13" x14ac:dyDescent="0.3">
      <c r="A1580">
        <v>2578</v>
      </c>
      <c r="B1580" t="s">
        <v>1614</v>
      </c>
      <c r="C1580" t="s">
        <v>33</v>
      </c>
      <c r="D1580" t="s">
        <v>82</v>
      </c>
      <c r="E1580">
        <v>2</v>
      </c>
      <c r="F1580" s="3">
        <v>2776.2202000000002</v>
      </c>
      <c r="G1580" s="4">
        <v>0.87</v>
      </c>
      <c r="H1580" s="3">
        <v>5552.4404000000004</v>
      </c>
      <c r="I1580" s="1">
        <v>45782</v>
      </c>
      <c r="J1580" t="s">
        <v>56</v>
      </c>
      <c r="K1580" t="s">
        <v>23</v>
      </c>
      <c r="L1580" s="3">
        <v>721.81725200000005</v>
      </c>
      <c r="M1580" t="s">
        <v>11</v>
      </c>
    </row>
    <row r="1581" spans="1:13" x14ac:dyDescent="0.3">
      <c r="A1581">
        <v>1026</v>
      </c>
      <c r="B1581" t="s">
        <v>1615</v>
      </c>
      <c r="C1581" t="s">
        <v>13</v>
      </c>
      <c r="D1581" t="s">
        <v>36</v>
      </c>
      <c r="E1581">
        <v>2</v>
      </c>
      <c r="F1581" s="3">
        <v>2293.29</v>
      </c>
      <c r="G1581" s="4">
        <v>0.4</v>
      </c>
      <c r="H1581" s="3">
        <v>4586.58</v>
      </c>
      <c r="I1581" s="1">
        <v>45782</v>
      </c>
      <c r="J1581" t="s">
        <v>22</v>
      </c>
      <c r="K1581" t="s">
        <v>16</v>
      </c>
      <c r="L1581" s="3">
        <v>2751.9479999999999</v>
      </c>
      <c r="M1581" t="s">
        <v>11</v>
      </c>
    </row>
    <row r="1582" spans="1:13" x14ac:dyDescent="0.3">
      <c r="A1582">
        <v>2580</v>
      </c>
      <c r="B1582" t="s">
        <v>1616</v>
      </c>
      <c r="C1582" t="s">
        <v>25</v>
      </c>
      <c r="D1582" t="s">
        <v>26</v>
      </c>
      <c r="E1582">
        <v>2</v>
      </c>
      <c r="F1582" s="3">
        <v>2888.8714285714286</v>
      </c>
      <c r="G1582" s="4">
        <v>0.6</v>
      </c>
      <c r="H1582" s="3">
        <v>5777.7428571428572</v>
      </c>
      <c r="I1582" s="1">
        <v>45383</v>
      </c>
      <c r="J1582" t="s">
        <v>56</v>
      </c>
      <c r="K1582" t="s">
        <v>16</v>
      </c>
      <c r="L1582" s="3">
        <v>2311.0971428571429</v>
      </c>
      <c r="M1582" t="s">
        <v>11</v>
      </c>
    </row>
    <row r="1583" spans="1:13" x14ac:dyDescent="0.3">
      <c r="A1583">
        <v>2581</v>
      </c>
      <c r="B1583" t="s">
        <v>1617</v>
      </c>
      <c r="C1583" t="s">
        <v>20</v>
      </c>
      <c r="D1583" t="s">
        <v>80</v>
      </c>
      <c r="E1583">
        <v>2</v>
      </c>
      <c r="F1583" s="3">
        <v>3895.43</v>
      </c>
      <c r="G1583" s="4">
        <v>0.6</v>
      </c>
      <c r="H1583" s="3">
        <v>7790.86</v>
      </c>
      <c r="I1583" s="1">
        <v>45611</v>
      </c>
      <c r="J1583" t="s">
        <v>40</v>
      </c>
      <c r="K1583" t="s">
        <v>23</v>
      </c>
      <c r="L1583" s="3">
        <v>3116.3440000000001</v>
      </c>
      <c r="M1583" t="s">
        <v>11</v>
      </c>
    </row>
    <row r="1584" spans="1:13" x14ac:dyDescent="0.3">
      <c r="A1584">
        <v>2582</v>
      </c>
      <c r="B1584" t="s">
        <v>1618</v>
      </c>
      <c r="C1584" t="s">
        <v>33</v>
      </c>
      <c r="D1584" t="s">
        <v>44</v>
      </c>
      <c r="E1584">
        <v>2</v>
      </c>
      <c r="F1584" s="3">
        <v>4154.55</v>
      </c>
      <c r="G1584" s="4">
        <v>0.95</v>
      </c>
      <c r="H1584" s="3">
        <v>8309.1</v>
      </c>
      <c r="I1584" s="1">
        <v>45551</v>
      </c>
      <c r="J1584" t="s">
        <v>46</v>
      </c>
      <c r="K1584" t="s">
        <v>23</v>
      </c>
      <c r="L1584" s="3">
        <v>415.45500000000038</v>
      </c>
      <c r="M1584" t="s">
        <v>2518</v>
      </c>
    </row>
    <row r="1585" spans="1:13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F1585" s="3">
        <v>2882.5046551724135</v>
      </c>
      <c r="G1585" s="4">
        <v>0.6</v>
      </c>
      <c r="H1585" s="3">
        <v>-5765.0093103448271</v>
      </c>
      <c r="I1585" s="1">
        <v>45392</v>
      </c>
      <c r="J1585" t="s">
        <v>15</v>
      </c>
      <c r="K1585" t="s">
        <v>16</v>
      </c>
      <c r="L1585" s="3">
        <v>-2306.0037241379309</v>
      </c>
      <c r="M1585" t="s">
        <v>2518</v>
      </c>
    </row>
    <row r="1586" spans="1:13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 s="3">
        <v>1276.26</v>
      </c>
      <c r="G1586" s="4">
        <v>0.69</v>
      </c>
      <c r="H1586" s="3">
        <v>3828.7799999999997</v>
      </c>
      <c r="I1586" s="1">
        <v>45782</v>
      </c>
      <c r="J1586" t="s">
        <v>22</v>
      </c>
      <c r="K1586" t="s">
        <v>16</v>
      </c>
      <c r="L1586" s="3">
        <v>1186.9218000000001</v>
      </c>
      <c r="M1586" t="s">
        <v>11</v>
      </c>
    </row>
    <row r="1587" spans="1:13" x14ac:dyDescent="0.3">
      <c r="A1587">
        <v>2585</v>
      </c>
      <c r="B1587" t="s">
        <v>1621</v>
      </c>
      <c r="C1587" t="s">
        <v>38</v>
      </c>
      <c r="D1587" t="s">
        <v>39</v>
      </c>
      <c r="E1587">
        <v>2</v>
      </c>
      <c r="F1587" s="3">
        <v>3008.3844444444444</v>
      </c>
      <c r="G1587" s="4">
        <v>0.6</v>
      </c>
      <c r="H1587" s="3">
        <v>6016.7688888888888</v>
      </c>
      <c r="I1587" s="1">
        <v>45624</v>
      </c>
      <c r="J1587" t="s">
        <v>56</v>
      </c>
      <c r="K1587" t="s">
        <v>16</v>
      </c>
      <c r="L1587" s="3">
        <v>2406.7075555555557</v>
      </c>
      <c r="M1587" t="s">
        <v>11</v>
      </c>
    </row>
    <row r="1588" spans="1:13" x14ac:dyDescent="0.3">
      <c r="A1588">
        <v>2586</v>
      </c>
      <c r="B1588" t="s">
        <v>1622</v>
      </c>
      <c r="C1588" t="s">
        <v>13</v>
      </c>
      <c r="D1588" t="s">
        <v>14</v>
      </c>
      <c r="E1588">
        <v>2</v>
      </c>
      <c r="F1588" s="3">
        <v>789.21</v>
      </c>
      <c r="G1588" s="4">
        <v>0.6</v>
      </c>
      <c r="H1588" s="3">
        <v>1578.42</v>
      </c>
      <c r="I1588" s="1">
        <v>45672</v>
      </c>
      <c r="J1588" t="s">
        <v>18</v>
      </c>
      <c r="K1588" t="s">
        <v>16</v>
      </c>
      <c r="L1588" s="3">
        <v>631.36800000000005</v>
      </c>
      <c r="M1588" t="s">
        <v>11</v>
      </c>
    </row>
    <row r="1589" spans="1:13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 s="3">
        <v>3463.37</v>
      </c>
      <c r="G1589" s="4">
        <v>0.1</v>
      </c>
      <c r="H1589" s="3">
        <v>17316.849999999999</v>
      </c>
      <c r="I1589" s="1">
        <v>45782</v>
      </c>
      <c r="J1589" t="s">
        <v>40</v>
      </c>
      <c r="K1589" t="s">
        <v>23</v>
      </c>
      <c r="L1589" s="3">
        <v>15585.164999999999</v>
      </c>
      <c r="M1589" t="s">
        <v>11</v>
      </c>
    </row>
    <row r="1590" spans="1:13" x14ac:dyDescent="0.3">
      <c r="A1590">
        <v>2588</v>
      </c>
      <c r="B1590" t="s">
        <v>1624</v>
      </c>
      <c r="C1590" t="s">
        <v>29</v>
      </c>
      <c r="D1590" t="s">
        <v>42</v>
      </c>
      <c r="E1590">
        <v>2</v>
      </c>
      <c r="F1590" s="3">
        <v>2559.6667307692314</v>
      </c>
      <c r="G1590" s="4">
        <v>1.07</v>
      </c>
      <c r="H1590" s="3">
        <v>5119.3334615384629</v>
      </c>
      <c r="I1590" s="1">
        <v>45650</v>
      </c>
      <c r="J1590" t="s">
        <v>56</v>
      </c>
      <c r="K1590" t="s">
        <v>23</v>
      </c>
      <c r="L1590" s="3">
        <v>-358.35334230769274</v>
      </c>
      <c r="M1590" t="s">
        <v>2518</v>
      </c>
    </row>
    <row r="1591" spans="1:13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 s="3">
        <v>3256.31</v>
      </c>
      <c r="G1591" s="4">
        <v>0.6</v>
      </c>
      <c r="H1591" s="3">
        <v>0</v>
      </c>
      <c r="I1591" s="1">
        <v>45695</v>
      </c>
      <c r="J1591" t="s">
        <v>15</v>
      </c>
      <c r="K1591" t="s">
        <v>23</v>
      </c>
      <c r="L1591" s="3">
        <v>0</v>
      </c>
      <c r="M1591" t="s">
        <v>2518</v>
      </c>
    </row>
    <row r="1592" spans="1:13" x14ac:dyDescent="0.3">
      <c r="A1592">
        <v>2590</v>
      </c>
      <c r="B1592" t="s">
        <v>1626</v>
      </c>
      <c r="C1592" t="s">
        <v>25</v>
      </c>
      <c r="D1592" t="s">
        <v>66</v>
      </c>
      <c r="E1592">
        <v>2</v>
      </c>
      <c r="F1592" s="3">
        <v>2572.7764000000006</v>
      </c>
      <c r="G1592" s="4">
        <v>0.54</v>
      </c>
      <c r="H1592" s="3">
        <v>5145.5528000000013</v>
      </c>
      <c r="I1592" s="1">
        <v>45542</v>
      </c>
      <c r="J1592" t="s">
        <v>15</v>
      </c>
      <c r="K1592" t="s">
        <v>23</v>
      </c>
      <c r="L1592" s="3">
        <v>2366.9542880000004</v>
      </c>
      <c r="M1592" t="s">
        <v>11</v>
      </c>
    </row>
    <row r="1593" spans="1:13" x14ac:dyDescent="0.3">
      <c r="A1593">
        <v>2591</v>
      </c>
      <c r="B1593" t="s">
        <v>1627</v>
      </c>
      <c r="C1593" t="s">
        <v>20</v>
      </c>
      <c r="D1593" t="s">
        <v>88</v>
      </c>
      <c r="E1593">
        <v>2</v>
      </c>
      <c r="F1593" s="3">
        <v>4784.03</v>
      </c>
      <c r="G1593" s="4">
        <v>0.6</v>
      </c>
      <c r="H1593" s="3">
        <v>9568.06</v>
      </c>
      <c r="I1593" s="1">
        <v>45624</v>
      </c>
      <c r="J1593" t="s">
        <v>56</v>
      </c>
      <c r="K1593" t="s">
        <v>16</v>
      </c>
      <c r="L1593" s="3">
        <v>3827.2240000000002</v>
      </c>
      <c r="M1593" t="s">
        <v>11</v>
      </c>
    </row>
    <row r="1594" spans="1:13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 s="3">
        <v>4965.93</v>
      </c>
      <c r="G1594" s="4">
        <v>0.6</v>
      </c>
      <c r="H1594" s="3">
        <v>9931.86</v>
      </c>
      <c r="I1594" s="1">
        <v>45782</v>
      </c>
      <c r="J1594" t="s">
        <v>46</v>
      </c>
      <c r="K1594" t="s">
        <v>16</v>
      </c>
      <c r="L1594" s="3">
        <v>3972.7440000000006</v>
      </c>
      <c r="M1594" t="s">
        <v>11</v>
      </c>
    </row>
    <row r="1595" spans="1:13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 s="3">
        <v>736.36</v>
      </c>
      <c r="G1595" s="4">
        <v>0.83</v>
      </c>
      <c r="H1595" s="3">
        <v>2945.44</v>
      </c>
      <c r="I1595" s="1">
        <v>45782</v>
      </c>
      <c r="J1595" t="s">
        <v>22</v>
      </c>
      <c r="K1595" t="s">
        <v>23</v>
      </c>
      <c r="L1595" s="3">
        <v>500.72480000000013</v>
      </c>
      <c r="M1595" t="s">
        <v>11</v>
      </c>
    </row>
    <row r="1596" spans="1:13" x14ac:dyDescent="0.3">
      <c r="A1596">
        <v>2594</v>
      </c>
      <c r="B1596" t="s">
        <v>1629</v>
      </c>
      <c r="C1596" t="s">
        <v>13</v>
      </c>
      <c r="D1596" t="s">
        <v>49</v>
      </c>
      <c r="E1596">
        <v>2</v>
      </c>
      <c r="F1596" s="3">
        <v>2785.0877966101693</v>
      </c>
      <c r="G1596" s="4">
        <v>0.37</v>
      </c>
      <c r="H1596" s="3">
        <v>5570.1755932203387</v>
      </c>
      <c r="I1596" s="1">
        <v>45782</v>
      </c>
      <c r="J1596" t="s">
        <v>46</v>
      </c>
      <c r="K1596" t="s">
        <v>16</v>
      </c>
      <c r="L1596" s="3">
        <v>3509.2106237288135</v>
      </c>
      <c r="M1596" t="s">
        <v>11</v>
      </c>
    </row>
    <row r="1597" spans="1:13" x14ac:dyDescent="0.3">
      <c r="A1597">
        <v>2595</v>
      </c>
      <c r="B1597" t="s">
        <v>1630</v>
      </c>
      <c r="C1597" t="s">
        <v>38</v>
      </c>
      <c r="D1597" t="s">
        <v>59</v>
      </c>
      <c r="E1597">
        <v>2</v>
      </c>
      <c r="F1597" s="3">
        <v>2469.67</v>
      </c>
      <c r="G1597" s="4">
        <v>1.07</v>
      </c>
      <c r="H1597" s="3">
        <v>4939.34</v>
      </c>
      <c r="I1597" s="1">
        <v>45535</v>
      </c>
      <c r="J1597" t="s">
        <v>22</v>
      </c>
      <c r="K1597" t="s">
        <v>23</v>
      </c>
      <c r="L1597" s="3">
        <v>-345.7538000000003</v>
      </c>
      <c r="M1597" t="s">
        <v>2518</v>
      </c>
    </row>
    <row r="1598" spans="1:13" x14ac:dyDescent="0.3">
      <c r="A1598">
        <v>2596</v>
      </c>
      <c r="B1598" t="s">
        <v>1631</v>
      </c>
      <c r="C1598" t="s">
        <v>13</v>
      </c>
      <c r="D1598" t="s">
        <v>14</v>
      </c>
      <c r="E1598">
        <v>2</v>
      </c>
      <c r="F1598" s="3">
        <v>2538.5700000000002</v>
      </c>
      <c r="G1598" s="4">
        <v>0.6</v>
      </c>
      <c r="H1598" s="3">
        <v>5077.1400000000003</v>
      </c>
      <c r="I1598" s="1">
        <v>45807</v>
      </c>
      <c r="J1598" t="s">
        <v>56</v>
      </c>
      <c r="K1598" t="s">
        <v>16</v>
      </c>
      <c r="L1598" s="3">
        <v>2030.8560000000002</v>
      </c>
      <c r="M1598" t="s">
        <v>11</v>
      </c>
    </row>
    <row r="1599" spans="1:13" x14ac:dyDescent="0.3">
      <c r="A1599">
        <v>2597</v>
      </c>
      <c r="B1599" t="s">
        <v>1632</v>
      </c>
      <c r="C1599" t="s">
        <v>20</v>
      </c>
      <c r="D1599" t="s">
        <v>21</v>
      </c>
      <c r="E1599">
        <v>2</v>
      </c>
      <c r="F1599" s="3">
        <v>2681.1743636363635</v>
      </c>
      <c r="G1599" s="4">
        <v>0.6</v>
      </c>
      <c r="H1599" s="3">
        <v>5362.348727272727</v>
      </c>
      <c r="I1599" s="1">
        <v>45782</v>
      </c>
      <c r="J1599" t="s">
        <v>40</v>
      </c>
      <c r="K1599" t="s">
        <v>23</v>
      </c>
      <c r="L1599" s="3">
        <v>2144.9394909090911</v>
      </c>
      <c r="M1599" t="s">
        <v>11</v>
      </c>
    </row>
    <row r="1600" spans="1:13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 s="3">
        <v>4412.21</v>
      </c>
      <c r="G1600" s="4">
        <v>0.6</v>
      </c>
      <c r="H1600" s="3">
        <v>-8824.42</v>
      </c>
      <c r="I1600" s="1">
        <v>45782</v>
      </c>
      <c r="J1600" t="s">
        <v>40</v>
      </c>
      <c r="K1600" t="s">
        <v>16</v>
      </c>
      <c r="L1600" s="3">
        <v>-3529.768</v>
      </c>
      <c r="M1600" t="s">
        <v>2518</v>
      </c>
    </row>
    <row r="1601" spans="1:13" x14ac:dyDescent="0.3">
      <c r="A1601">
        <v>2599</v>
      </c>
      <c r="B1601" t="s">
        <v>1634</v>
      </c>
      <c r="C1601" t="s">
        <v>25</v>
      </c>
      <c r="D1601" t="s">
        <v>54</v>
      </c>
      <c r="E1601">
        <v>2</v>
      </c>
      <c r="F1601" s="3">
        <v>2530.3836538461546</v>
      </c>
      <c r="G1601" s="4">
        <v>0.23</v>
      </c>
      <c r="H1601" s="3">
        <v>5060.7673076923093</v>
      </c>
      <c r="I1601" s="1">
        <v>45559</v>
      </c>
      <c r="J1601" t="s">
        <v>56</v>
      </c>
      <c r="K1601" t="s">
        <v>23</v>
      </c>
      <c r="L1601" s="3">
        <v>3896.7908269230784</v>
      </c>
      <c r="M1601" t="s">
        <v>11</v>
      </c>
    </row>
    <row r="1602" spans="1:13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 s="3">
        <v>4832.16</v>
      </c>
      <c r="G1602" s="4">
        <v>0.6</v>
      </c>
      <c r="H1602" s="3">
        <v>24160.799999999999</v>
      </c>
      <c r="I1602" s="1">
        <v>45555</v>
      </c>
      <c r="J1602" t="s">
        <v>46</v>
      </c>
      <c r="K1602" t="s">
        <v>23</v>
      </c>
      <c r="L1602" s="3">
        <v>9664.32</v>
      </c>
      <c r="M1602" t="s">
        <v>11</v>
      </c>
    </row>
    <row r="1603" spans="1:13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F1603" s="3">
        <v>2576.3056896551716</v>
      </c>
      <c r="G1603" s="4">
        <v>0.28000000000000003</v>
      </c>
      <c r="H1603" s="3">
        <v>2576.3056896551716</v>
      </c>
      <c r="I1603" s="1">
        <v>45508</v>
      </c>
      <c r="J1603" t="s">
        <v>40</v>
      </c>
      <c r="K1603" t="s">
        <v>23</v>
      </c>
      <c r="L1603" s="3">
        <v>1854.9400965517234</v>
      </c>
      <c r="M1603" t="s">
        <v>11</v>
      </c>
    </row>
    <row r="1604" spans="1:13" x14ac:dyDescent="0.3">
      <c r="A1604">
        <v>1002</v>
      </c>
      <c r="B1604" t="s">
        <v>1637</v>
      </c>
      <c r="C1604" t="s">
        <v>29</v>
      </c>
      <c r="D1604" t="s">
        <v>120</v>
      </c>
      <c r="E1604">
        <v>2</v>
      </c>
      <c r="F1604" s="3">
        <v>2830.1325714285731</v>
      </c>
      <c r="G1604" s="4">
        <v>0.6</v>
      </c>
      <c r="H1604" s="3">
        <v>5660.2651428571462</v>
      </c>
      <c r="I1604" s="1">
        <v>45729</v>
      </c>
      <c r="J1604" t="s">
        <v>18</v>
      </c>
      <c r="K1604" t="s">
        <v>23</v>
      </c>
      <c r="L1604" s="3">
        <v>2264.1060571428584</v>
      </c>
      <c r="M1604" t="s">
        <v>11</v>
      </c>
    </row>
    <row r="1605" spans="1:13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 s="3">
        <v>4403.84</v>
      </c>
      <c r="G1605" s="4">
        <v>0.6</v>
      </c>
      <c r="H1605" s="3">
        <v>22019.200000000001</v>
      </c>
      <c r="I1605" s="1">
        <v>45782</v>
      </c>
      <c r="J1605" t="s">
        <v>22</v>
      </c>
      <c r="K1605" t="s">
        <v>16</v>
      </c>
      <c r="L1605" s="3">
        <v>8807.68</v>
      </c>
      <c r="M1605" t="s">
        <v>11</v>
      </c>
    </row>
    <row r="1606" spans="1:13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 s="3">
        <v>2171.2199999999998</v>
      </c>
      <c r="G1606" s="4">
        <v>0.6</v>
      </c>
      <c r="H1606" s="3">
        <v>-2171.2199999999998</v>
      </c>
      <c r="I1606" s="1">
        <v>45806</v>
      </c>
      <c r="J1606" t="s">
        <v>40</v>
      </c>
      <c r="K1606" t="s">
        <v>23</v>
      </c>
      <c r="L1606" s="3">
        <v>-868.48799999999994</v>
      </c>
      <c r="M1606" t="s">
        <v>2518</v>
      </c>
    </row>
    <row r="1607" spans="1:13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 s="3">
        <v>1636.26</v>
      </c>
      <c r="G1607" s="4">
        <v>0.94</v>
      </c>
      <c r="H1607" s="3">
        <v>1636.26</v>
      </c>
      <c r="I1607" s="1">
        <v>45667</v>
      </c>
      <c r="J1607" t="s">
        <v>56</v>
      </c>
      <c r="K1607" t="s">
        <v>23</v>
      </c>
      <c r="L1607" s="3">
        <v>98.175600000000088</v>
      </c>
      <c r="M1607" t="s">
        <v>2518</v>
      </c>
    </row>
    <row r="1608" spans="1:13" x14ac:dyDescent="0.3">
      <c r="A1608">
        <v>2606</v>
      </c>
      <c r="B1608" t="s">
        <v>1641</v>
      </c>
      <c r="C1608" t="s">
        <v>13</v>
      </c>
      <c r="D1608" t="s">
        <v>49</v>
      </c>
      <c r="E1608">
        <v>2</v>
      </c>
      <c r="F1608" s="3">
        <v>806.81</v>
      </c>
      <c r="G1608" s="4">
        <v>0.11</v>
      </c>
      <c r="H1608" s="3">
        <v>1613.62</v>
      </c>
      <c r="I1608" s="1">
        <v>45442</v>
      </c>
      <c r="J1608" t="s">
        <v>46</v>
      </c>
      <c r="K1608" t="s">
        <v>23</v>
      </c>
      <c r="L1608" s="3">
        <v>1436.1217999999999</v>
      </c>
      <c r="M1608" t="s">
        <v>11</v>
      </c>
    </row>
    <row r="1609" spans="1:13" x14ac:dyDescent="0.3">
      <c r="A1609">
        <v>2607</v>
      </c>
      <c r="B1609" t="s">
        <v>1642</v>
      </c>
      <c r="C1609" t="s">
        <v>20</v>
      </c>
      <c r="D1609" t="s">
        <v>21</v>
      </c>
      <c r="E1609">
        <v>2</v>
      </c>
      <c r="F1609" s="3">
        <v>2289.9299999999998</v>
      </c>
      <c r="G1609" s="4">
        <v>1.2</v>
      </c>
      <c r="H1609" s="3">
        <v>4579.8599999999997</v>
      </c>
      <c r="I1609" s="1">
        <v>45593</v>
      </c>
      <c r="J1609" t="s">
        <v>40</v>
      </c>
      <c r="K1609" t="s">
        <v>23</v>
      </c>
      <c r="L1609" s="3">
        <v>-915.97199999999975</v>
      </c>
      <c r="M1609" t="s">
        <v>2518</v>
      </c>
    </row>
    <row r="1610" spans="1:13" x14ac:dyDescent="0.3">
      <c r="A1610">
        <v>2608</v>
      </c>
      <c r="B1610" t="s">
        <v>1643</v>
      </c>
      <c r="C1610" t="s">
        <v>20</v>
      </c>
      <c r="D1610" t="s">
        <v>21</v>
      </c>
      <c r="E1610">
        <v>2</v>
      </c>
      <c r="F1610" s="3">
        <v>3352.88</v>
      </c>
      <c r="G1610" s="4">
        <v>0.6</v>
      </c>
      <c r="H1610" s="3">
        <v>6705.76</v>
      </c>
      <c r="I1610" s="1">
        <v>45464</v>
      </c>
      <c r="J1610" t="s">
        <v>22</v>
      </c>
      <c r="K1610" t="s">
        <v>23</v>
      </c>
      <c r="L1610" s="3">
        <v>2682.3040000000001</v>
      </c>
      <c r="M1610" t="s">
        <v>11</v>
      </c>
    </row>
    <row r="1611" spans="1:13" x14ac:dyDescent="0.3">
      <c r="A1611">
        <v>2609</v>
      </c>
      <c r="B1611" t="s">
        <v>1644</v>
      </c>
      <c r="C1611" t="s">
        <v>20</v>
      </c>
      <c r="D1611" t="s">
        <v>21</v>
      </c>
      <c r="E1611">
        <v>2</v>
      </c>
      <c r="F1611" s="3">
        <v>2681.1743636363635</v>
      </c>
      <c r="G1611" s="4">
        <v>0.6</v>
      </c>
      <c r="H1611" s="3">
        <v>5362.348727272727</v>
      </c>
      <c r="I1611" s="1">
        <v>45782</v>
      </c>
      <c r="J1611" t="s">
        <v>15</v>
      </c>
      <c r="K1611" t="s">
        <v>16</v>
      </c>
      <c r="L1611" s="3">
        <v>2144.9394909090911</v>
      </c>
      <c r="M1611" t="s">
        <v>11</v>
      </c>
    </row>
    <row r="1612" spans="1:13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 s="3">
        <v>1606.99</v>
      </c>
      <c r="G1612" s="4">
        <v>0.6</v>
      </c>
      <c r="H1612" s="3">
        <v>8034.95</v>
      </c>
      <c r="I1612" s="1">
        <v>45283</v>
      </c>
      <c r="J1612" t="s">
        <v>18</v>
      </c>
      <c r="K1612" t="s">
        <v>16</v>
      </c>
      <c r="L1612" s="3">
        <v>3213.98</v>
      </c>
      <c r="M1612" t="s">
        <v>11</v>
      </c>
    </row>
    <row r="1613" spans="1:13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F1613" s="3">
        <v>2845.2419672131159</v>
      </c>
      <c r="G1613" s="4">
        <v>1.05</v>
      </c>
      <c r="H1613" s="3">
        <v>-5690.4839344262318</v>
      </c>
      <c r="I1613" s="1">
        <v>45665</v>
      </c>
      <c r="J1613" t="s">
        <v>46</v>
      </c>
      <c r="K1613" t="s">
        <v>23</v>
      </c>
      <c r="L1613" s="3">
        <v>284.52419672131185</v>
      </c>
      <c r="M1613" t="s">
        <v>2518</v>
      </c>
    </row>
    <row r="1614" spans="1:13" x14ac:dyDescent="0.3">
      <c r="A1614">
        <v>2612</v>
      </c>
      <c r="B1614" t="s">
        <v>1647</v>
      </c>
      <c r="C1614" t="s">
        <v>29</v>
      </c>
      <c r="D1614" t="s">
        <v>120</v>
      </c>
      <c r="E1614">
        <v>2</v>
      </c>
      <c r="F1614" s="3">
        <v>2672.64</v>
      </c>
      <c r="G1614" s="4">
        <v>0.6</v>
      </c>
      <c r="H1614" s="3">
        <v>5345.28</v>
      </c>
      <c r="I1614" s="1">
        <v>45402</v>
      </c>
      <c r="J1614" t="s">
        <v>40</v>
      </c>
      <c r="K1614" t="s">
        <v>23</v>
      </c>
      <c r="L1614" s="3">
        <v>2138.1120000000001</v>
      </c>
      <c r="M1614" t="s">
        <v>11</v>
      </c>
    </row>
    <row r="1615" spans="1:13" x14ac:dyDescent="0.3">
      <c r="A1615">
        <v>2613</v>
      </c>
      <c r="B1615" t="s">
        <v>1648</v>
      </c>
      <c r="C1615" t="s">
        <v>33</v>
      </c>
      <c r="D1615" t="s">
        <v>82</v>
      </c>
      <c r="E1615">
        <v>2</v>
      </c>
      <c r="F1615" s="3">
        <v>2438.16</v>
      </c>
      <c r="G1615" s="4">
        <v>0.6</v>
      </c>
      <c r="H1615" s="3">
        <v>4876.32</v>
      </c>
      <c r="I1615" s="1">
        <v>45352</v>
      </c>
      <c r="J1615" t="s">
        <v>46</v>
      </c>
      <c r="K1615" t="s">
        <v>23</v>
      </c>
      <c r="L1615" s="3">
        <v>1950.528</v>
      </c>
      <c r="M1615" t="s">
        <v>11</v>
      </c>
    </row>
    <row r="1616" spans="1:13" x14ac:dyDescent="0.3">
      <c r="A1616">
        <v>2614</v>
      </c>
      <c r="B1616" t="s">
        <v>1649</v>
      </c>
      <c r="C1616" t="s">
        <v>25</v>
      </c>
      <c r="D1616" t="s">
        <v>54</v>
      </c>
      <c r="E1616">
        <v>2</v>
      </c>
      <c r="F1616" s="3">
        <v>4530.28</v>
      </c>
      <c r="G1616" s="4">
        <v>0.67</v>
      </c>
      <c r="H1616" s="3">
        <v>9060.56</v>
      </c>
      <c r="I1616" s="1">
        <v>45648</v>
      </c>
      <c r="J1616" t="s">
        <v>18</v>
      </c>
      <c r="K1616" t="s">
        <v>23</v>
      </c>
      <c r="L1616" s="3">
        <v>2989.9847999999993</v>
      </c>
      <c r="M1616" t="s">
        <v>11</v>
      </c>
    </row>
    <row r="1617" spans="1:13" x14ac:dyDescent="0.3">
      <c r="A1617">
        <v>2615</v>
      </c>
      <c r="B1617" t="s">
        <v>1650</v>
      </c>
      <c r="C1617" t="s">
        <v>33</v>
      </c>
      <c r="D1617" t="s">
        <v>72</v>
      </c>
      <c r="E1617">
        <v>2</v>
      </c>
      <c r="F1617" s="3">
        <v>2715.5458490566025</v>
      </c>
      <c r="G1617" s="4">
        <v>0.6</v>
      </c>
      <c r="H1617" s="3">
        <v>5431.091698113205</v>
      </c>
      <c r="I1617" s="1">
        <v>45267</v>
      </c>
      <c r="J1617" t="s">
        <v>22</v>
      </c>
      <c r="K1617" t="s">
        <v>23</v>
      </c>
      <c r="L1617" s="3">
        <v>2172.436679245282</v>
      </c>
      <c r="M1617" t="s">
        <v>11</v>
      </c>
    </row>
    <row r="1618" spans="1:13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F1618" s="3">
        <v>2776.2202000000002</v>
      </c>
      <c r="G1618" s="4">
        <v>0.24</v>
      </c>
      <c r="H1618" s="3">
        <v>13881.101000000001</v>
      </c>
      <c r="I1618" s="1">
        <v>45795</v>
      </c>
      <c r="J1618" t="s">
        <v>46</v>
      </c>
      <c r="K1618" t="s">
        <v>23</v>
      </c>
      <c r="L1618" s="3">
        <v>10549.636760000001</v>
      </c>
      <c r="M1618" t="s">
        <v>11</v>
      </c>
    </row>
    <row r="1619" spans="1:13" x14ac:dyDescent="0.3">
      <c r="A1619">
        <v>2617</v>
      </c>
      <c r="B1619" t="s">
        <v>1652</v>
      </c>
      <c r="C1619" t="s">
        <v>38</v>
      </c>
      <c r="D1619" t="s">
        <v>59</v>
      </c>
      <c r="E1619">
        <v>2</v>
      </c>
      <c r="F1619" s="3">
        <v>2804.2651923076919</v>
      </c>
      <c r="G1619" s="4">
        <v>0.6</v>
      </c>
      <c r="H1619" s="3">
        <v>5608.5303846153838</v>
      </c>
      <c r="I1619" s="1">
        <v>45746</v>
      </c>
      <c r="J1619" t="s">
        <v>22</v>
      </c>
      <c r="K1619" t="s">
        <v>23</v>
      </c>
      <c r="L1619" s="3">
        <v>2243.4121538461536</v>
      </c>
      <c r="M1619" t="s">
        <v>11</v>
      </c>
    </row>
    <row r="1620" spans="1:13" x14ac:dyDescent="0.3">
      <c r="A1620">
        <v>2618</v>
      </c>
      <c r="B1620" t="s">
        <v>1653</v>
      </c>
      <c r="C1620" t="s">
        <v>25</v>
      </c>
      <c r="D1620" t="s">
        <v>86</v>
      </c>
      <c r="E1620">
        <v>2</v>
      </c>
      <c r="F1620" s="3">
        <v>2501.5309999999999</v>
      </c>
      <c r="G1620" s="4">
        <v>0.95</v>
      </c>
      <c r="H1620" s="3">
        <v>5003.0619999999999</v>
      </c>
      <c r="I1620" s="1">
        <v>45541</v>
      </c>
      <c r="J1620" t="s">
        <v>18</v>
      </c>
      <c r="K1620" t="s">
        <v>23</v>
      </c>
      <c r="L1620" s="3">
        <v>250.15310000000022</v>
      </c>
      <c r="M1620" t="s">
        <v>2518</v>
      </c>
    </row>
    <row r="1621" spans="1:13" x14ac:dyDescent="0.3">
      <c r="A1621">
        <v>2619</v>
      </c>
      <c r="B1621" t="s">
        <v>1654</v>
      </c>
      <c r="C1621" t="s">
        <v>13</v>
      </c>
      <c r="D1621" t="s">
        <v>49</v>
      </c>
      <c r="E1621">
        <v>2</v>
      </c>
      <c r="F1621" s="3">
        <v>2785.0877966101693</v>
      </c>
      <c r="G1621" s="4">
        <v>0.6</v>
      </c>
      <c r="H1621" s="3">
        <v>5570.1755932203387</v>
      </c>
      <c r="I1621" s="1">
        <v>45782</v>
      </c>
      <c r="J1621" t="s">
        <v>18</v>
      </c>
      <c r="K1621" t="s">
        <v>16</v>
      </c>
      <c r="L1621" s="3">
        <v>2228.0702372881356</v>
      </c>
      <c r="M1621" t="s">
        <v>11</v>
      </c>
    </row>
    <row r="1622" spans="1:13" x14ac:dyDescent="0.3">
      <c r="A1622">
        <v>2620</v>
      </c>
      <c r="B1622" t="s">
        <v>1655</v>
      </c>
      <c r="C1622" t="s">
        <v>25</v>
      </c>
      <c r="D1622" t="s">
        <v>26</v>
      </c>
      <c r="E1622">
        <v>2</v>
      </c>
      <c r="F1622" s="3">
        <v>3415.9</v>
      </c>
      <c r="G1622" s="4">
        <v>0.6</v>
      </c>
      <c r="H1622" s="3">
        <v>6831.8</v>
      </c>
      <c r="I1622" s="1">
        <v>45526</v>
      </c>
      <c r="J1622" t="s">
        <v>22</v>
      </c>
      <c r="K1622" t="s">
        <v>16</v>
      </c>
      <c r="L1622" s="3">
        <v>2732.7200000000003</v>
      </c>
      <c r="M1622" t="s">
        <v>11</v>
      </c>
    </row>
    <row r="1623" spans="1:13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F1623" s="3">
        <v>2888.8714285714286</v>
      </c>
      <c r="G1623" s="4">
        <v>1.1399999999999999</v>
      </c>
      <c r="H1623" s="3">
        <v>11555.485714285714</v>
      </c>
      <c r="I1623" s="1">
        <v>45283</v>
      </c>
      <c r="J1623" t="s">
        <v>15</v>
      </c>
      <c r="K1623" t="s">
        <v>23</v>
      </c>
      <c r="L1623" s="3">
        <v>-1617.7679999999989</v>
      </c>
      <c r="M1623" t="s">
        <v>2518</v>
      </c>
    </row>
    <row r="1624" spans="1:13" x14ac:dyDescent="0.3">
      <c r="A1624">
        <v>2622</v>
      </c>
      <c r="B1624" t="s">
        <v>1295</v>
      </c>
      <c r="C1624" t="s">
        <v>33</v>
      </c>
      <c r="D1624" t="s">
        <v>44</v>
      </c>
      <c r="E1624">
        <v>2</v>
      </c>
      <c r="F1624" s="3">
        <v>2705.13</v>
      </c>
      <c r="G1624" s="4">
        <v>0.6</v>
      </c>
      <c r="H1624" s="3">
        <v>5410.26</v>
      </c>
      <c r="I1624" s="1">
        <v>45537</v>
      </c>
      <c r="J1624" t="s">
        <v>15</v>
      </c>
      <c r="K1624" t="s">
        <v>23</v>
      </c>
      <c r="L1624" s="3">
        <v>2164.1040000000003</v>
      </c>
      <c r="M1624" t="s">
        <v>11</v>
      </c>
    </row>
    <row r="1625" spans="1:13" x14ac:dyDescent="0.3">
      <c r="A1625">
        <v>1020</v>
      </c>
      <c r="B1625" t="s">
        <v>1657</v>
      </c>
      <c r="C1625" t="s">
        <v>38</v>
      </c>
      <c r="D1625" t="s">
        <v>91</v>
      </c>
      <c r="E1625">
        <v>2</v>
      </c>
      <c r="F1625" s="3">
        <v>2868.7768181818178</v>
      </c>
      <c r="G1625" s="4">
        <v>0.6</v>
      </c>
      <c r="H1625" s="3">
        <v>5737.5536363636356</v>
      </c>
      <c r="I1625" s="1">
        <v>45148</v>
      </c>
      <c r="J1625" t="s">
        <v>46</v>
      </c>
      <c r="K1625" t="s">
        <v>23</v>
      </c>
      <c r="L1625" s="3">
        <v>2295.0214545454542</v>
      </c>
      <c r="M1625" t="s">
        <v>11</v>
      </c>
    </row>
    <row r="1626" spans="1:13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F1626" s="3">
        <v>2462.79</v>
      </c>
      <c r="G1626" s="4">
        <v>0.99</v>
      </c>
      <c r="H1626" s="3">
        <v>-2462.79</v>
      </c>
      <c r="I1626" s="1">
        <v>45632</v>
      </c>
      <c r="J1626" t="s">
        <v>18</v>
      </c>
      <c r="K1626" t="s">
        <v>23</v>
      </c>
      <c r="L1626" s="3">
        <v>-24.627900000000022</v>
      </c>
      <c r="M1626" t="s">
        <v>2518</v>
      </c>
    </row>
    <row r="1627" spans="1:13" x14ac:dyDescent="0.3">
      <c r="A1627">
        <v>2625</v>
      </c>
      <c r="B1627" t="s">
        <v>1659</v>
      </c>
      <c r="C1627" t="s">
        <v>38</v>
      </c>
      <c r="D1627" t="s">
        <v>59</v>
      </c>
      <c r="E1627">
        <v>2</v>
      </c>
      <c r="F1627" s="3">
        <v>2804.2651923076919</v>
      </c>
      <c r="G1627" s="4">
        <v>0.6</v>
      </c>
      <c r="H1627" s="3">
        <v>5608.5303846153838</v>
      </c>
      <c r="I1627" s="1">
        <v>45210</v>
      </c>
      <c r="J1627" t="s">
        <v>22</v>
      </c>
      <c r="K1627" t="s">
        <v>23</v>
      </c>
      <c r="L1627" s="3">
        <v>2243.4121538461536</v>
      </c>
      <c r="M1627" t="s">
        <v>11</v>
      </c>
    </row>
    <row r="1628" spans="1:13" x14ac:dyDescent="0.3">
      <c r="A1628">
        <v>2626</v>
      </c>
      <c r="B1628" t="s">
        <v>1660</v>
      </c>
      <c r="C1628" t="s">
        <v>33</v>
      </c>
      <c r="D1628" t="s">
        <v>34</v>
      </c>
      <c r="E1628">
        <v>2</v>
      </c>
      <c r="F1628" s="3">
        <v>4932.25</v>
      </c>
      <c r="G1628" s="4">
        <v>0.6</v>
      </c>
      <c r="H1628" s="3">
        <v>9864.5</v>
      </c>
      <c r="I1628" s="1">
        <v>45793</v>
      </c>
      <c r="J1628" t="s">
        <v>40</v>
      </c>
      <c r="K1628" t="s">
        <v>23</v>
      </c>
      <c r="L1628" s="3">
        <v>3945.8</v>
      </c>
      <c r="M1628" t="s">
        <v>11</v>
      </c>
    </row>
    <row r="1629" spans="1:13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F1629" s="3">
        <v>2845.2419672131159</v>
      </c>
      <c r="G1629" s="4">
        <v>0.6</v>
      </c>
      <c r="H1629" s="3">
        <v>-5690.4839344262318</v>
      </c>
      <c r="I1629" s="1">
        <v>45604</v>
      </c>
      <c r="J1629" t="s">
        <v>22</v>
      </c>
      <c r="K1629" t="s">
        <v>23</v>
      </c>
      <c r="L1629" s="3">
        <v>-2276.193573770493</v>
      </c>
      <c r="M1629" t="s">
        <v>2518</v>
      </c>
    </row>
    <row r="1630" spans="1:13" x14ac:dyDescent="0.3">
      <c r="A1630">
        <v>2628</v>
      </c>
      <c r="B1630" t="s">
        <v>1662</v>
      </c>
      <c r="C1630" t="s">
        <v>13</v>
      </c>
      <c r="D1630" t="s">
        <v>49</v>
      </c>
      <c r="E1630">
        <v>2</v>
      </c>
      <c r="F1630" s="3">
        <v>2785.0877966101693</v>
      </c>
      <c r="G1630" s="4">
        <v>0.6</v>
      </c>
      <c r="H1630" s="3">
        <v>5570.1755932203387</v>
      </c>
      <c r="I1630" s="1">
        <v>45302</v>
      </c>
      <c r="J1630" t="s">
        <v>15</v>
      </c>
      <c r="K1630" t="s">
        <v>23</v>
      </c>
      <c r="L1630" s="3">
        <v>2228.0702372881356</v>
      </c>
      <c r="M1630" t="s">
        <v>11</v>
      </c>
    </row>
    <row r="1631" spans="1:13" x14ac:dyDescent="0.3">
      <c r="A1631">
        <v>2629</v>
      </c>
      <c r="B1631" t="s">
        <v>1663</v>
      </c>
      <c r="C1631" t="s">
        <v>38</v>
      </c>
      <c r="D1631" t="s">
        <v>91</v>
      </c>
      <c r="E1631">
        <v>2</v>
      </c>
      <c r="F1631" s="3">
        <v>2868.7768181818178</v>
      </c>
      <c r="G1631" s="4">
        <v>0.6</v>
      </c>
      <c r="H1631" s="3">
        <v>5737.5536363636356</v>
      </c>
      <c r="I1631" s="1">
        <v>45721</v>
      </c>
      <c r="J1631" t="s">
        <v>56</v>
      </c>
      <c r="K1631" t="s">
        <v>23</v>
      </c>
      <c r="L1631" s="3">
        <v>2295.0214545454542</v>
      </c>
      <c r="M1631" t="s">
        <v>11</v>
      </c>
    </row>
    <row r="1632" spans="1:13" x14ac:dyDescent="0.3">
      <c r="A1632">
        <v>2630</v>
      </c>
      <c r="B1632" t="s">
        <v>1664</v>
      </c>
      <c r="C1632" t="s">
        <v>25</v>
      </c>
      <c r="D1632" t="s">
        <v>26</v>
      </c>
      <c r="E1632">
        <v>2</v>
      </c>
      <c r="F1632" s="3">
        <v>856.83</v>
      </c>
      <c r="G1632" s="4">
        <v>0.6</v>
      </c>
      <c r="H1632" s="3">
        <v>1713.66</v>
      </c>
      <c r="I1632" s="1">
        <v>45777</v>
      </c>
      <c r="J1632" t="s">
        <v>18</v>
      </c>
      <c r="K1632" t="s">
        <v>16</v>
      </c>
      <c r="L1632" s="3">
        <v>685.46400000000006</v>
      </c>
      <c r="M1632" t="s">
        <v>11</v>
      </c>
    </row>
    <row r="1633" spans="1:13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 s="3">
        <v>1753.02</v>
      </c>
      <c r="G1633" s="4">
        <v>0.23</v>
      </c>
      <c r="H1633" s="3">
        <v>3506.04</v>
      </c>
      <c r="I1633" s="1">
        <v>45677</v>
      </c>
      <c r="J1633" t="s">
        <v>46</v>
      </c>
      <c r="K1633" t="s">
        <v>23</v>
      </c>
      <c r="L1633" s="3">
        <v>2699.6507999999999</v>
      </c>
      <c r="M1633" t="s">
        <v>11</v>
      </c>
    </row>
    <row r="1634" spans="1:13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 s="3">
        <v>4127.32</v>
      </c>
      <c r="G1634" s="4">
        <v>0.6</v>
      </c>
      <c r="H1634" s="3">
        <v>12381.96</v>
      </c>
      <c r="I1634" s="1">
        <v>45782</v>
      </c>
      <c r="J1634" t="s">
        <v>46</v>
      </c>
      <c r="K1634" t="s">
        <v>23</v>
      </c>
      <c r="L1634" s="3">
        <v>4952.7839999999997</v>
      </c>
      <c r="M1634" t="s">
        <v>11</v>
      </c>
    </row>
    <row r="1635" spans="1:13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F1635" s="3">
        <v>2462.79</v>
      </c>
      <c r="G1635" s="4">
        <v>0.87</v>
      </c>
      <c r="H1635" s="3">
        <v>-2462.79</v>
      </c>
      <c r="I1635" s="1">
        <v>45221</v>
      </c>
      <c r="J1635" t="s">
        <v>46</v>
      </c>
      <c r="K1635" t="s">
        <v>23</v>
      </c>
      <c r="L1635" s="3">
        <v>-320.16270000000003</v>
      </c>
      <c r="M1635" t="s">
        <v>2518</v>
      </c>
    </row>
    <row r="1636" spans="1:13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F1636" s="3">
        <v>2830.1325714285731</v>
      </c>
      <c r="G1636" s="4">
        <v>0.96</v>
      </c>
      <c r="H1636" s="3">
        <v>-5660.2651428571462</v>
      </c>
      <c r="I1636" s="1">
        <v>45782</v>
      </c>
      <c r="J1636" t="s">
        <v>56</v>
      </c>
      <c r="K1636" t="s">
        <v>23</v>
      </c>
      <c r="L1636" s="3">
        <v>-226.41060571428605</v>
      </c>
      <c r="M1636" t="s">
        <v>2518</v>
      </c>
    </row>
    <row r="1637" spans="1:13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F1637" s="3">
        <v>2501.5309999999999</v>
      </c>
      <c r="G1637" s="4">
        <v>0.6</v>
      </c>
      <c r="H1637" s="3">
        <v>5003.0619999999999</v>
      </c>
      <c r="I1637" s="1">
        <v>45691</v>
      </c>
      <c r="J1637" t="s">
        <v>46</v>
      </c>
      <c r="K1637" t="s">
        <v>16</v>
      </c>
      <c r="L1637" s="3">
        <v>2001.2248</v>
      </c>
      <c r="M1637" t="s">
        <v>11</v>
      </c>
    </row>
    <row r="1638" spans="1:13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 s="3">
        <v>1006.98</v>
      </c>
      <c r="G1638" s="4">
        <v>0.6</v>
      </c>
      <c r="H1638" s="3">
        <v>3020.94</v>
      </c>
      <c r="I1638" s="1">
        <v>45151</v>
      </c>
      <c r="J1638" t="s">
        <v>22</v>
      </c>
      <c r="K1638" t="s">
        <v>23</v>
      </c>
      <c r="L1638" s="3">
        <v>1208.376</v>
      </c>
      <c r="M1638" t="s">
        <v>11</v>
      </c>
    </row>
    <row r="1639" spans="1:13" x14ac:dyDescent="0.3">
      <c r="A1639">
        <v>2637</v>
      </c>
      <c r="B1639" t="s">
        <v>1671</v>
      </c>
      <c r="C1639" t="s">
        <v>20</v>
      </c>
      <c r="D1639" t="s">
        <v>122</v>
      </c>
      <c r="E1639">
        <v>2</v>
      </c>
      <c r="F1639" s="3">
        <v>2700.1263043478252</v>
      </c>
      <c r="G1639" s="4">
        <v>0.72</v>
      </c>
      <c r="H1639" s="3">
        <v>5400.2526086956505</v>
      </c>
      <c r="I1639" s="1">
        <v>45782</v>
      </c>
      <c r="J1639" t="s">
        <v>15</v>
      </c>
      <c r="K1639" t="s">
        <v>23</v>
      </c>
      <c r="L1639" s="3">
        <v>1512.0707304347823</v>
      </c>
      <c r="M1639" t="s">
        <v>11</v>
      </c>
    </row>
    <row r="1640" spans="1:13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 s="3">
        <v>2012.14</v>
      </c>
      <c r="G1640" s="4">
        <v>0.6</v>
      </c>
      <c r="H1640" s="3">
        <v>12072.84</v>
      </c>
      <c r="I1640" s="1">
        <v>45643</v>
      </c>
      <c r="J1640" t="s">
        <v>15</v>
      </c>
      <c r="K1640" t="s">
        <v>23</v>
      </c>
      <c r="L1640" s="3">
        <v>4829.1360000000004</v>
      </c>
      <c r="M1640" t="s">
        <v>11</v>
      </c>
    </row>
    <row r="1641" spans="1:13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 s="3">
        <v>4947.96</v>
      </c>
      <c r="G1641" s="4">
        <v>0.6</v>
      </c>
      <c r="H1641" s="3">
        <v>-4947.96</v>
      </c>
      <c r="I1641" s="1">
        <v>45782</v>
      </c>
      <c r="J1641" t="s">
        <v>46</v>
      </c>
      <c r="K1641" t="s">
        <v>16</v>
      </c>
      <c r="L1641" s="3">
        <v>-1979.1840000000002</v>
      </c>
      <c r="M1641" t="s">
        <v>2518</v>
      </c>
    </row>
    <row r="1642" spans="1:13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 s="3">
        <v>4720.2299999999996</v>
      </c>
      <c r="G1642" s="4">
        <v>0.69</v>
      </c>
      <c r="H1642" s="3">
        <v>28321.379999999997</v>
      </c>
      <c r="I1642" s="1">
        <v>45289</v>
      </c>
      <c r="J1642" t="s">
        <v>18</v>
      </c>
      <c r="K1642" t="s">
        <v>23</v>
      </c>
      <c r="L1642" s="3">
        <v>8779.6278000000002</v>
      </c>
      <c r="M1642" t="s">
        <v>11</v>
      </c>
    </row>
    <row r="1643" spans="1:13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F1643" s="3">
        <v>2868.7768181818178</v>
      </c>
      <c r="G1643" s="4">
        <v>0.6</v>
      </c>
      <c r="H1643" s="3">
        <v>17212.660909090908</v>
      </c>
      <c r="I1643" s="1">
        <v>45824</v>
      </c>
      <c r="J1643" t="s">
        <v>15</v>
      </c>
      <c r="K1643" t="s">
        <v>23</v>
      </c>
      <c r="L1643" s="3">
        <v>6885.0643636363639</v>
      </c>
      <c r="M1643" t="s">
        <v>11</v>
      </c>
    </row>
    <row r="1644" spans="1:13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 s="3">
        <v>1043.58</v>
      </c>
      <c r="G1644" s="4">
        <v>0.6</v>
      </c>
      <c r="H1644" s="3">
        <v>-1043.58</v>
      </c>
      <c r="I1644" s="1">
        <v>45846</v>
      </c>
      <c r="J1644" t="s">
        <v>56</v>
      </c>
      <c r="K1644" t="s">
        <v>23</v>
      </c>
      <c r="L1644" s="3">
        <v>-417.43200000000002</v>
      </c>
      <c r="M1644" t="s">
        <v>2518</v>
      </c>
    </row>
    <row r="1645" spans="1:13" x14ac:dyDescent="0.3">
      <c r="A1645">
        <v>2643</v>
      </c>
      <c r="B1645" t="s">
        <v>1677</v>
      </c>
      <c r="C1645" t="s">
        <v>20</v>
      </c>
      <c r="D1645" t="s">
        <v>80</v>
      </c>
      <c r="E1645">
        <v>2</v>
      </c>
      <c r="F1645" s="3">
        <v>2483.5844000000002</v>
      </c>
      <c r="G1645" s="4">
        <v>0.53</v>
      </c>
      <c r="H1645" s="3">
        <v>4967.1688000000004</v>
      </c>
      <c r="I1645" s="1">
        <v>45517</v>
      </c>
      <c r="J1645" t="s">
        <v>40</v>
      </c>
      <c r="K1645" t="s">
        <v>23</v>
      </c>
      <c r="L1645" s="3">
        <v>2334.569336</v>
      </c>
      <c r="M1645" t="s">
        <v>11</v>
      </c>
    </row>
    <row r="1646" spans="1:13" x14ac:dyDescent="0.3">
      <c r="A1646">
        <v>2644</v>
      </c>
      <c r="B1646" t="s">
        <v>1678</v>
      </c>
      <c r="C1646" t="s">
        <v>13</v>
      </c>
      <c r="D1646" t="s">
        <v>14</v>
      </c>
      <c r="E1646">
        <v>2</v>
      </c>
      <c r="F1646" s="3">
        <v>2381.2677586206896</v>
      </c>
      <c r="G1646" s="4">
        <v>0.6</v>
      </c>
      <c r="H1646" s="3">
        <v>4762.5355172413792</v>
      </c>
      <c r="I1646" s="1">
        <v>45325</v>
      </c>
      <c r="J1646" t="s">
        <v>22</v>
      </c>
      <c r="K1646" t="s">
        <v>23</v>
      </c>
      <c r="L1646" s="3">
        <v>1905.0142068965517</v>
      </c>
      <c r="M1646" t="s">
        <v>11</v>
      </c>
    </row>
    <row r="1647" spans="1:13" x14ac:dyDescent="0.3">
      <c r="A1647">
        <v>2645</v>
      </c>
      <c r="B1647" t="s">
        <v>1679</v>
      </c>
      <c r="C1647" t="s">
        <v>29</v>
      </c>
      <c r="D1647" t="s">
        <v>42</v>
      </c>
      <c r="E1647">
        <v>2</v>
      </c>
      <c r="F1647" s="3">
        <v>2559.6667307692314</v>
      </c>
      <c r="G1647" s="4">
        <v>0.98</v>
      </c>
      <c r="H1647" s="3">
        <v>5119.3334615384629</v>
      </c>
      <c r="I1647" s="1">
        <v>45761</v>
      </c>
      <c r="J1647" t="s">
        <v>18</v>
      </c>
      <c r="K1647" t="s">
        <v>23</v>
      </c>
      <c r="L1647" s="3">
        <v>102.38666923076934</v>
      </c>
      <c r="M1647" t="s">
        <v>2518</v>
      </c>
    </row>
    <row r="1648" spans="1:13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F1648" s="3">
        <v>2882.5046551724135</v>
      </c>
      <c r="G1648" s="4">
        <v>0.6</v>
      </c>
      <c r="H1648" s="3">
        <v>17295.027931034481</v>
      </c>
      <c r="I1648" s="1">
        <v>45661</v>
      </c>
      <c r="J1648" t="s">
        <v>15</v>
      </c>
      <c r="K1648" t="s">
        <v>23</v>
      </c>
      <c r="L1648" s="3">
        <v>6918.0111724137932</v>
      </c>
      <c r="M1648" t="s">
        <v>11</v>
      </c>
    </row>
    <row r="1649" spans="1:13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F1649" s="3">
        <v>2617.6390384615388</v>
      </c>
      <c r="G1649" s="4">
        <v>0.6</v>
      </c>
      <c r="H1649" s="3">
        <v>13088.195192307694</v>
      </c>
      <c r="I1649" s="1">
        <v>45497</v>
      </c>
      <c r="J1649" t="s">
        <v>56</v>
      </c>
      <c r="K1649" t="s">
        <v>23</v>
      </c>
      <c r="L1649" s="3">
        <v>5235.2780769230776</v>
      </c>
      <c r="M1649" t="s">
        <v>11</v>
      </c>
    </row>
    <row r="1650" spans="1:13" x14ac:dyDescent="0.3">
      <c r="A1650">
        <v>2648</v>
      </c>
      <c r="B1650" t="s">
        <v>1682</v>
      </c>
      <c r="C1650" t="s">
        <v>13</v>
      </c>
      <c r="D1650" t="s">
        <v>49</v>
      </c>
      <c r="E1650">
        <v>2</v>
      </c>
      <c r="F1650" s="3">
        <v>4899.84</v>
      </c>
      <c r="G1650" s="4">
        <v>0.6</v>
      </c>
      <c r="H1650" s="3">
        <v>9799.68</v>
      </c>
      <c r="I1650" s="1">
        <v>45671</v>
      </c>
      <c r="J1650" t="s">
        <v>18</v>
      </c>
      <c r="K1650" t="s">
        <v>16</v>
      </c>
      <c r="L1650" s="3">
        <v>3919.8720000000003</v>
      </c>
      <c r="M1650" t="s">
        <v>11</v>
      </c>
    </row>
    <row r="1651" spans="1:13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 s="3">
        <v>3838.55</v>
      </c>
      <c r="G1651" s="4">
        <v>0.91</v>
      </c>
      <c r="H1651" s="3">
        <v>11515.650000000001</v>
      </c>
      <c r="I1651" s="1">
        <v>45504</v>
      </c>
      <c r="J1651" t="s">
        <v>46</v>
      </c>
      <c r="K1651" t="s">
        <v>16</v>
      </c>
      <c r="L1651" s="3">
        <v>1036.4084999999998</v>
      </c>
      <c r="M1651" t="s">
        <v>11</v>
      </c>
    </row>
    <row r="1652" spans="1:13" x14ac:dyDescent="0.3">
      <c r="A1652">
        <v>2650</v>
      </c>
      <c r="B1652" t="s">
        <v>1684</v>
      </c>
      <c r="C1652" t="s">
        <v>25</v>
      </c>
      <c r="D1652" t="s">
        <v>66</v>
      </c>
      <c r="E1652">
        <v>2</v>
      </c>
      <c r="F1652" s="3">
        <v>2572.7764000000006</v>
      </c>
      <c r="G1652" s="4">
        <v>0.6</v>
      </c>
      <c r="H1652" s="3">
        <v>5145.5528000000013</v>
      </c>
      <c r="I1652" s="1">
        <v>45700</v>
      </c>
      <c r="J1652" t="s">
        <v>40</v>
      </c>
      <c r="K1652" t="s">
        <v>16</v>
      </c>
      <c r="L1652" s="3">
        <v>2058.2211200000006</v>
      </c>
      <c r="M1652" t="s">
        <v>11</v>
      </c>
    </row>
    <row r="1653" spans="1:13" x14ac:dyDescent="0.3">
      <c r="A1653">
        <v>1040</v>
      </c>
      <c r="B1653" t="s">
        <v>1685</v>
      </c>
      <c r="C1653" t="s">
        <v>20</v>
      </c>
      <c r="D1653" t="s">
        <v>21</v>
      </c>
      <c r="E1653">
        <v>2</v>
      </c>
      <c r="F1653" s="3">
        <v>1640.04</v>
      </c>
      <c r="G1653" s="4">
        <v>0.6</v>
      </c>
      <c r="H1653" s="3">
        <v>3280.08</v>
      </c>
      <c r="I1653" s="1">
        <v>45747</v>
      </c>
      <c r="J1653" t="s">
        <v>40</v>
      </c>
      <c r="K1653" t="s">
        <v>16</v>
      </c>
      <c r="L1653" s="3">
        <v>1312.0320000000002</v>
      </c>
      <c r="M1653" t="s">
        <v>11</v>
      </c>
    </row>
    <row r="1654" spans="1:13" x14ac:dyDescent="0.3">
      <c r="A1654">
        <v>2652</v>
      </c>
      <c r="B1654" t="s">
        <v>1686</v>
      </c>
      <c r="C1654" t="s">
        <v>13</v>
      </c>
      <c r="D1654" t="s">
        <v>36</v>
      </c>
      <c r="E1654">
        <v>2</v>
      </c>
      <c r="F1654" s="3">
        <v>2882.5046551724135</v>
      </c>
      <c r="G1654" s="4">
        <v>0.6</v>
      </c>
      <c r="H1654" s="3">
        <v>5765.0093103448271</v>
      </c>
      <c r="I1654" s="1">
        <v>45782</v>
      </c>
      <c r="J1654" t="s">
        <v>18</v>
      </c>
      <c r="K1654" t="s">
        <v>16</v>
      </c>
      <c r="L1654" s="3">
        <v>2306.0037241379309</v>
      </c>
      <c r="M1654" t="s">
        <v>11</v>
      </c>
    </row>
    <row r="1655" spans="1:13" x14ac:dyDescent="0.3">
      <c r="A1655">
        <v>2653</v>
      </c>
      <c r="B1655" t="s">
        <v>1687</v>
      </c>
      <c r="C1655" t="s">
        <v>33</v>
      </c>
      <c r="D1655" t="s">
        <v>44</v>
      </c>
      <c r="E1655">
        <v>2</v>
      </c>
      <c r="F1655" s="3">
        <v>2841.7630612244907</v>
      </c>
      <c r="G1655" s="4">
        <v>0.03</v>
      </c>
      <c r="H1655" s="3">
        <v>5683.5261224489814</v>
      </c>
      <c r="I1655" s="1">
        <v>45529</v>
      </c>
      <c r="J1655" t="s">
        <v>46</v>
      </c>
      <c r="K1655" t="s">
        <v>23</v>
      </c>
      <c r="L1655" s="3">
        <v>5513.0203387755118</v>
      </c>
      <c r="M1655" t="s">
        <v>11</v>
      </c>
    </row>
    <row r="1656" spans="1:13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F1656" s="3">
        <v>2572.7764000000006</v>
      </c>
      <c r="G1656" s="4">
        <v>0.31</v>
      </c>
      <c r="H1656" s="3">
        <v>15436.658400000004</v>
      </c>
      <c r="I1656" s="1">
        <v>45692</v>
      </c>
      <c r="J1656" t="s">
        <v>56</v>
      </c>
      <c r="K1656" t="s">
        <v>23</v>
      </c>
      <c r="L1656" s="3">
        <v>10651.294296000002</v>
      </c>
      <c r="M1656" t="s">
        <v>11</v>
      </c>
    </row>
    <row r="1657" spans="1:13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F1657" s="3">
        <v>2462.79</v>
      </c>
      <c r="G1657" s="4">
        <v>0.6</v>
      </c>
      <c r="H1657" s="3">
        <v>9851.16</v>
      </c>
      <c r="I1657" s="1">
        <v>45782</v>
      </c>
      <c r="J1657" t="s">
        <v>15</v>
      </c>
      <c r="K1657" t="s">
        <v>23</v>
      </c>
      <c r="L1657" s="3">
        <v>3940.4639999999999</v>
      </c>
      <c r="M1657" t="s">
        <v>11</v>
      </c>
    </row>
    <row r="1658" spans="1:13" x14ac:dyDescent="0.3">
      <c r="A1658">
        <v>2656</v>
      </c>
      <c r="B1658" t="s">
        <v>1690</v>
      </c>
      <c r="C1658" t="s">
        <v>25</v>
      </c>
      <c r="D1658" t="s">
        <v>54</v>
      </c>
      <c r="E1658">
        <v>2</v>
      </c>
      <c r="F1658" s="3">
        <v>2530.3836538461546</v>
      </c>
      <c r="G1658" s="4">
        <v>0.6</v>
      </c>
      <c r="H1658" s="3">
        <v>5060.7673076923093</v>
      </c>
      <c r="I1658" s="1">
        <v>45757</v>
      </c>
      <c r="J1658" t="s">
        <v>18</v>
      </c>
      <c r="K1658" t="s">
        <v>23</v>
      </c>
      <c r="L1658" s="3">
        <v>2024.3069230769238</v>
      </c>
      <c r="M1658" t="s">
        <v>11</v>
      </c>
    </row>
    <row r="1659" spans="1:13" x14ac:dyDescent="0.3">
      <c r="A1659">
        <v>1033</v>
      </c>
      <c r="B1659" t="s">
        <v>1691</v>
      </c>
      <c r="C1659" t="s">
        <v>38</v>
      </c>
      <c r="D1659" t="s">
        <v>39</v>
      </c>
      <c r="E1659">
        <v>2</v>
      </c>
      <c r="F1659" s="3">
        <v>3863.95</v>
      </c>
      <c r="G1659" s="4">
        <v>0.9</v>
      </c>
      <c r="H1659" s="3">
        <v>7727.9</v>
      </c>
      <c r="I1659" s="1">
        <v>45782</v>
      </c>
      <c r="J1659" t="s">
        <v>46</v>
      </c>
      <c r="K1659" t="s">
        <v>23</v>
      </c>
      <c r="L1659" s="3">
        <v>772.78999999999974</v>
      </c>
      <c r="M1659" t="s">
        <v>11</v>
      </c>
    </row>
    <row r="1660" spans="1:13" x14ac:dyDescent="0.3">
      <c r="A1660">
        <v>2658</v>
      </c>
      <c r="B1660" t="s">
        <v>1692</v>
      </c>
      <c r="C1660" t="s">
        <v>13</v>
      </c>
      <c r="D1660" t="s">
        <v>102</v>
      </c>
      <c r="E1660">
        <v>2</v>
      </c>
      <c r="F1660" s="3">
        <v>3726.31</v>
      </c>
      <c r="G1660" s="4">
        <v>0.6</v>
      </c>
      <c r="H1660" s="3">
        <v>7452.62</v>
      </c>
      <c r="I1660" s="1">
        <v>45782</v>
      </c>
      <c r="J1660" t="s">
        <v>22</v>
      </c>
      <c r="K1660" t="s">
        <v>16</v>
      </c>
      <c r="L1660" s="3">
        <v>2981.0480000000002</v>
      </c>
      <c r="M1660" t="s">
        <v>11</v>
      </c>
    </row>
    <row r="1661" spans="1:13" x14ac:dyDescent="0.3">
      <c r="A1661">
        <v>2659</v>
      </c>
      <c r="B1661" t="s">
        <v>1693</v>
      </c>
      <c r="C1661" t="s">
        <v>33</v>
      </c>
      <c r="D1661" t="s">
        <v>72</v>
      </c>
      <c r="E1661">
        <v>2</v>
      </c>
      <c r="F1661" s="3">
        <v>1059.0899999999999</v>
      </c>
      <c r="G1661" s="4">
        <v>1.24</v>
      </c>
      <c r="H1661" s="3">
        <v>2118.1799999999998</v>
      </c>
      <c r="I1661" s="1">
        <v>45856</v>
      </c>
      <c r="J1661" t="s">
        <v>15</v>
      </c>
      <c r="K1661" t="s">
        <v>16</v>
      </c>
      <c r="L1661" s="3">
        <v>-508.36319999999995</v>
      </c>
      <c r="M1661" t="s">
        <v>2518</v>
      </c>
    </row>
    <row r="1662" spans="1:13" x14ac:dyDescent="0.3">
      <c r="A1662">
        <v>2660</v>
      </c>
      <c r="B1662" t="s">
        <v>1694</v>
      </c>
      <c r="C1662" t="s">
        <v>33</v>
      </c>
      <c r="D1662" t="s">
        <v>82</v>
      </c>
      <c r="E1662">
        <v>2</v>
      </c>
      <c r="F1662" s="3">
        <v>2776.2202000000002</v>
      </c>
      <c r="G1662" s="4">
        <v>0.6</v>
      </c>
      <c r="H1662" s="3">
        <v>5552.4404000000004</v>
      </c>
      <c r="I1662" s="1">
        <v>45782</v>
      </c>
      <c r="J1662" t="s">
        <v>56</v>
      </c>
      <c r="K1662" t="s">
        <v>23</v>
      </c>
      <c r="L1662" s="3">
        <v>2220.9761600000002</v>
      </c>
      <c r="M1662" t="s">
        <v>11</v>
      </c>
    </row>
    <row r="1663" spans="1:13" x14ac:dyDescent="0.3">
      <c r="A1663">
        <v>2661</v>
      </c>
      <c r="B1663" t="s">
        <v>1695</v>
      </c>
      <c r="C1663" t="s">
        <v>38</v>
      </c>
      <c r="D1663" t="s">
        <v>39</v>
      </c>
      <c r="E1663">
        <v>2</v>
      </c>
      <c r="F1663" s="3">
        <v>3008.3844444444444</v>
      </c>
      <c r="G1663" s="4">
        <v>0.6</v>
      </c>
      <c r="H1663" s="3">
        <v>6016.7688888888888</v>
      </c>
      <c r="I1663" s="1">
        <v>45765</v>
      </c>
      <c r="J1663" t="s">
        <v>18</v>
      </c>
      <c r="K1663" t="s">
        <v>23</v>
      </c>
      <c r="L1663" s="3">
        <v>2406.7075555555557</v>
      </c>
      <c r="M1663" t="s">
        <v>11</v>
      </c>
    </row>
    <row r="1664" spans="1:13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 s="3">
        <v>2718.51</v>
      </c>
      <c r="G1664" s="4">
        <v>0.6</v>
      </c>
      <c r="H1664" s="3">
        <v>-2718.51</v>
      </c>
      <c r="I1664" s="1">
        <v>45841</v>
      </c>
      <c r="J1664" t="s">
        <v>46</v>
      </c>
      <c r="K1664" t="s">
        <v>16</v>
      </c>
      <c r="L1664" s="3">
        <v>-1087.4040000000002</v>
      </c>
      <c r="M1664" t="s">
        <v>2518</v>
      </c>
    </row>
    <row r="1665" spans="1:13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 s="3">
        <v>2212.25</v>
      </c>
      <c r="G1665" s="4">
        <v>0.35</v>
      </c>
      <c r="H1665" s="3">
        <v>-4424.5</v>
      </c>
      <c r="I1665" s="1">
        <v>45602</v>
      </c>
      <c r="J1665" t="s">
        <v>22</v>
      </c>
      <c r="K1665" t="s">
        <v>16</v>
      </c>
      <c r="L1665" s="3">
        <v>-2875.9250000000002</v>
      </c>
      <c r="M1665" t="s">
        <v>2518</v>
      </c>
    </row>
    <row r="1666" spans="1:13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F1666" s="3">
        <v>2501.5309999999999</v>
      </c>
      <c r="G1666" s="4">
        <v>0.6</v>
      </c>
      <c r="H1666" s="3">
        <v>5003.0619999999999</v>
      </c>
      <c r="I1666" s="1">
        <v>45382</v>
      </c>
      <c r="J1666" t="s">
        <v>56</v>
      </c>
      <c r="K1666" t="s">
        <v>16</v>
      </c>
      <c r="L1666" s="3">
        <v>2001.2248</v>
      </c>
      <c r="M1666" t="s">
        <v>11</v>
      </c>
    </row>
    <row r="1667" spans="1:13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F1667" s="3">
        <v>2725.8557142857148</v>
      </c>
      <c r="G1667" s="4">
        <v>0.6</v>
      </c>
      <c r="H1667" s="3">
        <v>8177.5671428571441</v>
      </c>
      <c r="I1667" s="1">
        <v>45827</v>
      </c>
      <c r="J1667" t="s">
        <v>46</v>
      </c>
      <c r="K1667" t="s">
        <v>16</v>
      </c>
      <c r="L1667" s="3">
        <v>3271.0268571428578</v>
      </c>
      <c r="M1667" t="s">
        <v>11</v>
      </c>
    </row>
    <row r="1668" spans="1:13" x14ac:dyDescent="0.3">
      <c r="A1668">
        <v>2666</v>
      </c>
      <c r="B1668" t="s">
        <v>1700</v>
      </c>
      <c r="C1668" t="s">
        <v>38</v>
      </c>
      <c r="D1668" t="s">
        <v>63</v>
      </c>
      <c r="E1668">
        <v>2</v>
      </c>
      <c r="F1668" s="3">
        <v>2845.2419672131159</v>
      </c>
      <c r="G1668" s="4">
        <v>0.6</v>
      </c>
      <c r="H1668" s="3">
        <v>5690.4839344262318</v>
      </c>
      <c r="I1668" s="1">
        <v>45782</v>
      </c>
      <c r="J1668" t="s">
        <v>46</v>
      </c>
      <c r="K1668" t="s">
        <v>23</v>
      </c>
      <c r="L1668" s="3">
        <v>2276.193573770493</v>
      </c>
      <c r="M1668" t="s">
        <v>11</v>
      </c>
    </row>
    <row r="1669" spans="1:13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 s="3">
        <v>4710.7700000000004</v>
      </c>
      <c r="G1669" s="4">
        <v>0.6</v>
      </c>
      <c r="H1669" s="3">
        <v>4710.7700000000004</v>
      </c>
      <c r="I1669" s="1">
        <v>45782</v>
      </c>
      <c r="J1669" t="s">
        <v>18</v>
      </c>
      <c r="K1669" t="s">
        <v>23</v>
      </c>
      <c r="L1669" s="3">
        <v>1884.3080000000002</v>
      </c>
      <c r="M1669" t="s">
        <v>11</v>
      </c>
    </row>
    <row r="1670" spans="1:13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F1670" s="3">
        <v>2715.5458490566025</v>
      </c>
      <c r="G1670" s="4">
        <v>0.64</v>
      </c>
      <c r="H1670" s="3">
        <v>2715.5458490566025</v>
      </c>
      <c r="I1670" s="1">
        <v>45282</v>
      </c>
      <c r="J1670" t="s">
        <v>18</v>
      </c>
      <c r="K1670" t="s">
        <v>16</v>
      </c>
      <c r="L1670" s="3">
        <v>977.59650566037681</v>
      </c>
      <c r="M1670" t="s">
        <v>11</v>
      </c>
    </row>
    <row r="1671" spans="1:13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F1671" s="3">
        <v>2776.2202000000002</v>
      </c>
      <c r="G1671" s="4">
        <v>0.6</v>
      </c>
      <c r="H1671" s="3">
        <v>-2776.2202000000002</v>
      </c>
      <c r="I1671" s="1">
        <v>45749</v>
      </c>
      <c r="J1671" t="s">
        <v>46</v>
      </c>
      <c r="K1671" t="s">
        <v>23</v>
      </c>
      <c r="L1671" s="3">
        <v>-1110.4880800000001</v>
      </c>
      <c r="M1671" t="s">
        <v>2518</v>
      </c>
    </row>
    <row r="1672" spans="1:13" x14ac:dyDescent="0.3">
      <c r="A1672">
        <v>2670</v>
      </c>
      <c r="B1672" t="s">
        <v>1704</v>
      </c>
      <c r="C1672" t="s">
        <v>33</v>
      </c>
      <c r="D1672" t="s">
        <v>82</v>
      </c>
      <c r="E1672">
        <v>2</v>
      </c>
      <c r="F1672" s="3">
        <v>2776.2202000000002</v>
      </c>
      <c r="G1672" s="4">
        <v>0.6</v>
      </c>
      <c r="H1672" s="3">
        <v>5552.4404000000004</v>
      </c>
      <c r="I1672" s="1">
        <v>45561</v>
      </c>
      <c r="J1672" t="s">
        <v>46</v>
      </c>
      <c r="K1672" t="s">
        <v>16</v>
      </c>
      <c r="L1672" s="3">
        <v>2220.9761600000002</v>
      </c>
      <c r="M1672" t="s">
        <v>11</v>
      </c>
    </row>
    <row r="1673" spans="1:13" x14ac:dyDescent="0.3">
      <c r="A1673">
        <v>2671</v>
      </c>
      <c r="B1673" t="s">
        <v>1705</v>
      </c>
      <c r="C1673" t="s">
        <v>29</v>
      </c>
      <c r="D1673" t="s">
        <v>141</v>
      </c>
      <c r="E1673">
        <v>2</v>
      </c>
      <c r="F1673" s="3">
        <v>2377.81</v>
      </c>
      <c r="G1673" s="4">
        <v>0.56999999999999995</v>
      </c>
      <c r="H1673" s="3">
        <v>4755.62</v>
      </c>
      <c r="I1673" s="1">
        <v>45782</v>
      </c>
      <c r="J1673" t="s">
        <v>22</v>
      </c>
      <c r="K1673" t="s">
        <v>23</v>
      </c>
      <c r="L1673" s="3">
        <v>2044.9166000000002</v>
      </c>
      <c r="M1673" t="s">
        <v>11</v>
      </c>
    </row>
    <row r="1674" spans="1:13" x14ac:dyDescent="0.3">
      <c r="A1674">
        <v>1026</v>
      </c>
      <c r="B1674" t="s">
        <v>1706</v>
      </c>
      <c r="C1674" t="s">
        <v>38</v>
      </c>
      <c r="D1674" t="s">
        <v>59</v>
      </c>
      <c r="E1674">
        <v>2</v>
      </c>
      <c r="F1674" s="3">
        <v>2804.2651923076919</v>
      </c>
      <c r="G1674" s="4">
        <v>0.6</v>
      </c>
      <c r="H1674" s="3">
        <v>5608.5303846153838</v>
      </c>
      <c r="I1674" s="1">
        <v>45457</v>
      </c>
      <c r="J1674" t="s">
        <v>18</v>
      </c>
      <c r="K1674" t="s">
        <v>23</v>
      </c>
      <c r="L1674" s="3">
        <v>2243.4121538461536</v>
      </c>
      <c r="M1674" t="s">
        <v>11</v>
      </c>
    </row>
    <row r="1675" spans="1:13" x14ac:dyDescent="0.3">
      <c r="A1675">
        <v>2673</v>
      </c>
      <c r="B1675" t="s">
        <v>1707</v>
      </c>
      <c r="C1675" t="s">
        <v>29</v>
      </c>
      <c r="D1675" t="s">
        <v>30</v>
      </c>
      <c r="E1675">
        <v>2</v>
      </c>
      <c r="F1675" s="3">
        <v>2617.6390384615388</v>
      </c>
      <c r="G1675" s="4">
        <v>0.6</v>
      </c>
      <c r="H1675" s="3">
        <v>5235.2780769230776</v>
      </c>
      <c r="I1675" s="1">
        <v>45782</v>
      </c>
      <c r="J1675" t="s">
        <v>40</v>
      </c>
      <c r="K1675" t="s">
        <v>23</v>
      </c>
      <c r="L1675" s="3">
        <v>2094.111230769231</v>
      </c>
      <c r="M1675" t="s">
        <v>11</v>
      </c>
    </row>
    <row r="1676" spans="1:13" x14ac:dyDescent="0.3">
      <c r="A1676">
        <v>2674</v>
      </c>
      <c r="B1676" t="s">
        <v>1708</v>
      </c>
      <c r="C1676" t="s">
        <v>33</v>
      </c>
      <c r="D1676" t="s">
        <v>72</v>
      </c>
      <c r="E1676">
        <v>2</v>
      </c>
      <c r="F1676" s="3">
        <v>1261.5899999999999</v>
      </c>
      <c r="G1676" s="4">
        <v>0.6</v>
      </c>
      <c r="H1676" s="3">
        <v>2523.1799999999998</v>
      </c>
      <c r="I1676" s="1">
        <v>45542</v>
      </c>
      <c r="J1676" t="s">
        <v>22</v>
      </c>
      <c r="K1676" t="s">
        <v>23</v>
      </c>
      <c r="L1676" s="3">
        <v>1009.2719999999999</v>
      </c>
      <c r="M1676" t="s">
        <v>11</v>
      </c>
    </row>
    <row r="1677" spans="1:13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F1677" s="3">
        <v>2888.8714285714286</v>
      </c>
      <c r="G1677" s="4">
        <v>0.83</v>
      </c>
      <c r="H1677" s="3">
        <v>2888.8714285714286</v>
      </c>
      <c r="I1677" s="1">
        <v>45504</v>
      </c>
      <c r="J1677" t="s">
        <v>22</v>
      </c>
      <c r="K1677" t="s">
        <v>16</v>
      </c>
      <c r="L1677" s="3">
        <v>491.10814285714298</v>
      </c>
      <c r="M1677" t="s">
        <v>2518</v>
      </c>
    </row>
    <row r="1678" spans="1:13" x14ac:dyDescent="0.3">
      <c r="A1678">
        <v>1014</v>
      </c>
      <c r="B1678" t="s">
        <v>1710</v>
      </c>
      <c r="C1678" t="s">
        <v>13</v>
      </c>
      <c r="D1678" t="s">
        <v>36</v>
      </c>
      <c r="E1678">
        <v>2</v>
      </c>
      <c r="F1678" s="3">
        <v>2882.5046551724135</v>
      </c>
      <c r="G1678" s="4">
        <v>0.6</v>
      </c>
      <c r="H1678" s="3">
        <v>5765.0093103448271</v>
      </c>
      <c r="I1678" s="1">
        <v>45704</v>
      </c>
      <c r="J1678" t="s">
        <v>15</v>
      </c>
      <c r="K1678" t="s">
        <v>23</v>
      </c>
      <c r="L1678" s="3">
        <v>2306.0037241379309</v>
      </c>
      <c r="M1678" t="s">
        <v>11</v>
      </c>
    </row>
    <row r="1679" spans="1:13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 s="3">
        <v>1727.66</v>
      </c>
      <c r="G1679" s="4">
        <v>1.24</v>
      </c>
      <c r="H1679" s="3">
        <v>8638.3000000000011</v>
      </c>
      <c r="I1679" s="1">
        <v>45776</v>
      </c>
      <c r="J1679" t="s">
        <v>46</v>
      </c>
      <c r="K1679" t="s">
        <v>23</v>
      </c>
      <c r="L1679" s="3">
        <v>-2073.192</v>
      </c>
      <c r="M1679" t="s">
        <v>2518</v>
      </c>
    </row>
    <row r="1680" spans="1:13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F1680" s="3">
        <v>2845.2419672131159</v>
      </c>
      <c r="G1680" s="4">
        <v>0.51</v>
      </c>
      <c r="H1680" s="3">
        <v>-5690.4839344262318</v>
      </c>
      <c r="I1680" s="1">
        <v>45741</v>
      </c>
      <c r="J1680" t="s">
        <v>56</v>
      </c>
      <c r="K1680" t="s">
        <v>16</v>
      </c>
      <c r="L1680" s="3">
        <v>-2788.3371278688537</v>
      </c>
      <c r="M1680" t="s">
        <v>2518</v>
      </c>
    </row>
    <row r="1681" spans="1:13" x14ac:dyDescent="0.3">
      <c r="A1681">
        <v>2679</v>
      </c>
      <c r="B1681" t="s">
        <v>1713</v>
      </c>
      <c r="C1681" t="s">
        <v>29</v>
      </c>
      <c r="D1681" t="s">
        <v>120</v>
      </c>
      <c r="E1681">
        <v>2</v>
      </c>
      <c r="F1681" s="3">
        <v>2514.6999999999998</v>
      </c>
      <c r="G1681" s="4">
        <v>0.6</v>
      </c>
      <c r="H1681" s="3">
        <v>5029.3999999999996</v>
      </c>
      <c r="I1681" s="1">
        <v>45564</v>
      </c>
      <c r="J1681" t="s">
        <v>56</v>
      </c>
      <c r="K1681" t="s">
        <v>23</v>
      </c>
      <c r="L1681" s="3">
        <v>2011.76</v>
      </c>
      <c r="M1681" t="s">
        <v>11</v>
      </c>
    </row>
    <row r="1682" spans="1:13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F1682" s="3">
        <v>2572.7764000000006</v>
      </c>
      <c r="G1682" s="4">
        <v>0.6</v>
      </c>
      <c r="H1682" s="3">
        <v>15436.658400000004</v>
      </c>
      <c r="I1682" s="1">
        <v>45782</v>
      </c>
      <c r="J1682" t="s">
        <v>15</v>
      </c>
      <c r="K1682" t="s">
        <v>23</v>
      </c>
      <c r="L1682" s="3">
        <v>6174.6633600000023</v>
      </c>
      <c r="M1682" t="s">
        <v>11</v>
      </c>
    </row>
    <row r="1683" spans="1:13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 s="3">
        <v>4770.92</v>
      </c>
      <c r="G1683" s="4">
        <v>0.6</v>
      </c>
      <c r="H1683" s="3">
        <v>-4770.92</v>
      </c>
      <c r="I1683" s="1">
        <v>45223</v>
      </c>
      <c r="J1683" t="s">
        <v>46</v>
      </c>
      <c r="K1683" t="s">
        <v>23</v>
      </c>
      <c r="L1683" s="3">
        <v>-1908.3680000000002</v>
      </c>
      <c r="M1683" t="s">
        <v>2518</v>
      </c>
    </row>
    <row r="1684" spans="1:13" x14ac:dyDescent="0.3">
      <c r="A1684">
        <v>2682</v>
      </c>
      <c r="B1684" t="s">
        <v>1716</v>
      </c>
      <c r="C1684" t="s">
        <v>33</v>
      </c>
      <c r="D1684" t="s">
        <v>82</v>
      </c>
      <c r="E1684">
        <v>2</v>
      </c>
      <c r="F1684" s="3">
        <v>4784.55</v>
      </c>
      <c r="G1684" s="4">
        <v>0.6</v>
      </c>
      <c r="H1684" s="3">
        <v>9569.1</v>
      </c>
      <c r="I1684" s="1">
        <v>45622</v>
      </c>
      <c r="J1684" t="s">
        <v>40</v>
      </c>
      <c r="K1684" t="s">
        <v>23</v>
      </c>
      <c r="L1684" s="3">
        <v>3827.6400000000003</v>
      </c>
      <c r="M1684" t="s">
        <v>11</v>
      </c>
    </row>
    <row r="1685" spans="1:13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 s="3">
        <v>3163.97</v>
      </c>
      <c r="G1685" s="4">
        <v>0.6</v>
      </c>
      <c r="H1685" s="3">
        <v>15819.849999999999</v>
      </c>
      <c r="I1685" s="1">
        <v>45782</v>
      </c>
      <c r="J1685" t="s">
        <v>15</v>
      </c>
      <c r="K1685" t="s">
        <v>23</v>
      </c>
      <c r="L1685" s="3">
        <v>6327.94</v>
      </c>
      <c r="M1685" t="s">
        <v>11</v>
      </c>
    </row>
    <row r="1686" spans="1:13" x14ac:dyDescent="0.3">
      <c r="A1686">
        <v>2684</v>
      </c>
      <c r="B1686" t="s">
        <v>1718</v>
      </c>
      <c r="C1686" t="s">
        <v>25</v>
      </c>
      <c r="D1686" t="s">
        <v>86</v>
      </c>
      <c r="E1686">
        <v>2</v>
      </c>
      <c r="F1686" s="3">
        <v>794.81</v>
      </c>
      <c r="G1686" s="4">
        <v>1.1200000000000001</v>
      </c>
      <c r="H1686" s="3">
        <v>1589.62</v>
      </c>
      <c r="I1686" s="1">
        <v>45483</v>
      </c>
      <c r="J1686" t="s">
        <v>40</v>
      </c>
      <c r="K1686" t="s">
        <v>23</v>
      </c>
      <c r="L1686" s="3">
        <v>-190.75440000000015</v>
      </c>
      <c r="M1686" t="s">
        <v>2518</v>
      </c>
    </row>
    <row r="1687" spans="1:13" x14ac:dyDescent="0.3">
      <c r="A1687">
        <v>2685</v>
      </c>
      <c r="B1687" t="s">
        <v>1719</v>
      </c>
      <c r="C1687" t="s">
        <v>25</v>
      </c>
      <c r="D1687" t="s">
        <v>54</v>
      </c>
      <c r="E1687">
        <v>2</v>
      </c>
      <c r="F1687" s="3">
        <v>1804.59</v>
      </c>
      <c r="G1687" s="4">
        <v>0.6</v>
      </c>
      <c r="H1687" s="3">
        <v>3609.18</v>
      </c>
      <c r="I1687" s="1">
        <v>45839</v>
      </c>
      <c r="J1687" t="s">
        <v>18</v>
      </c>
      <c r="K1687" t="s">
        <v>23</v>
      </c>
      <c r="L1687" s="3">
        <v>1443.672</v>
      </c>
      <c r="M1687" t="s">
        <v>11</v>
      </c>
    </row>
    <row r="1688" spans="1:13" x14ac:dyDescent="0.3">
      <c r="A1688">
        <v>2686</v>
      </c>
      <c r="B1688" t="s">
        <v>1720</v>
      </c>
      <c r="C1688" t="s">
        <v>29</v>
      </c>
      <c r="D1688" t="s">
        <v>141</v>
      </c>
      <c r="E1688">
        <v>2</v>
      </c>
      <c r="F1688" s="3">
        <v>2462.79</v>
      </c>
      <c r="G1688" s="4">
        <v>0.49</v>
      </c>
      <c r="H1688" s="3">
        <v>4925.58</v>
      </c>
      <c r="I1688" s="1">
        <v>45782</v>
      </c>
      <c r="J1688" t="s">
        <v>46</v>
      </c>
      <c r="K1688" t="s">
        <v>23</v>
      </c>
      <c r="L1688" s="3">
        <v>2512.0457999999999</v>
      </c>
      <c r="M1688" t="s">
        <v>11</v>
      </c>
    </row>
    <row r="1689" spans="1:13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F1689" s="3">
        <v>2530.3836538461546</v>
      </c>
      <c r="G1689" s="4">
        <v>0.6</v>
      </c>
      <c r="H1689" s="3">
        <v>0</v>
      </c>
      <c r="I1689" s="1">
        <v>45521</v>
      </c>
      <c r="J1689" t="s">
        <v>22</v>
      </c>
      <c r="K1689" t="s">
        <v>16</v>
      </c>
      <c r="L1689" s="3">
        <v>0</v>
      </c>
      <c r="M1689" t="s">
        <v>2518</v>
      </c>
    </row>
    <row r="1690" spans="1:13" x14ac:dyDescent="0.3">
      <c r="A1690">
        <v>2688</v>
      </c>
      <c r="B1690" t="s">
        <v>1722</v>
      </c>
      <c r="C1690" t="s">
        <v>33</v>
      </c>
      <c r="D1690" t="s">
        <v>34</v>
      </c>
      <c r="E1690">
        <v>2</v>
      </c>
      <c r="F1690" s="3">
        <v>2487.039615384615</v>
      </c>
      <c r="G1690" s="4">
        <v>0.11</v>
      </c>
      <c r="H1690" s="3">
        <v>4974.07923076923</v>
      </c>
      <c r="I1690" s="1">
        <v>45782</v>
      </c>
      <c r="J1690" t="s">
        <v>56</v>
      </c>
      <c r="K1690" t="s">
        <v>16</v>
      </c>
      <c r="L1690" s="3">
        <v>4426.9305153846144</v>
      </c>
      <c r="M1690" t="s">
        <v>11</v>
      </c>
    </row>
    <row r="1691" spans="1:13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 s="3">
        <v>4777.51</v>
      </c>
      <c r="G1691" s="4">
        <v>0.6</v>
      </c>
      <c r="H1691" s="3">
        <v>19110.04</v>
      </c>
      <c r="I1691" s="1">
        <v>45609</v>
      </c>
      <c r="J1691" t="s">
        <v>56</v>
      </c>
      <c r="K1691" t="s">
        <v>23</v>
      </c>
      <c r="L1691" s="3">
        <v>7644.0160000000005</v>
      </c>
      <c r="M1691" t="s">
        <v>11</v>
      </c>
    </row>
    <row r="1692" spans="1:13" x14ac:dyDescent="0.3">
      <c r="A1692">
        <v>2690</v>
      </c>
      <c r="B1692" t="s">
        <v>1724</v>
      </c>
      <c r="C1692" t="s">
        <v>13</v>
      </c>
      <c r="D1692" t="s">
        <v>102</v>
      </c>
      <c r="E1692">
        <v>2</v>
      </c>
      <c r="F1692" s="3">
        <v>2862.03</v>
      </c>
      <c r="G1692" s="4">
        <v>0.6</v>
      </c>
      <c r="H1692" s="3">
        <v>5724.06</v>
      </c>
      <c r="I1692" s="1">
        <v>45277</v>
      </c>
      <c r="J1692" t="s">
        <v>22</v>
      </c>
      <c r="K1692" t="s">
        <v>23</v>
      </c>
      <c r="L1692" s="3">
        <v>2289.6240000000003</v>
      </c>
      <c r="M1692" t="s">
        <v>11</v>
      </c>
    </row>
    <row r="1693" spans="1:13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F1693" s="3">
        <v>2487.039615384615</v>
      </c>
      <c r="G1693" s="4">
        <v>0.5</v>
      </c>
      <c r="H1693" s="3">
        <v>2487.039615384615</v>
      </c>
      <c r="I1693" s="1">
        <v>45411</v>
      </c>
      <c r="J1693" t="s">
        <v>40</v>
      </c>
      <c r="K1693" t="s">
        <v>23</v>
      </c>
      <c r="L1693" s="3">
        <v>1243.5198076923075</v>
      </c>
      <c r="M1693" t="s">
        <v>11</v>
      </c>
    </row>
    <row r="1694" spans="1:13" x14ac:dyDescent="0.3">
      <c r="A1694">
        <v>2692</v>
      </c>
      <c r="B1694" t="s">
        <v>1726</v>
      </c>
      <c r="C1694" t="s">
        <v>38</v>
      </c>
      <c r="D1694" t="s">
        <v>91</v>
      </c>
      <c r="E1694">
        <v>2</v>
      </c>
      <c r="F1694" s="3">
        <v>2868.7768181818178</v>
      </c>
      <c r="G1694" s="4">
        <v>0.6</v>
      </c>
      <c r="H1694" s="3">
        <v>5737.5536363636356</v>
      </c>
      <c r="I1694" s="1">
        <v>45762</v>
      </c>
      <c r="J1694" t="s">
        <v>22</v>
      </c>
      <c r="K1694" t="s">
        <v>23</v>
      </c>
      <c r="L1694" s="3">
        <v>2295.0214545454542</v>
      </c>
      <c r="M1694" t="s">
        <v>11</v>
      </c>
    </row>
    <row r="1695" spans="1:13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 s="3">
        <v>4366.3999999999996</v>
      </c>
      <c r="G1695" s="4">
        <v>0.6</v>
      </c>
      <c r="H1695" s="3">
        <v>17465.599999999999</v>
      </c>
      <c r="I1695" s="1">
        <v>45782</v>
      </c>
      <c r="J1695" t="s">
        <v>56</v>
      </c>
      <c r="K1695" t="s">
        <v>23</v>
      </c>
      <c r="L1695" s="3">
        <v>6986.24</v>
      </c>
      <c r="M1695" t="s">
        <v>11</v>
      </c>
    </row>
    <row r="1696" spans="1:13" x14ac:dyDescent="0.3">
      <c r="A1696">
        <v>2694</v>
      </c>
      <c r="B1696" t="s">
        <v>1728</v>
      </c>
      <c r="C1696" t="s">
        <v>25</v>
      </c>
      <c r="D1696" t="s">
        <v>66</v>
      </c>
      <c r="E1696">
        <v>2</v>
      </c>
      <c r="F1696" s="3">
        <v>1617.83</v>
      </c>
      <c r="G1696" s="4">
        <v>1.18</v>
      </c>
      <c r="H1696" s="3">
        <v>3235.66</v>
      </c>
      <c r="I1696" s="1">
        <v>45834</v>
      </c>
      <c r="J1696" t="s">
        <v>15</v>
      </c>
      <c r="K1696" t="s">
        <v>23</v>
      </c>
      <c r="L1696" s="3">
        <v>-582.41879999999981</v>
      </c>
      <c r="M1696" t="s">
        <v>2518</v>
      </c>
    </row>
    <row r="1697" spans="1:13" x14ac:dyDescent="0.3">
      <c r="A1697">
        <v>2695</v>
      </c>
      <c r="B1697" t="s">
        <v>1729</v>
      </c>
      <c r="C1697" t="s">
        <v>13</v>
      </c>
      <c r="D1697" t="s">
        <v>36</v>
      </c>
      <c r="E1697">
        <v>2</v>
      </c>
      <c r="F1697" s="3">
        <v>4834.87</v>
      </c>
      <c r="G1697" s="4">
        <v>0.6</v>
      </c>
      <c r="H1697" s="3">
        <v>9669.74</v>
      </c>
      <c r="I1697" s="1">
        <v>45782</v>
      </c>
      <c r="J1697" t="s">
        <v>40</v>
      </c>
      <c r="K1697" t="s">
        <v>23</v>
      </c>
      <c r="L1697" s="3">
        <v>3867.8960000000002</v>
      </c>
      <c r="M1697" t="s">
        <v>11</v>
      </c>
    </row>
    <row r="1698" spans="1:13" x14ac:dyDescent="0.3">
      <c r="A1698">
        <v>2696</v>
      </c>
      <c r="B1698" t="s">
        <v>1730</v>
      </c>
      <c r="C1698" t="s">
        <v>20</v>
      </c>
      <c r="D1698" t="s">
        <v>21</v>
      </c>
      <c r="E1698">
        <v>2</v>
      </c>
      <c r="F1698" s="3">
        <v>2579.8000000000002</v>
      </c>
      <c r="G1698" s="4">
        <v>1.26</v>
      </c>
      <c r="H1698" s="3">
        <v>5159.6000000000004</v>
      </c>
      <c r="I1698" s="1">
        <v>45797</v>
      </c>
      <c r="J1698" t="s">
        <v>18</v>
      </c>
      <c r="K1698" t="s">
        <v>23</v>
      </c>
      <c r="L1698" s="3">
        <v>-1341.4960000000001</v>
      </c>
      <c r="M1698" t="s">
        <v>2518</v>
      </c>
    </row>
    <row r="1699" spans="1:13" x14ac:dyDescent="0.3">
      <c r="A1699">
        <v>2697</v>
      </c>
      <c r="B1699" t="s">
        <v>1731</v>
      </c>
      <c r="C1699" t="s">
        <v>38</v>
      </c>
      <c r="D1699" t="s">
        <v>63</v>
      </c>
      <c r="E1699">
        <v>2</v>
      </c>
      <c r="F1699" s="3">
        <v>3300.82</v>
      </c>
      <c r="G1699" s="4">
        <v>0.6</v>
      </c>
      <c r="H1699" s="3">
        <v>6601.64</v>
      </c>
      <c r="I1699" s="1">
        <v>45796</v>
      </c>
      <c r="J1699" t="s">
        <v>18</v>
      </c>
      <c r="K1699" t="s">
        <v>23</v>
      </c>
      <c r="L1699" s="3">
        <v>2640.6560000000004</v>
      </c>
      <c r="M1699" t="s">
        <v>11</v>
      </c>
    </row>
    <row r="1700" spans="1:13" x14ac:dyDescent="0.3">
      <c r="A1700">
        <v>2698</v>
      </c>
      <c r="B1700" t="s">
        <v>1732</v>
      </c>
      <c r="C1700" t="s">
        <v>20</v>
      </c>
      <c r="D1700" t="s">
        <v>80</v>
      </c>
      <c r="E1700">
        <v>2</v>
      </c>
      <c r="F1700" s="3">
        <v>1810.81</v>
      </c>
      <c r="G1700" s="4">
        <v>0.5</v>
      </c>
      <c r="H1700" s="3">
        <v>3621.62</v>
      </c>
      <c r="I1700" s="1">
        <v>45782</v>
      </c>
      <c r="J1700" t="s">
        <v>46</v>
      </c>
      <c r="K1700" t="s">
        <v>16</v>
      </c>
      <c r="L1700" s="3">
        <v>1810.81</v>
      </c>
      <c r="M1700" t="s">
        <v>11</v>
      </c>
    </row>
    <row r="1701" spans="1:13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F1701" s="3">
        <v>2785.0877966101693</v>
      </c>
      <c r="G1701" s="4">
        <v>0.6</v>
      </c>
      <c r="H1701" s="3">
        <v>16710.526779661017</v>
      </c>
      <c r="I1701" s="1">
        <v>45802</v>
      </c>
      <c r="J1701" t="s">
        <v>15</v>
      </c>
      <c r="K1701" t="s">
        <v>16</v>
      </c>
      <c r="L1701" s="3">
        <v>6684.2107118644071</v>
      </c>
      <c r="M1701" t="s">
        <v>11</v>
      </c>
    </row>
    <row r="1702" spans="1:13" x14ac:dyDescent="0.3">
      <c r="A1702">
        <v>2700</v>
      </c>
      <c r="B1702" t="s">
        <v>1734</v>
      </c>
      <c r="C1702" t="s">
        <v>25</v>
      </c>
      <c r="D1702" t="s">
        <v>86</v>
      </c>
      <c r="E1702">
        <v>2</v>
      </c>
      <c r="F1702" s="3">
        <v>2501.5309999999999</v>
      </c>
      <c r="G1702" s="4">
        <v>0.6</v>
      </c>
      <c r="H1702" s="3">
        <v>5003.0619999999999</v>
      </c>
      <c r="I1702" s="1">
        <v>45782</v>
      </c>
      <c r="J1702" t="s">
        <v>22</v>
      </c>
      <c r="K1702" t="s">
        <v>23</v>
      </c>
      <c r="L1702" s="3">
        <v>2001.2248</v>
      </c>
      <c r="M1702" t="s">
        <v>11</v>
      </c>
    </row>
    <row r="1703" spans="1:13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 s="3">
        <v>2085.92</v>
      </c>
      <c r="G1703" s="4">
        <v>0.6</v>
      </c>
      <c r="H1703" s="3">
        <v>-2085.92</v>
      </c>
      <c r="I1703" s="1">
        <v>45669</v>
      </c>
      <c r="J1703" t="s">
        <v>40</v>
      </c>
      <c r="K1703" t="s">
        <v>16</v>
      </c>
      <c r="L1703" s="3">
        <v>-834.36800000000005</v>
      </c>
      <c r="M1703" t="s">
        <v>2518</v>
      </c>
    </row>
    <row r="1704" spans="1:13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F1704" s="3">
        <v>2776.2202000000002</v>
      </c>
      <c r="G1704" s="4">
        <v>0.6</v>
      </c>
      <c r="H1704" s="3">
        <v>-5552.4404000000004</v>
      </c>
      <c r="I1704" s="1">
        <v>45537</v>
      </c>
      <c r="J1704" t="s">
        <v>56</v>
      </c>
      <c r="K1704" t="s">
        <v>23</v>
      </c>
      <c r="L1704" s="3">
        <v>-2220.9761600000002</v>
      </c>
      <c r="M1704" t="s">
        <v>2518</v>
      </c>
    </row>
    <row r="1705" spans="1:13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F1705" s="3">
        <v>2617.6390384615388</v>
      </c>
      <c r="G1705" s="4">
        <v>0.6</v>
      </c>
      <c r="H1705" s="3">
        <v>-5235.2780769230776</v>
      </c>
      <c r="I1705" s="1">
        <v>45784</v>
      </c>
      <c r="J1705" t="s">
        <v>56</v>
      </c>
      <c r="K1705" t="s">
        <v>16</v>
      </c>
      <c r="L1705" s="3">
        <v>-2094.111230769231</v>
      </c>
      <c r="M1705" t="s">
        <v>2518</v>
      </c>
    </row>
    <row r="1706" spans="1:13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F1706" s="3">
        <v>2483.5844000000002</v>
      </c>
      <c r="G1706" s="4">
        <v>0.6</v>
      </c>
      <c r="H1706" s="3">
        <v>2483.5844000000002</v>
      </c>
      <c r="I1706" s="1">
        <v>45506</v>
      </c>
      <c r="J1706" t="s">
        <v>22</v>
      </c>
      <c r="K1706" t="s">
        <v>16</v>
      </c>
      <c r="L1706" s="3">
        <v>993.43376000000012</v>
      </c>
      <c r="M1706" t="s">
        <v>11</v>
      </c>
    </row>
    <row r="1707" spans="1:13" x14ac:dyDescent="0.3">
      <c r="A1707">
        <v>2705</v>
      </c>
      <c r="B1707" t="s">
        <v>1739</v>
      </c>
      <c r="C1707" t="s">
        <v>38</v>
      </c>
      <c r="D1707" t="s">
        <v>39</v>
      </c>
      <c r="E1707">
        <v>2</v>
      </c>
      <c r="F1707" s="3">
        <v>4870.82</v>
      </c>
      <c r="G1707" s="4">
        <v>0.6</v>
      </c>
      <c r="H1707" s="3">
        <v>9741.64</v>
      </c>
      <c r="I1707" s="1">
        <v>45846</v>
      </c>
      <c r="J1707" t="s">
        <v>15</v>
      </c>
      <c r="K1707" t="s">
        <v>23</v>
      </c>
      <c r="L1707" s="3">
        <v>3896.6559999999999</v>
      </c>
      <c r="M1707" t="s">
        <v>11</v>
      </c>
    </row>
    <row r="1708" spans="1:13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F1708" s="3">
        <v>2715.5458490566025</v>
      </c>
      <c r="G1708" s="4">
        <v>0.6</v>
      </c>
      <c r="H1708" s="3">
        <v>16293.275094339615</v>
      </c>
      <c r="I1708" s="1">
        <v>45595</v>
      </c>
      <c r="J1708" t="s">
        <v>46</v>
      </c>
      <c r="K1708" t="s">
        <v>23</v>
      </c>
      <c r="L1708" s="3">
        <v>6517.310037735846</v>
      </c>
      <c r="M1708" t="s">
        <v>11</v>
      </c>
    </row>
    <row r="1709" spans="1:13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F1709" s="3">
        <v>2681.1743636363635</v>
      </c>
      <c r="G1709" s="4">
        <v>0.6</v>
      </c>
      <c r="H1709" s="3">
        <v>13405.871818181819</v>
      </c>
      <c r="I1709" s="1">
        <v>45542</v>
      </c>
      <c r="J1709" t="s">
        <v>22</v>
      </c>
      <c r="K1709" t="s">
        <v>23</v>
      </c>
      <c r="L1709" s="3">
        <v>5362.348727272728</v>
      </c>
      <c r="M1709" t="s">
        <v>11</v>
      </c>
    </row>
    <row r="1710" spans="1:13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 s="3">
        <v>4882.6899999999996</v>
      </c>
      <c r="G1710" s="4">
        <v>0.6</v>
      </c>
      <c r="H1710" s="3">
        <v>19530.759999999998</v>
      </c>
      <c r="I1710" s="1">
        <v>45656</v>
      </c>
      <c r="J1710" t="s">
        <v>22</v>
      </c>
      <c r="K1710" t="s">
        <v>23</v>
      </c>
      <c r="L1710" s="3">
        <v>7812.3040000000001</v>
      </c>
      <c r="M1710" t="s">
        <v>11</v>
      </c>
    </row>
    <row r="1711" spans="1:13" x14ac:dyDescent="0.3">
      <c r="A1711">
        <v>2709</v>
      </c>
      <c r="B1711" t="s">
        <v>1743</v>
      </c>
      <c r="C1711" t="s">
        <v>20</v>
      </c>
      <c r="D1711" t="s">
        <v>80</v>
      </c>
      <c r="E1711">
        <v>2</v>
      </c>
      <c r="F1711" s="3">
        <v>2483.5844000000002</v>
      </c>
      <c r="G1711" s="4">
        <v>0.3</v>
      </c>
      <c r="H1711" s="3">
        <v>4967.1688000000004</v>
      </c>
      <c r="I1711" s="1">
        <v>45696</v>
      </c>
      <c r="J1711" t="s">
        <v>56</v>
      </c>
      <c r="K1711" t="s">
        <v>23</v>
      </c>
      <c r="L1711" s="3">
        <v>3477.0181600000001</v>
      </c>
      <c r="M1711" t="s">
        <v>11</v>
      </c>
    </row>
    <row r="1712" spans="1:13" x14ac:dyDescent="0.3">
      <c r="A1712">
        <v>2710</v>
      </c>
      <c r="B1712" t="s">
        <v>1744</v>
      </c>
      <c r="C1712" t="s">
        <v>38</v>
      </c>
      <c r="D1712" t="s">
        <v>91</v>
      </c>
      <c r="E1712">
        <v>2</v>
      </c>
      <c r="F1712" s="3">
        <v>2565.5500000000002</v>
      </c>
      <c r="G1712" s="4">
        <v>0.6</v>
      </c>
      <c r="H1712" s="3">
        <v>5131.1000000000004</v>
      </c>
      <c r="I1712" s="1">
        <v>45547</v>
      </c>
      <c r="J1712" t="s">
        <v>40</v>
      </c>
      <c r="K1712" t="s">
        <v>23</v>
      </c>
      <c r="L1712" s="3">
        <v>2052.44</v>
      </c>
      <c r="M1712" t="s">
        <v>11</v>
      </c>
    </row>
    <row r="1713" spans="1:13" x14ac:dyDescent="0.3">
      <c r="A1713">
        <v>2711</v>
      </c>
      <c r="B1713" t="s">
        <v>1745</v>
      </c>
      <c r="C1713" t="s">
        <v>38</v>
      </c>
      <c r="D1713" t="s">
        <v>91</v>
      </c>
      <c r="E1713">
        <v>2</v>
      </c>
      <c r="F1713" s="3">
        <v>2868.7768181818178</v>
      </c>
      <c r="G1713" s="4">
        <v>0.6</v>
      </c>
      <c r="H1713" s="3">
        <v>5737.5536363636356</v>
      </c>
      <c r="I1713" s="1">
        <v>45321</v>
      </c>
      <c r="J1713" t="s">
        <v>46</v>
      </c>
      <c r="K1713" t="s">
        <v>23</v>
      </c>
      <c r="L1713" s="3">
        <v>2295.0214545454542</v>
      </c>
      <c r="M1713" t="s">
        <v>11</v>
      </c>
    </row>
    <row r="1714" spans="1:13" x14ac:dyDescent="0.3">
      <c r="A1714">
        <v>2712</v>
      </c>
      <c r="B1714" t="s">
        <v>1746</v>
      </c>
      <c r="C1714" t="s">
        <v>20</v>
      </c>
      <c r="D1714" t="s">
        <v>122</v>
      </c>
      <c r="E1714">
        <v>2</v>
      </c>
      <c r="F1714" s="3">
        <v>2700.1263043478252</v>
      </c>
      <c r="G1714" s="4">
        <v>0.6</v>
      </c>
      <c r="H1714" s="3">
        <v>5400.2526086956505</v>
      </c>
      <c r="I1714" s="1">
        <v>45641</v>
      </c>
      <c r="J1714" t="s">
        <v>40</v>
      </c>
      <c r="K1714" t="s">
        <v>23</v>
      </c>
      <c r="L1714" s="3">
        <v>2160.1010434782602</v>
      </c>
      <c r="M1714" t="s">
        <v>11</v>
      </c>
    </row>
    <row r="1715" spans="1:13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 s="3">
        <v>1559.67</v>
      </c>
      <c r="G1715" s="4">
        <v>0.6</v>
      </c>
      <c r="H1715" s="3">
        <v>0</v>
      </c>
      <c r="I1715" s="1">
        <v>45707</v>
      </c>
      <c r="J1715" t="s">
        <v>46</v>
      </c>
      <c r="K1715" t="s">
        <v>16</v>
      </c>
      <c r="L1715" s="3">
        <v>0</v>
      </c>
      <c r="M1715" t="s">
        <v>2518</v>
      </c>
    </row>
    <row r="1716" spans="1:13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 s="3">
        <v>1171.79</v>
      </c>
      <c r="G1716" s="4">
        <v>0.6</v>
      </c>
      <c r="H1716" s="3">
        <v>-2343.58</v>
      </c>
      <c r="I1716" s="1">
        <v>45782</v>
      </c>
      <c r="J1716" t="s">
        <v>15</v>
      </c>
      <c r="K1716" t="s">
        <v>23</v>
      </c>
      <c r="L1716" s="3">
        <v>-937.43200000000002</v>
      </c>
      <c r="M1716" t="s">
        <v>2518</v>
      </c>
    </row>
    <row r="1717" spans="1:13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F1717" s="3">
        <v>2572.7764000000006</v>
      </c>
      <c r="G1717" s="4">
        <v>0.6</v>
      </c>
      <c r="H1717" s="3">
        <v>10291.105600000003</v>
      </c>
      <c r="I1717" s="1">
        <v>45134</v>
      </c>
      <c r="J1717" t="s">
        <v>18</v>
      </c>
      <c r="K1717" t="s">
        <v>16</v>
      </c>
      <c r="L1717" s="3">
        <v>4116.4422400000012</v>
      </c>
      <c r="M1717" t="s">
        <v>11</v>
      </c>
    </row>
    <row r="1718" spans="1:13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F1718" s="3">
        <v>2888.8714285714286</v>
      </c>
      <c r="G1718" s="4">
        <v>0.49</v>
      </c>
      <c r="H1718" s="3">
        <v>2888.8714285714286</v>
      </c>
      <c r="I1718" s="1">
        <v>45782</v>
      </c>
      <c r="J1718" t="s">
        <v>46</v>
      </c>
      <c r="K1718" t="s">
        <v>23</v>
      </c>
      <c r="L1718" s="3">
        <v>1473.3244285714286</v>
      </c>
      <c r="M1718" t="s">
        <v>11</v>
      </c>
    </row>
    <row r="1719" spans="1:13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F1719" s="3">
        <v>2882.5046551724135</v>
      </c>
      <c r="G1719" s="4">
        <v>0.6</v>
      </c>
      <c r="H1719" s="3">
        <v>5765.0093103448271</v>
      </c>
      <c r="I1719" s="1">
        <v>45660</v>
      </c>
      <c r="J1719" t="s">
        <v>46</v>
      </c>
      <c r="K1719" t="s">
        <v>16</v>
      </c>
      <c r="L1719" s="3">
        <v>2306.0037241379309</v>
      </c>
      <c r="M1719" t="s">
        <v>11</v>
      </c>
    </row>
    <row r="1720" spans="1:13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 s="3">
        <v>909.31</v>
      </c>
      <c r="G1720" s="4">
        <v>0.6</v>
      </c>
      <c r="H1720" s="3">
        <v>2727.93</v>
      </c>
      <c r="I1720" s="1">
        <v>45752</v>
      </c>
      <c r="J1720" t="s">
        <v>46</v>
      </c>
      <c r="K1720" t="s">
        <v>23</v>
      </c>
      <c r="L1720" s="3">
        <v>1091.172</v>
      </c>
      <c r="M1720" t="s">
        <v>11</v>
      </c>
    </row>
    <row r="1721" spans="1:13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 s="3">
        <v>1602.49</v>
      </c>
      <c r="G1721" s="4">
        <v>0.6</v>
      </c>
      <c r="H1721" s="3">
        <v>0</v>
      </c>
      <c r="I1721" s="1">
        <v>45741</v>
      </c>
      <c r="J1721" t="s">
        <v>40</v>
      </c>
      <c r="K1721" t="s">
        <v>23</v>
      </c>
      <c r="L1721" s="3">
        <v>0</v>
      </c>
      <c r="M1721" t="s">
        <v>2518</v>
      </c>
    </row>
    <row r="1722" spans="1:13" x14ac:dyDescent="0.3">
      <c r="A1722">
        <v>2720</v>
      </c>
      <c r="B1722" t="s">
        <v>1754</v>
      </c>
      <c r="C1722" t="s">
        <v>38</v>
      </c>
      <c r="D1722" t="s">
        <v>63</v>
      </c>
      <c r="E1722">
        <v>2</v>
      </c>
      <c r="F1722" s="3">
        <v>3476.53</v>
      </c>
      <c r="G1722" s="4">
        <v>0.6</v>
      </c>
      <c r="H1722" s="3">
        <v>6953.06</v>
      </c>
      <c r="I1722" s="1">
        <v>45729</v>
      </c>
      <c r="J1722" t="s">
        <v>46</v>
      </c>
      <c r="K1722" t="s">
        <v>23</v>
      </c>
      <c r="L1722" s="3">
        <v>2781.2240000000002</v>
      </c>
      <c r="M1722" t="s">
        <v>11</v>
      </c>
    </row>
    <row r="1723" spans="1:13" x14ac:dyDescent="0.3">
      <c r="A1723">
        <v>2721</v>
      </c>
      <c r="B1723" t="s">
        <v>1755</v>
      </c>
      <c r="C1723" t="s">
        <v>13</v>
      </c>
      <c r="D1723" t="s">
        <v>49</v>
      </c>
      <c r="E1723">
        <v>2</v>
      </c>
      <c r="F1723" s="3">
        <v>1109.5999999999999</v>
      </c>
      <c r="G1723" s="4">
        <v>0.04</v>
      </c>
      <c r="H1723" s="3">
        <v>2219.1999999999998</v>
      </c>
      <c r="I1723" s="1">
        <v>45782</v>
      </c>
      <c r="J1723" t="s">
        <v>56</v>
      </c>
      <c r="K1723" t="s">
        <v>23</v>
      </c>
      <c r="L1723" s="3">
        <v>2130.4319999999998</v>
      </c>
      <c r="M1723" t="s">
        <v>11</v>
      </c>
    </row>
    <row r="1724" spans="1:13" x14ac:dyDescent="0.3">
      <c r="A1724">
        <v>2722</v>
      </c>
      <c r="B1724" t="s">
        <v>1756</v>
      </c>
      <c r="C1724" t="s">
        <v>13</v>
      </c>
      <c r="D1724" t="s">
        <v>102</v>
      </c>
      <c r="E1724">
        <v>2</v>
      </c>
      <c r="F1724" s="3">
        <v>2576.3056896551716</v>
      </c>
      <c r="G1724" s="4">
        <v>0.6</v>
      </c>
      <c r="H1724" s="3">
        <v>5152.6113793103432</v>
      </c>
      <c r="I1724" s="1">
        <v>45782</v>
      </c>
      <c r="J1724" t="s">
        <v>40</v>
      </c>
      <c r="K1724" t="s">
        <v>16</v>
      </c>
      <c r="L1724" s="3">
        <v>2061.0445517241374</v>
      </c>
      <c r="M1724" t="s">
        <v>11</v>
      </c>
    </row>
    <row r="1725" spans="1:13" x14ac:dyDescent="0.3">
      <c r="A1725">
        <v>2723</v>
      </c>
      <c r="B1725" t="s">
        <v>1757</v>
      </c>
      <c r="C1725" t="s">
        <v>33</v>
      </c>
      <c r="D1725" t="s">
        <v>72</v>
      </c>
      <c r="E1725">
        <v>2</v>
      </c>
      <c r="F1725" s="3">
        <v>2715.5458490566025</v>
      </c>
      <c r="G1725" s="4">
        <v>0.6</v>
      </c>
      <c r="H1725" s="3">
        <v>5431.091698113205</v>
      </c>
      <c r="I1725" s="1">
        <v>45709</v>
      </c>
      <c r="J1725" t="s">
        <v>46</v>
      </c>
      <c r="K1725" t="s">
        <v>23</v>
      </c>
      <c r="L1725" s="3">
        <v>2172.436679245282</v>
      </c>
      <c r="M1725" t="s">
        <v>11</v>
      </c>
    </row>
    <row r="1726" spans="1:13" x14ac:dyDescent="0.3">
      <c r="A1726">
        <v>2724</v>
      </c>
      <c r="B1726" t="s">
        <v>1758</v>
      </c>
      <c r="C1726" t="s">
        <v>13</v>
      </c>
      <c r="D1726" t="s">
        <v>14</v>
      </c>
      <c r="E1726">
        <v>2</v>
      </c>
      <c r="F1726" s="3">
        <v>716.3</v>
      </c>
      <c r="G1726" s="4">
        <v>0.6</v>
      </c>
      <c r="H1726" s="3">
        <v>1432.6</v>
      </c>
      <c r="I1726" s="1">
        <v>45726</v>
      </c>
      <c r="J1726" t="s">
        <v>15</v>
      </c>
      <c r="K1726" t="s">
        <v>16</v>
      </c>
      <c r="L1726" s="3">
        <v>573.04</v>
      </c>
      <c r="M1726" t="s">
        <v>11</v>
      </c>
    </row>
    <row r="1727" spans="1:13" x14ac:dyDescent="0.3">
      <c r="A1727">
        <v>2725</v>
      </c>
      <c r="B1727" t="s">
        <v>1759</v>
      </c>
      <c r="C1727" t="s">
        <v>20</v>
      </c>
      <c r="D1727" t="s">
        <v>122</v>
      </c>
      <c r="E1727">
        <v>2</v>
      </c>
      <c r="F1727" s="3">
        <v>2700.1263043478252</v>
      </c>
      <c r="G1727" s="4">
        <v>0.6</v>
      </c>
      <c r="H1727" s="3">
        <v>5400.2526086956505</v>
      </c>
      <c r="I1727" s="1">
        <v>45701</v>
      </c>
      <c r="J1727" t="s">
        <v>56</v>
      </c>
      <c r="K1727" t="s">
        <v>23</v>
      </c>
      <c r="L1727" s="3">
        <v>2160.1010434782602</v>
      </c>
      <c r="M1727" t="s">
        <v>11</v>
      </c>
    </row>
    <row r="1728" spans="1:13" x14ac:dyDescent="0.3">
      <c r="A1728">
        <v>2726</v>
      </c>
      <c r="B1728" t="s">
        <v>1760</v>
      </c>
      <c r="C1728" t="s">
        <v>38</v>
      </c>
      <c r="D1728" t="s">
        <v>59</v>
      </c>
      <c r="E1728">
        <v>2</v>
      </c>
      <c r="F1728" s="3">
        <v>2804.2651923076919</v>
      </c>
      <c r="G1728" s="4">
        <v>0.17</v>
      </c>
      <c r="H1728" s="3">
        <v>5608.5303846153838</v>
      </c>
      <c r="I1728" s="1">
        <v>45782</v>
      </c>
      <c r="J1728" t="s">
        <v>22</v>
      </c>
      <c r="K1728" t="s">
        <v>23</v>
      </c>
      <c r="L1728" s="3">
        <v>4655.0802192307683</v>
      </c>
      <c r="M1728" t="s">
        <v>11</v>
      </c>
    </row>
    <row r="1729" spans="1:13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F1729" s="3">
        <v>2559.6667307692314</v>
      </c>
      <c r="G1729" s="4">
        <v>0.6</v>
      </c>
      <c r="H1729" s="3">
        <v>5119.3334615384629</v>
      </c>
      <c r="I1729" s="1">
        <v>45161</v>
      </c>
      <c r="J1729" t="s">
        <v>18</v>
      </c>
      <c r="K1729" t="s">
        <v>23</v>
      </c>
      <c r="L1729" s="3">
        <v>2047.7333846153851</v>
      </c>
      <c r="M1729" t="s">
        <v>11</v>
      </c>
    </row>
    <row r="1730" spans="1:13" x14ac:dyDescent="0.3">
      <c r="A1730">
        <v>2728</v>
      </c>
      <c r="B1730" t="s">
        <v>1762</v>
      </c>
      <c r="C1730" t="s">
        <v>33</v>
      </c>
      <c r="D1730" t="s">
        <v>34</v>
      </c>
      <c r="E1730">
        <v>2</v>
      </c>
      <c r="F1730" s="3">
        <v>1935.05</v>
      </c>
      <c r="G1730" s="4">
        <v>0.6</v>
      </c>
      <c r="H1730" s="3">
        <v>3870.1</v>
      </c>
      <c r="I1730" s="1">
        <v>45625</v>
      </c>
      <c r="J1730" t="s">
        <v>40</v>
      </c>
      <c r="K1730" t="s">
        <v>23</v>
      </c>
      <c r="L1730" s="3">
        <v>1548.04</v>
      </c>
      <c r="M1730" t="s">
        <v>11</v>
      </c>
    </row>
    <row r="1731" spans="1:13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F1731" s="3">
        <v>2868.7768181818178</v>
      </c>
      <c r="G1731" s="4">
        <v>1.22</v>
      </c>
      <c r="H1731" s="3">
        <v>14343.884090909089</v>
      </c>
      <c r="I1731" s="1">
        <v>45782</v>
      </c>
      <c r="J1731" t="s">
        <v>18</v>
      </c>
      <c r="K1731" t="s">
        <v>23</v>
      </c>
      <c r="L1731" s="3">
        <v>-3155.6544999999992</v>
      </c>
      <c r="M1731" t="s">
        <v>2518</v>
      </c>
    </row>
    <row r="1732" spans="1:13" x14ac:dyDescent="0.3">
      <c r="A1732">
        <v>2730</v>
      </c>
      <c r="B1732" t="s">
        <v>1764</v>
      </c>
      <c r="C1732" t="s">
        <v>33</v>
      </c>
      <c r="D1732" t="s">
        <v>72</v>
      </c>
      <c r="E1732">
        <v>2</v>
      </c>
      <c r="F1732" s="3">
        <v>2715.5458490566025</v>
      </c>
      <c r="G1732" s="4">
        <v>0.6</v>
      </c>
      <c r="H1732" s="3">
        <v>5431.091698113205</v>
      </c>
      <c r="I1732" s="1">
        <v>45350</v>
      </c>
      <c r="J1732" t="s">
        <v>15</v>
      </c>
      <c r="K1732" t="s">
        <v>23</v>
      </c>
      <c r="L1732" s="3">
        <v>2172.436679245282</v>
      </c>
      <c r="M1732" t="s">
        <v>11</v>
      </c>
    </row>
    <row r="1733" spans="1:13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 s="3">
        <v>1635.12</v>
      </c>
      <c r="G1733" s="4">
        <v>0.6</v>
      </c>
      <c r="H1733" s="3">
        <v>-1635.12</v>
      </c>
      <c r="I1733" s="1">
        <v>45854</v>
      </c>
      <c r="J1733" t="s">
        <v>22</v>
      </c>
      <c r="K1733" t="s">
        <v>23</v>
      </c>
      <c r="L1733" s="3">
        <v>-654.048</v>
      </c>
      <c r="M1733" t="s">
        <v>2518</v>
      </c>
    </row>
    <row r="1734" spans="1:13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F1734" s="3">
        <v>2501.5309999999999</v>
      </c>
      <c r="G1734" s="4">
        <v>0.55000000000000004</v>
      </c>
      <c r="H1734" s="3">
        <v>15009.186</v>
      </c>
      <c r="I1734" s="1">
        <v>45782</v>
      </c>
      <c r="J1734" t="s">
        <v>56</v>
      </c>
      <c r="K1734" t="s">
        <v>16</v>
      </c>
      <c r="L1734" s="3">
        <v>6754.1336999999994</v>
      </c>
      <c r="M1734" t="s">
        <v>11</v>
      </c>
    </row>
    <row r="1735" spans="1:13" x14ac:dyDescent="0.3">
      <c r="A1735">
        <v>2733</v>
      </c>
      <c r="B1735" t="s">
        <v>1767</v>
      </c>
      <c r="C1735" t="s">
        <v>13</v>
      </c>
      <c r="D1735" t="s">
        <v>36</v>
      </c>
      <c r="E1735">
        <v>2</v>
      </c>
      <c r="F1735" s="3">
        <v>2882.5046551724135</v>
      </c>
      <c r="G1735" s="4">
        <v>0.6</v>
      </c>
      <c r="H1735" s="3">
        <v>5765.0093103448271</v>
      </c>
      <c r="I1735" s="1">
        <v>45562</v>
      </c>
      <c r="J1735" t="s">
        <v>22</v>
      </c>
      <c r="K1735" t="s">
        <v>23</v>
      </c>
      <c r="L1735" s="3">
        <v>2306.0037241379309</v>
      </c>
      <c r="M1735" t="s">
        <v>11</v>
      </c>
    </row>
    <row r="1736" spans="1:13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 s="3">
        <v>3261.51</v>
      </c>
      <c r="G1736" s="4">
        <v>0.82</v>
      </c>
      <c r="H1736" s="3">
        <v>13046.04</v>
      </c>
      <c r="I1736" s="1">
        <v>45782</v>
      </c>
      <c r="J1736" t="s">
        <v>56</v>
      </c>
      <c r="K1736" t="s">
        <v>23</v>
      </c>
      <c r="L1736" s="3">
        <v>2348.2872000000007</v>
      </c>
      <c r="M1736" t="s">
        <v>11</v>
      </c>
    </row>
    <row r="1737" spans="1:13" x14ac:dyDescent="0.3">
      <c r="A1737">
        <v>2735</v>
      </c>
      <c r="B1737" t="s">
        <v>1769</v>
      </c>
      <c r="C1737" t="s">
        <v>29</v>
      </c>
      <c r="D1737" t="s">
        <v>42</v>
      </c>
      <c r="E1737">
        <v>2</v>
      </c>
      <c r="F1737" s="3">
        <v>541.71</v>
      </c>
      <c r="G1737" s="4">
        <v>0.6</v>
      </c>
      <c r="H1737" s="3">
        <v>1083.42</v>
      </c>
      <c r="I1737" s="1">
        <v>45576</v>
      </c>
      <c r="J1737" t="s">
        <v>40</v>
      </c>
      <c r="K1737" t="s">
        <v>23</v>
      </c>
      <c r="L1737" s="3">
        <v>433.36800000000005</v>
      </c>
      <c r="M1737" t="s">
        <v>2518</v>
      </c>
    </row>
    <row r="1738" spans="1:13" x14ac:dyDescent="0.3">
      <c r="A1738">
        <v>2736</v>
      </c>
      <c r="B1738" t="s">
        <v>1770</v>
      </c>
      <c r="C1738" t="s">
        <v>13</v>
      </c>
      <c r="D1738" t="s">
        <v>14</v>
      </c>
      <c r="E1738">
        <v>2</v>
      </c>
      <c r="F1738" s="3">
        <v>2381.2677586206896</v>
      </c>
      <c r="G1738" s="4">
        <v>0.6</v>
      </c>
      <c r="H1738" s="3">
        <v>4762.5355172413792</v>
      </c>
      <c r="I1738" s="1">
        <v>45827</v>
      </c>
      <c r="J1738" t="s">
        <v>15</v>
      </c>
      <c r="K1738" t="s">
        <v>23</v>
      </c>
      <c r="L1738" s="3">
        <v>1905.0142068965517</v>
      </c>
      <c r="M1738" t="s">
        <v>11</v>
      </c>
    </row>
    <row r="1739" spans="1:13" x14ac:dyDescent="0.3">
      <c r="A1739">
        <v>2737</v>
      </c>
      <c r="B1739" t="s">
        <v>1771</v>
      </c>
      <c r="C1739" t="s">
        <v>29</v>
      </c>
      <c r="D1739" t="s">
        <v>120</v>
      </c>
      <c r="E1739">
        <v>2</v>
      </c>
      <c r="F1739" s="3">
        <v>1927.98</v>
      </c>
      <c r="G1739" s="4">
        <v>0.6</v>
      </c>
      <c r="H1739" s="3">
        <v>3855.96</v>
      </c>
      <c r="I1739" s="1">
        <v>45791</v>
      </c>
      <c r="J1739" t="s">
        <v>46</v>
      </c>
      <c r="K1739" t="s">
        <v>23</v>
      </c>
      <c r="L1739" s="3">
        <v>1542.384</v>
      </c>
      <c r="M1739" t="s">
        <v>11</v>
      </c>
    </row>
    <row r="1740" spans="1:13" x14ac:dyDescent="0.3">
      <c r="A1740">
        <v>2738</v>
      </c>
      <c r="B1740" t="s">
        <v>1772</v>
      </c>
      <c r="C1740" t="s">
        <v>38</v>
      </c>
      <c r="D1740" t="s">
        <v>63</v>
      </c>
      <c r="E1740">
        <v>2</v>
      </c>
      <c r="F1740" s="3">
        <v>2845.2419672131159</v>
      </c>
      <c r="G1740" s="4">
        <v>0.55000000000000004</v>
      </c>
      <c r="H1740" s="3">
        <v>5690.4839344262318</v>
      </c>
      <c r="I1740" s="1">
        <v>45655</v>
      </c>
      <c r="J1740" t="s">
        <v>22</v>
      </c>
      <c r="K1740" t="s">
        <v>23</v>
      </c>
      <c r="L1740" s="3">
        <v>2560.717770491804</v>
      </c>
      <c r="M1740" t="s">
        <v>11</v>
      </c>
    </row>
    <row r="1741" spans="1:13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 s="3">
        <v>4316.8500000000004</v>
      </c>
      <c r="G1741" s="4">
        <v>0.6</v>
      </c>
      <c r="H1741" s="3">
        <v>17267.400000000001</v>
      </c>
      <c r="I1741" s="1">
        <v>45268</v>
      </c>
      <c r="J1741" t="s">
        <v>18</v>
      </c>
      <c r="K1741" t="s">
        <v>23</v>
      </c>
      <c r="L1741" s="3">
        <v>6906.9600000000009</v>
      </c>
      <c r="M1741" t="s">
        <v>11</v>
      </c>
    </row>
    <row r="1742" spans="1:13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F1742" s="3">
        <v>2882.5046551724135</v>
      </c>
      <c r="G1742" s="4">
        <v>0.6</v>
      </c>
      <c r="H1742" s="3">
        <v>2882.5046551724135</v>
      </c>
      <c r="I1742" s="1">
        <v>45782</v>
      </c>
      <c r="J1742" t="s">
        <v>22</v>
      </c>
      <c r="K1742" t="s">
        <v>23</v>
      </c>
      <c r="L1742" s="3">
        <v>1153.0018620689655</v>
      </c>
      <c r="M1742" t="s">
        <v>11</v>
      </c>
    </row>
    <row r="1743" spans="1:13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F1743" s="3">
        <v>2483.5844000000002</v>
      </c>
      <c r="G1743" s="4">
        <v>0.53</v>
      </c>
      <c r="H1743" s="3">
        <v>2483.5844000000002</v>
      </c>
      <c r="I1743" s="1">
        <v>45563</v>
      </c>
      <c r="J1743" t="s">
        <v>22</v>
      </c>
      <c r="K1743" t="s">
        <v>16</v>
      </c>
      <c r="L1743" s="3">
        <v>1167.284668</v>
      </c>
      <c r="M1743" t="s">
        <v>11</v>
      </c>
    </row>
    <row r="1744" spans="1:13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F1744" s="3">
        <v>2617.6390384615388</v>
      </c>
      <c r="G1744" s="4">
        <v>0.6</v>
      </c>
      <c r="H1744" s="3">
        <v>-5235.2780769230776</v>
      </c>
      <c r="I1744" s="1">
        <v>45853</v>
      </c>
      <c r="J1744" t="s">
        <v>40</v>
      </c>
      <c r="K1744" t="s">
        <v>16</v>
      </c>
      <c r="L1744" s="3">
        <v>-2094.111230769231</v>
      </c>
      <c r="M1744" t="s">
        <v>2518</v>
      </c>
    </row>
    <row r="1745" spans="1:13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 s="3">
        <v>4146.91</v>
      </c>
      <c r="G1745" s="4">
        <v>1.03</v>
      </c>
      <c r="H1745" s="3">
        <v>-4146.91</v>
      </c>
      <c r="I1745" s="1">
        <v>45791</v>
      </c>
      <c r="J1745" t="s">
        <v>15</v>
      </c>
      <c r="K1745" t="s">
        <v>23</v>
      </c>
      <c r="L1745" s="3">
        <v>124.40730000000011</v>
      </c>
      <c r="M1745" t="s">
        <v>2518</v>
      </c>
    </row>
    <row r="1746" spans="1:13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F1746" s="3">
        <v>2487.039615384615</v>
      </c>
      <c r="G1746" s="4">
        <v>0.6</v>
      </c>
      <c r="H1746" s="3">
        <v>-4974.07923076923</v>
      </c>
      <c r="I1746" s="1">
        <v>45782</v>
      </c>
      <c r="J1746" t="s">
        <v>22</v>
      </c>
      <c r="K1746" t="s">
        <v>23</v>
      </c>
      <c r="L1746" s="3">
        <v>-1989.631692307692</v>
      </c>
      <c r="M1746" t="s">
        <v>2518</v>
      </c>
    </row>
    <row r="1747" spans="1:13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 s="3">
        <v>869.82</v>
      </c>
      <c r="G1747" s="4">
        <v>0.6</v>
      </c>
      <c r="H1747" s="3">
        <v>-869.82</v>
      </c>
      <c r="I1747" s="1">
        <v>45497</v>
      </c>
      <c r="J1747" t="s">
        <v>40</v>
      </c>
      <c r="K1747" t="s">
        <v>16</v>
      </c>
      <c r="L1747" s="3">
        <v>-347.92800000000005</v>
      </c>
      <c r="M1747" t="s">
        <v>2518</v>
      </c>
    </row>
    <row r="1748" spans="1:13" x14ac:dyDescent="0.3">
      <c r="A1748">
        <v>2746</v>
      </c>
      <c r="B1748" t="s">
        <v>1780</v>
      </c>
      <c r="C1748" t="s">
        <v>13</v>
      </c>
      <c r="D1748" t="s">
        <v>14</v>
      </c>
      <c r="E1748">
        <v>2</v>
      </c>
      <c r="F1748" s="3">
        <v>668.51</v>
      </c>
      <c r="G1748" s="4">
        <v>1.02</v>
      </c>
      <c r="H1748" s="3">
        <v>1337.02</v>
      </c>
      <c r="I1748" s="1">
        <v>45608</v>
      </c>
      <c r="J1748" t="s">
        <v>40</v>
      </c>
      <c r="K1748" t="s">
        <v>16</v>
      </c>
      <c r="L1748" s="3">
        <v>-26.740400000000022</v>
      </c>
      <c r="M1748" t="s">
        <v>2518</v>
      </c>
    </row>
    <row r="1749" spans="1:13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 s="3">
        <v>1369.29</v>
      </c>
      <c r="G1749" s="4">
        <v>0.6</v>
      </c>
      <c r="H1749" s="3">
        <v>1369.29</v>
      </c>
      <c r="I1749" s="1">
        <v>45796</v>
      </c>
      <c r="J1749" t="s">
        <v>22</v>
      </c>
      <c r="K1749" t="s">
        <v>16</v>
      </c>
      <c r="L1749" s="3">
        <v>547.71600000000001</v>
      </c>
      <c r="M1749" t="s">
        <v>11</v>
      </c>
    </row>
    <row r="1750" spans="1:13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 s="3">
        <v>3977.88</v>
      </c>
      <c r="G1750" s="4">
        <v>0.6</v>
      </c>
      <c r="H1750" s="3">
        <v>15911.52</v>
      </c>
      <c r="I1750" s="1">
        <v>45670</v>
      </c>
      <c r="J1750" t="s">
        <v>18</v>
      </c>
      <c r="K1750" t="s">
        <v>16</v>
      </c>
      <c r="L1750" s="3">
        <v>6364.6080000000002</v>
      </c>
      <c r="M1750" t="s">
        <v>11</v>
      </c>
    </row>
    <row r="1751" spans="1:13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F1751" s="3">
        <v>2681.1743636363635</v>
      </c>
      <c r="G1751" s="4">
        <v>0.6</v>
      </c>
      <c r="H1751" s="3">
        <v>13405.871818181819</v>
      </c>
      <c r="I1751" s="1">
        <v>45782</v>
      </c>
      <c r="J1751" t="s">
        <v>46</v>
      </c>
      <c r="K1751" t="s">
        <v>23</v>
      </c>
      <c r="L1751" s="3">
        <v>5362.348727272728</v>
      </c>
      <c r="M1751" t="s">
        <v>11</v>
      </c>
    </row>
    <row r="1752" spans="1:13" x14ac:dyDescent="0.3">
      <c r="A1752">
        <v>1049</v>
      </c>
      <c r="B1752" t="s">
        <v>1784</v>
      </c>
      <c r="C1752" t="s">
        <v>20</v>
      </c>
      <c r="D1752" t="s">
        <v>122</v>
      </c>
      <c r="E1752">
        <v>2</v>
      </c>
      <c r="F1752" s="3">
        <v>1360.22</v>
      </c>
      <c r="G1752" s="4">
        <v>0.6</v>
      </c>
      <c r="H1752" s="3">
        <v>2720.44</v>
      </c>
      <c r="I1752" s="1">
        <v>45761</v>
      </c>
      <c r="J1752" t="s">
        <v>22</v>
      </c>
      <c r="K1752" t="s">
        <v>23</v>
      </c>
      <c r="L1752" s="3">
        <v>1088.1760000000002</v>
      </c>
      <c r="M1752" t="s">
        <v>11</v>
      </c>
    </row>
    <row r="1753" spans="1:13" x14ac:dyDescent="0.3">
      <c r="A1753">
        <v>2751</v>
      </c>
      <c r="B1753" t="s">
        <v>1785</v>
      </c>
      <c r="C1753" t="s">
        <v>20</v>
      </c>
      <c r="D1753" t="s">
        <v>122</v>
      </c>
      <c r="E1753">
        <v>2</v>
      </c>
      <c r="F1753" s="3">
        <v>2700.1263043478252</v>
      </c>
      <c r="G1753" s="4">
        <v>0.98</v>
      </c>
      <c r="H1753" s="3">
        <v>5400.2526086956505</v>
      </c>
      <c r="I1753" s="1">
        <v>45642</v>
      </c>
      <c r="J1753" t="s">
        <v>40</v>
      </c>
      <c r="K1753" t="s">
        <v>23</v>
      </c>
      <c r="L1753" s="3">
        <v>108.0050521739131</v>
      </c>
      <c r="M1753" t="s">
        <v>2518</v>
      </c>
    </row>
    <row r="1754" spans="1:13" x14ac:dyDescent="0.3">
      <c r="A1754">
        <v>2752</v>
      </c>
      <c r="B1754" t="s">
        <v>1786</v>
      </c>
      <c r="C1754" t="s">
        <v>25</v>
      </c>
      <c r="D1754" t="s">
        <v>54</v>
      </c>
      <c r="E1754">
        <v>2</v>
      </c>
      <c r="F1754" s="3">
        <v>4552.8</v>
      </c>
      <c r="G1754" s="4">
        <v>1.01</v>
      </c>
      <c r="H1754" s="3">
        <v>9105.6</v>
      </c>
      <c r="I1754" s="1">
        <v>45782</v>
      </c>
      <c r="J1754" t="s">
        <v>46</v>
      </c>
      <c r="K1754" t="s">
        <v>23</v>
      </c>
      <c r="L1754" s="3">
        <v>-91.056000000000083</v>
      </c>
      <c r="M1754" t="s">
        <v>2518</v>
      </c>
    </row>
    <row r="1755" spans="1:13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 s="3">
        <v>4351.1099999999997</v>
      </c>
      <c r="G1755" s="4">
        <v>0.6</v>
      </c>
      <c r="H1755" s="3">
        <v>-4351.1099999999997</v>
      </c>
      <c r="I1755" s="1">
        <v>45518</v>
      </c>
      <c r="J1755" t="s">
        <v>46</v>
      </c>
      <c r="K1755" t="s">
        <v>16</v>
      </c>
      <c r="L1755" s="3">
        <v>-1740.444</v>
      </c>
      <c r="M1755" t="s">
        <v>2518</v>
      </c>
    </row>
    <row r="1756" spans="1:13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F1756" s="3">
        <v>2785.0877966101693</v>
      </c>
      <c r="G1756" s="4">
        <v>0.6</v>
      </c>
      <c r="H1756" s="3">
        <v>2785.0877966101693</v>
      </c>
      <c r="I1756" s="1">
        <v>45734</v>
      </c>
      <c r="J1756" t="s">
        <v>40</v>
      </c>
      <c r="K1756" t="s">
        <v>23</v>
      </c>
      <c r="L1756" s="3">
        <v>1114.0351186440678</v>
      </c>
      <c r="M1756" t="s">
        <v>11</v>
      </c>
    </row>
    <row r="1757" spans="1:13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F1757" s="3">
        <v>2830.1325714285731</v>
      </c>
      <c r="G1757" s="4">
        <v>0.32</v>
      </c>
      <c r="H1757" s="3">
        <v>-5660.2651428571462</v>
      </c>
      <c r="I1757" s="1">
        <v>45199</v>
      </c>
      <c r="J1757" t="s">
        <v>15</v>
      </c>
      <c r="K1757" t="s">
        <v>23</v>
      </c>
      <c r="L1757" s="3">
        <v>-3848.9802971428589</v>
      </c>
      <c r="M1757" t="s">
        <v>2518</v>
      </c>
    </row>
    <row r="1758" spans="1:13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F1758" s="3">
        <v>2715.5458490566025</v>
      </c>
      <c r="G1758" s="4">
        <v>0.6</v>
      </c>
      <c r="H1758" s="3">
        <v>16293.275094339615</v>
      </c>
      <c r="I1758" s="1">
        <v>45566</v>
      </c>
      <c r="J1758" t="s">
        <v>46</v>
      </c>
      <c r="K1758" t="s">
        <v>16</v>
      </c>
      <c r="L1758" s="3">
        <v>6517.310037735846</v>
      </c>
      <c r="M1758" t="s">
        <v>11</v>
      </c>
    </row>
    <row r="1759" spans="1:13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 s="3">
        <v>4923.95</v>
      </c>
      <c r="G1759" s="4">
        <v>0.6</v>
      </c>
      <c r="H1759" s="3">
        <v>14771.849999999999</v>
      </c>
      <c r="I1759" s="1">
        <v>45794</v>
      </c>
      <c r="J1759" t="s">
        <v>46</v>
      </c>
      <c r="K1759" t="s">
        <v>23</v>
      </c>
      <c r="L1759" s="3">
        <v>5908.74</v>
      </c>
      <c r="M1759" t="s">
        <v>11</v>
      </c>
    </row>
    <row r="1760" spans="1:13" x14ac:dyDescent="0.3">
      <c r="A1760">
        <v>1029</v>
      </c>
      <c r="B1760" t="s">
        <v>1792</v>
      </c>
      <c r="C1760" t="s">
        <v>33</v>
      </c>
      <c r="D1760" t="s">
        <v>44</v>
      </c>
      <c r="E1760">
        <v>2</v>
      </c>
      <c r="F1760" s="3">
        <v>2965.32</v>
      </c>
      <c r="G1760" s="4">
        <v>0.6</v>
      </c>
      <c r="H1760" s="3">
        <v>5930.64</v>
      </c>
      <c r="I1760" s="1">
        <v>45782</v>
      </c>
      <c r="J1760" t="s">
        <v>22</v>
      </c>
      <c r="K1760" t="s">
        <v>16</v>
      </c>
      <c r="L1760" s="3">
        <v>2372.2560000000003</v>
      </c>
      <c r="M1760" t="s">
        <v>11</v>
      </c>
    </row>
    <row r="1761" spans="1:13" x14ac:dyDescent="0.3">
      <c r="A1761">
        <v>2759</v>
      </c>
      <c r="B1761" t="s">
        <v>1793</v>
      </c>
      <c r="C1761" t="s">
        <v>25</v>
      </c>
      <c r="D1761" t="s">
        <v>86</v>
      </c>
      <c r="E1761">
        <v>2</v>
      </c>
      <c r="F1761" s="3">
        <v>2501.5309999999999</v>
      </c>
      <c r="G1761" s="4">
        <v>0.9</v>
      </c>
      <c r="H1761" s="3">
        <v>5003.0619999999999</v>
      </c>
      <c r="I1761" s="1">
        <v>45509</v>
      </c>
      <c r="J1761" t="s">
        <v>18</v>
      </c>
      <c r="K1761" t="s">
        <v>23</v>
      </c>
      <c r="L1761" s="3">
        <v>500.30619999999988</v>
      </c>
      <c r="M1761" t="s">
        <v>11</v>
      </c>
    </row>
    <row r="1762" spans="1:13" x14ac:dyDescent="0.3">
      <c r="A1762">
        <v>2760</v>
      </c>
      <c r="B1762" t="s">
        <v>1794</v>
      </c>
      <c r="C1762" t="s">
        <v>25</v>
      </c>
      <c r="D1762" t="s">
        <v>66</v>
      </c>
      <c r="E1762">
        <v>2</v>
      </c>
      <c r="F1762" s="3">
        <v>2572.7764000000006</v>
      </c>
      <c r="G1762" s="4">
        <v>0.6</v>
      </c>
      <c r="H1762" s="3">
        <v>5145.5528000000013</v>
      </c>
      <c r="I1762" s="1">
        <v>45586</v>
      </c>
      <c r="J1762" t="s">
        <v>15</v>
      </c>
      <c r="K1762" t="s">
        <v>23</v>
      </c>
      <c r="L1762" s="3">
        <v>2058.2211200000006</v>
      </c>
      <c r="M1762" t="s">
        <v>11</v>
      </c>
    </row>
    <row r="1763" spans="1:13" x14ac:dyDescent="0.3">
      <c r="A1763">
        <v>2761</v>
      </c>
      <c r="B1763" t="s">
        <v>1795</v>
      </c>
      <c r="C1763" t="s">
        <v>38</v>
      </c>
      <c r="D1763" t="s">
        <v>59</v>
      </c>
      <c r="E1763">
        <v>2</v>
      </c>
      <c r="F1763" s="3">
        <v>3586.76</v>
      </c>
      <c r="G1763" s="4">
        <v>0.6</v>
      </c>
      <c r="H1763" s="3">
        <v>7173.52</v>
      </c>
      <c r="I1763" s="1">
        <v>45752</v>
      </c>
      <c r="J1763" t="s">
        <v>46</v>
      </c>
      <c r="K1763" t="s">
        <v>16</v>
      </c>
      <c r="L1763" s="3">
        <v>2869.4080000000004</v>
      </c>
      <c r="M1763" t="s">
        <v>11</v>
      </c>
    </row>
    <row r="1764" spans="1:13" x14ac:dyDescent="0.3">
      <c r="A1764">
        <v>2762</v>
      </c>
      <c r="B1764" t="s">
        <v>1796</v>
      </c>
      <c r="C1764" t="s">
        <v>38</v>
      </c>
      <c r="D1764" t="s">
        <v>63</v>
      </c>
      <c r="E1764">
        <v>2</v>
      </c>
      <c r="F1764" s="3">
        <v>1278.8499999999999</v>
      </c>
      <c r="G1764" s="4">
        <v>0.6</v>
      </c>
      <c r="H1764" s="3">
        <v>2557.6999999999998</v>
      </c>
      <c r="I1764" s="1">
        <v>45670</v>
      </c>
      <c r="J1764" t="s">
        <v>56</v>
      </c>
      <c r="K1764" t="s">
        <v>23</v>
      </c>
      <c r="L1764" s="3">
        <v>1023.0799999999999</v>
      </c>
      <c r="M1764" t="s">
        <v>11</v>
      </c>
    </row>
    <row r="1765" spans="1:13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 s="3">
        <v>3360.01</v>
      </c>
      <c r="G1765" s="4">
        <v>0.6</v>
      </c>
      <c r="H1765" s="3">
        <v>10080.030000000001</v>
      </c>
      <c r="I1765" s="1">
        <v>45782</v>
      </c>
      <c r="J1765" t="s">
        <v>56</v>
      </c>
      <c r="K1765" t="s">
        <v>23</v>
      </c>
      <c r="L1765" s="3">
        <v>4032.0120000000006</v>
      </c>
      <c r="M1765" t="s">
        <v>11</v>
      </c>
    </row>
    <row r="1766" spans="1:13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F1766" s="3">
        <v>2830.1325714285731</v>
      </c>
      <c r="G1766" s="4">
        <v>0.6</v>
      </c>
      <c r="H1766" s="3">
        <v>8490.3977142857184</v>
      </c>
      <c r="I1766" s="1">
        <v>45593</v>
      </c>
      <c r="J1766" t="s">
        <v>18</v>
      </c>
      <c r="K1766" t="s">
        <v>23</v>
      </c>
      <c r="L1766" s="3">
        <v>3396.1590857142874</v>
      </c>
      <c r="M1766" t="s">
        <v>11</v>
      </c>
    </row>
    <row r="1767" spans="1:13" x14ac:dyDescent="0.3">
      <c r="A1767">
        <v>2765</v>
      </c>
      <c r="B1767" t="s">
        <v>1799</v>
      </c>
      <c r="C1767" t="s">
        <v>38</v>
      </c>
      <c r="D1767" t="s">
        <v>63</v>
      </c>
      <c r="E1767">
        <v>2</v>
      </c>
      <c r="F1767" s="3">
        <v>2845.2419672131159</v>
      </c>
      <c r="G1767" s="4">
        <v>0.6</v>
      </c>
      <c r="H1767" s="3">
        <v>5690.4839344262318</v>
      </c>
      <c r="I1767" s="1">
        <v>45834</v>
      </c>
      <c r="J1767" t="s">
        <v>46</v>
      </c>
      <c r="K1767" t="s">
        <v>23</v>
      </c>
      <c r="L1767" s="3">
        <v>2276.193573770493</v>
      </c>
      <c r="M1767" t="s">
        <v>11</v>
      </c>
    </row>
    <row r="1768" spans="1:13" x14ac:dyDescent="0.3">
      <c r="A1768">
        <v>2766</v>
      </c>
      <c r="B1768" t="s">
        <v>1800</v>
      </c>
      <c r="C1768" t="s">
        <v>13</v>
      </c>
      <c r="D1768" t="s">
        <v>49</v>
      </c>
      <c r="E1768">
        <v>2</v>
      </c>
      <c r="F1768" s="3">
        <v>2785.0877966101693</v>
      </c>
      <c r="G1768" s="4">
        <v>0.6</v>
      </c>
      <c r="H1768" s="3">
        <v>5570.1755932203387</v>
      </c>
      <c r="I1768" s="1">
        <v>45530</v>
      </c>
      <c r="J1768" t="s">
        <v>46</v>
      </c>
      <c r="K1768" t="s">
        <v>16</v>
      </c>
      <c r="L1768" s="3">
        <v>2228.0702372881356</v>
      </c>
      <c r="M1768" t="s">
        <v>11</v>
      </c>
    </row>
    <row r="1769" spans="1:13" x14ac:dyDescent="0.3">
      <c r="A1769">
        <v>2767</v>
      </c>
      <c r="B1769" t="s">
        <v>1801</v>
      </c>
      <c r="C1769" t="s">
        <v>33</v>
      </c>
      <c r="D1769" t="s">
        <v>72</v>
      </c>
      <c r="E1769">
        <v>2</v>
      </c>
      <c r="F1769" s="3">
        <v>4149.42</v>
      </c>
      <c r="G1769" s="4">
        <v>0.13</v>
      </c>
      <c r="H1769" s="3">
        <v>8298.84</v>
      </c>
      <c r="I1769" s="1">
        <v>45782</v>
      </c>
      <c r="J1769" t="s">
        <v>56</v>
      </c>
      <c r="K1769" t="s">
        <v>23</v>
      </c>
      <c r="L1769" s="3">
        <v>7219.9908000000005</v>
      </c>
      <c r="M1769" t="s">
        <v>11</v>
      </c>
    </row>
    <row r="1770" spans="1:13" x14ac:dyDescent="0.3">
      <c r="A1770">
        <v>2768</v>
      </c>
      <c r="B1770" t="s">
        <v>1802</v>
      </c>
      <c r="C1770" t="s">
        <v>33</v>
      </c>
      <c r="D1770" t="s">
        <v>44</v>
      </c>
      <c r="E1770">
        <v>2</v>
      </c>
      <c r="F1770" s="3">
        <v>2841.7630612244907</v>
      </c>
      <c r="G1770" s="4">
        <v>0.69</v>
      </c>
      <c r="H1770" s="3">
        <v>5683.5261224489814</v>
      </c>
      <c r="I1770" s="1">
        <v>45822</v>
      </c>
      <c r="J1770" t="s">
        <v>46</v>
      </c>
      <c r="K1770" t="s">
        <v>16</v>
      </c>
      <c r="L1770" s="3">
        <v>1761.8930979591846</v>
      </c>
      <c r="M1770" t="s">
        <v>11</v>
      </c>
    </row>
    <row r="1771" spans="1:13" x14ac:dyDescent="0.3">
      <c r="A1771">
        <v>2769</v>
      </c>
      <c r="B1771" t="s">
        <v>1803</v>
      </c>
      <c r="C1771" t="s">
        <v>33</v>
      </c>
      <c r="D1771" t="s">
        <v>82</v>
      </c>
      <c r="E1771">
        <v>2</v>
      </c>
      <c r="F1771" s="3">
        <v>2776.2202000000002</v>
      </c>
      <c r="G1771" s="4">
        <v>0.6</v>
      </c>
      <c r="H1771" s="3">
        <v>5552.4404000000004</v>
      </c>
      <c r="I1771" s="1">
        <v>45690</v>
      </c>
      <c r="J1771" t="s">
        <v>18</v>
      </c>
      <c r="K1771" t="s">
        <v>23</v>
      </c>
      <c r="L1771" s="3">
        <v>2220.9761600000002</v>
      </c>
      <c r="M1771" t="s">
        <v>11</v>
      </c>
    </row>
    <row r="1772" spans="1:13" x14ac:dyDescent="0.3">
      <c r="A1772">
        <v>2770</v>
      </c>
      <c r="B1772" t="s">
        <v>1804</v>
      </c>
      <c r="C1772" t="s">
        <v>33</v>
      </c>
      <c r="D1772" t="s">
        <v>72</v>
      </c>
      <c r="E1772">
        <v>2</v>
      </c>
      <c r="F1772" s="3">
        <v>1439.18</v>
      </c>
      <c r="G1772" s="4">
        <v>0.49</v>
      </c>
      <c r="H1772" s="3">
        <v>2878.36</v>
      </c>
      <c r="I1772" s="1">
        <v>45760</v>
      </c>
      <c r="J1772" t="s">
        <v>46</v>
      </c>
      <c r="K1772" t="s">
        <v>16</v>
      </c>
      <c r="L1772" s="3">
        <v>1467.9636</v>
      </c>
      <c r="M1772" t="s">
        <v>11</v>
      </c>
    </row>
    <row r="1773" spans="1:13" x14ac:dyDescent="0.3">
      <c r="A1773">
        <v>1032</v>
      </c>
      <c r="B1773" t="s">
        <v>1805</v>
      </c>
      <c r="C1773" t="s">
        <v>25</v>
      </c>
      <c r="D1773" t="s">
        <v>26</v>
      </c>
      <c r="E1773">
        <v>2</v>
      </c>
      <c r="F1773" s="3">
        <v>3956.83</v>
      </c>
      <c r="G1773" s="4">
        <v>0.6</v>
      </c>
      <c r="H1773" s="3">
        <v>7913.66</v>
      </c>
      <c r="I1773" s="1">
        <v>45620</v>
      </c>
      <c r="J1773" t="s">
        <v>56</v>
      </c>
      <c r="K1773" t="s">
        <v>23</v>
      </c>
      <c r="L1773" s="3">
        <v>3165.4639999999999</v>
      </c>
      <c r="M1773" t="s">
        <v>11</v>
      </c>
    </row>
    <row r="1774" spans="1:13" x14ac:dyDescent="0.3">
      <c r="A1774">
        <v>2772</v>
      </c>
      <c r="B1774" t="s">
        <v>1806</v>
      </c>
      <c r="C1774" t="s">
        <v>13</v>
      </c>
      <c r="D1774" t="s">
        <v>102</v>
      </c>
      <c r="E1774">
        <v>2</v>
      </c>
      <c r="F1774" s="3">
        <v>2576.3056896551716</v>
      </c>
      <c r="G1774" s="4">
        <v>0.6</v>
      </c>
      <c r="H1774" s="3">
        <v>5152.6113793103432</v>
      </c>
      <c r="I1774" s="1">
        <v>45342</v>
      </c>
      <c r="J1774" t="s">
        <v>56</v>
      </c>
      <c r="K1774" t="s">
        <v>23</v>
      </c>
      <c r="L1774" s="3">
        <v>2061.0445517241374</v>
      </c>
      <c r="M1774" t="s">
        <v>11</v>
      </c>
    </row>
    <row r="1775" spans="1:13" x14ac:dyDescent="0.3">
      <c r="A1775">
        <v>2773</v>
      </c>
      <c r="B1775" t="s">
        <v>1807</v>
      </c>
      <c r="C1775" t="s">
        <v>20</v>
      </c>
      <c r="D1775" t="s">
        <v>80</v>
      </c>
      <c r="E1775">
        <v>2</v>
      </c>
      <c r="F1775" s="3">
        <v>2483.5844000000002</v>
      </c>
      <c r="G1775" s="4">
        <v>0.6</v>
      </c>
      <c r="H1775" s="3">
        <v>4967.1688000000004</v>
      </c>
      <c r="I1775" s="1">
        <v>45782</v>
      </c>
      <c r="J1775" t="s">
        <v>18</v>
      </c>
      <c r="K1775" t="s">
        <v>16</v>
      </c>
      <c r="L1775" s="3">
        <v>1986.8675200000002</v>
      </c>
      <c r="M1775" t="s">
        <v>11</v>
      </c>
    </row>
    <row r="1776" spans="1:13" x14ac:dyDescent="0.3">
      <c r="A1776">
        <v>2774</v>
      </c>
      <c r="B1776" t="s">
        <v>1808</v>
      </c>
      <c r="C1776" t="s">
        <v>29</v>
      </c>
      <c r="D1776" t="s">
        <v>42</v>
      </c>
      <c r="E1776">
        <v>2</v>
      </c>
      <c r="F1776" s="3">
        <v>2559.6667307692314</v>
      </c>
      <c r="G1776" s="4">
        <v>0.6</v>
      </c>
      <c r="H1776" s="3">
        <v>5119.3334615384629</v>
      </c>
      <c r="I1776" s="1">
        <v>45497</v>
      </c>
      <c r="J1776" t="s">
        <v>22</v>
      </c>
      <c r="K1776" t="s">
        <v>23</v>
      </c>
      <c r="L1776" s="3">
        <v>2047.7333846153851</v>
      </c>
      <c r="M1776" t="s">
        <v>11</v>
      </c>
    </row>
    <row r="1777" spans="1:13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F1777" s="3">
        <v>2530.3836538461546</v>
      </c>
      <c r="G1777" s="4">
        <v>0.46</v>
      </c>
      <c r="H1777" s="3">
        <v>12651.918269230773</v>
      </c>
      <c r="I1777" s="1">
        <v>45504</v>
      </c>
      <c r="J1777" t="s">
        <v>18</v>
      </c>
      <c r="K1777" t="s">
        <v>23</v>
      </c>
      <c r="L1777" s="3">
        <v>6832.0358653846179</v>
      </c>
      <c r="M1777" t="s">
        <v>11</v>
      </c>
    </row>
    <row r="1778" spans="1:13" x14ac:dyDescent="0.3">
      <c r="A1778">
        <v>2776</v>
      </c>
      <c r="B1778" t="s">
        <v>1810</v>
      </c>
      <c r="C1778" t="s">
        <v>20</v>
      </c>
      <c r="D1778" t="s">
        <v>122</v>
      </c>
      <c r="E1778">
        <v>2</v>
      </c>
      <c r="F1778" s="3">
        <v>891.42</v>
      </c>
      <c r="G1778" s="4">
        <v>0.6</v>
      </c>
      <c r="H1778" s="3">
        <v>1782.84</v>
      </c>
      <c r="I1778" s="1">
        <v>45617</v>
      </c>
      <c r="J1778" t="s">
        <v>22</v>
      </c>
      <c r="K1778" t="s">
        <v>16</v>
      </c>
      <c r="L1778" s="3">
        <v>713.13599999999997</v>
      </c>
      <c r="M1778" t="s">
        <v>11</v>
      </c>
    </row>
    <row r="1779" spans="1:13" x14ac:dyDescent="0.3">
      <c r="A1779">
        <v>2777</v>
      </c>
      <c r="B1779" t="s">
        <v>1811</v>
      </c>
      <c r="C1779" t="s">
        <v>25</v>
      </c>
      <c r="D1779" t="s">
        <v>54</v>
      </c>
      <c r="E1779">
        <v>2</v>
      </c>
      <c r="F1779" s="3">
        <v>2530.3836538461546</v>
      </c>
      <c r="G1779" s="4">
        <v>0.42</v>
      </c>
      <c r="H1779" s="3">
        <v>5060.7673076923093</v>
      </c>
      <c r="I1779" s="1">
        <v>45638</v>
      </c>
      <c r="J1779" t="s">
        <v>46</v>
      </c>
      <c r="K1779" t="s">
        <v>23</v>
      </c>
      <c r="L1779" s="3">
        <v>2935.2450384615399</v>
      </c>
      <c r="M1779" t="s">
        <v>11</v>
      </c>
    </row>
    <row r="1780" spans="1:13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 s="3">
        <v>578.58000000000004</v>
      </c>
      <c r="G1780" s="4">
        <v>1.0900000000000001</v>
      </c>
      <c r="H1780" s="3">
        <v>0</v>
      </c>
      <c r="I1780" s="1">
        <v>45671</v>
      </c>
      <c r="J1780" t="s">
        <v>18</v>
      </c>
      <c r="K1780" t="s">
        <v>23</v>
      </c>
      <c r="L1780" s="3">
        <v>0</v>
      </c>
      <c r="M1780" t="s">
        <v>2518</v>
      </c>
    </row>
    <row r="1781" spans="1:13" x14ac:dyDescent="0.3">
      <c r="A1781">
        <v>2779</v>
      </c>
      <c r="B1781" t="s">
        <v>1813</v>
      </c>
      <c r="C1781" t="s">
        <v>33</v>
      </c>
      <c r="D1781" t="s">
        <v>34</v>
      </c>
      <c r="E1781">
        <v>2</v>
      </c>
      <c r="F1781" s="3">
        <v>2487.039615384615</v>
      </c>
      <c r="G1781" s="4">
        <v>0.4</v>
      </c>
      <c r="H1781" s="3">
        <v>4974.07923076923</v>
      </c>
      <c r="I1781" s="1">
        <v>45774</v>
      </c>
      <c r="J1781" t="s">
        <v>46</v>
      </c>
      <c r="K1781" t="s">
        <v>23</v>
      </c>
      <c r="L1781" s="3">
        <v>2984.447538461538</v>
      </c>
      <c r="M1781" t="s">
        <v>11</v>
      </c>
    </row>
    <row r="1782" spans="1:13" x14ac:dyDescent="0.3">
      <c r="A1782">
        <v>2780</v>
      </c>
      <c r="B1782" t="s">
        <v>1814</v>
      </c>
      <c r="C1782" t="s">
        <v>38</v>
      </c>
      <c r="D1782" t="s">
        <v>39</v>
      </c>
      <c r="E1782">
        <v>2</v>
      </c>
      <c r="F1782" s="3">
        <v>2534.9</v>
      </c>
      <c r="G1782" s="4">
        <v>0.6</v>
      </c>
      <c r="H1782" s="3">
        <v>5069.8</v>
      </c>
      <c r="I1782" s="1">
        <v>45781</v>
      </c>
      <c r="J1782" t="s">
        <v>18</v>
      </c>
      <c r="K1782" t="s">
        <v>23</v>
      </c>
      <c r="L1782" s="3">
        <v>2027.92</v>
      </c>
      <c r="M1782" t="s">
        <v>11</v>
      </c>
    </row>
    <row r="1783" spans="1:13" x14ac:dyDescent="0.3">
      <c r="A1783">
        <v>2781</v>
      </c>
      <c r="B1783" t="s">
        <v>1815</v>
      </c>
      <c r="C1783" t="s">
        <v>13</v>
      </c>
      <c r="D1783" t="s">
        <v>49</v>
      </c>
      <c r="E1783">
        <v>2</v>
      </c>
      <c r="F1783" s="3">
        <v>2785.0877966101693</v>
      </c>
      <c r="G1783" s="4">
        <v>1.07</v>
      </c>
      <c r="H1783" s="3">
        <v>5570.1755932203387</v>
      </c>
      <c r="I1783" s="1">
        <v>45780</v>
      </c>
      <c r="J1783" t="s">
        <v>18</v>
      </c>
      <c r="K1783" t="s">
        <v>16</v>
      </c>
      <c r="L1783" s="3">
        <v>-389.91229152542405</v>
      </c>
      <c r="M1783" t="s">
        <v>2518</v>
      </c>
    </row>
    <row r="1784" spans="1:13" x14ac:dyDescent="0.3">
      <c r="A1784">
        <v>2782</v>
      </c>
      <c r="B1784" t="s">
        <v>1816</v>
      </c>
      <c r="C1784" t="s">
        <v>13</v>
      </c>
      <c r="D1784" t="s">
        <v>102</v>
      </c>
      <c r="E1784">
        <v>2</v>
      </c>
      <c r="F1784" s="3">
        <v>449.09</v>
      </c>
      <c r="G1784" s="4">
        <v>0.6</v>
      </c>
      <c r="H1784" s="3">
        <v>898.18</v>
      </c>
      <c r="I1784" s="1">
        <v>45782</v>
      </c>
      <c r="J1784" t="s">
        <v>22</v>
      </c>
      <c r="K1784" t="s">
        <v>23</v>
      </c>
      <c r="L1784" s="3">
        <v>359.27199999999999</v>
      </c>
      <c r="M1784" t="s">
        <v>2518</v>
      </c>
    </row>
    <row r="1785" spans="1:13" x14ac:dyDescent="0.3">
      <c r="A1785">
        <v>2783</v>
      </c>
      <c r="B1785" t="s">
        <v>1817</v>
      </c>
      <c r="C1785" t="s">
        <v>29</v>
      </c>
      <c r="D1785" t="s">
        <v>30</v>
      </c>
      <c r="E1785">
        <v>2</v>
      </c>
      <c r="F1785" s="3">
        <v>2617.6390384615388</v>
      </c>
      <c r="G1785" s="4">
        <v>0.6</v>
      </c>
      <c r="H1785" s="3">
        <v>5235.2780769230776</v>
      </c>
      <c r="I1785" s="1">
        <v>45547</v>
      </c>
      <c r="J1785" t="s">
        <v>22</v>
      </c>
      <c r="K1785" t="s">
        <v>16</v>
      </c>
      <c r="L1785" s="3">
        <v>2094.111230769231</v>
      </c>
      <c r="M1785" t="s">
        <v>11</v>
      </c>
    </row>
    <row r="1786" spans="1:13" x14ac:dyDescent="0.3">
      <c r="A1786">
        <v>2784</v>
      </c>
      <c r="B1786" t="s">
        <v>1818</v>
      </c>
      <c r="C1786" t="s">
        <v>20</v>
      </c>
      <c r="D1786" t="s">
        <v>80</v>
      </c>
      <c r="E1786">
        <v>2</v>
      </c>
      <c r="F1786" s="3">
        <v>2483.5844000000002</v>
      </c>
      <c r="G1786" s="4">
        <v>0.6</v>
      </c>
      <c r="H1786" s="3">
        <v>4967.1688000000004</v>
      </c>
      <c r="I1786" s="1">
        <v>45660</v>
      </c>
      <c r="J1786" t="s">
        <v>46</v>
      </c>
      <c r="K1786" t="s">
        <v>16</v>
      </c>
      <c r="L1786" s="3">
        <v>1986.8675200000002</v>
      </c>
      <c r="M1786" t="s">
        <v>11</v>
      </c>
    </row>
    <row r="1787" spans="1:13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F1787" s="3">
        <v>2530.3836538461546</v>
      </c>
      <c r="G1787" s="4">
        <v>0.6</v>
      </c>
      <c r="H1787" s="3">
        <v>0</v>
      </c>
      <c r="I1787" s="1">
        <v>45569</v>
      </c>
      <c r="J1787" t="s">
        <v>22</v>
      </c>
      <c r="K1787" t="s">
        <v>23</v>
      </c>
      <c r="L1787" s="3">
        <v>0</v>
      </c>
      <c r="M1787" t="s">
        <v>2518</v>
      </c>
    </row>
    <row r="1788" spans="1:13" x14ac:dyDescent="0.3">
      <c r="A1788">
        <v>1026</v>
      </c>
      <c r="B1788" t="s">
        <v>1820</v>
      </c>
      <c r="C1788" t="s">
        <v>20</v>
      </c>
      <c r="D1788" t="s">
        <v>88</v>
      </c>
      <c r="E1788">
        <v>2</v>
      </c>
      <c r="F1788" s="3">
        <v>2725.8557142857148</v>
      </c>
      <c r="G1788" s="4">
        <v>0.03</v>
      </c>
      <c r="H1788" s="3">
        <v>5451.7114285714297</v>
      </c>
      <c r="I1788" s="1">
        <v>45561</v>
      </c>
      <c r="J1788" t="s">
        <v>15</v>
      </c>
      <c r="K1788" t="s">
        <v>23</v>
      </c>
      <c r="L1788" s="3">
        <v>5288.1600857142867</v>
      </c>
      <c r="M1788" t="s">
        <v>11</v>
      </c>
    </row>
    <row r="1789" spans="1:13" x14ac:dyDescent="0.3">
      <c r="A1789">
        <v>2787</v>
      </c>
      <c r="B1789" t="s">
        <v>1821</v>
      </c>
      <c r="C1789" t="s">
        <v>29</v>
      </c>
      <c r="D1789" t="s">
        <v>141</v>
      </c>
      <c r="E1789">
        <v>2</v>
      </c>
      <c r="F1789" s="3">
        <v>2462.79</v>
      </c>
      <c r="G1789" s="4">
        <v>0.6</v>
      </c>
      <c r="H1789" s="3">
        <v>4925.58</v>
      </c>
      <c r="I1789" s="1">
        <v>45782</v>
      </c>
      <c r="J1789" t="s">
        <v>56</v>
      </c>
      <c r="K1789" t="s">
        <v>23</v>
      </c>
      <c r="L1789" s="3">
        <v>1970.232</v>
      </c>
      <c r="M1789" t="s">
        <v>11</v>
      </c>
    </row>
    <row r="1790" spans="1:13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 s="3">
        <v>3267.28</v>
      </c>
      <c r="G1790" s="4">
        <v>0.6</v>
      </c>
      <c r="H1790" s="3">
        <v>-3267.28</v>
      </c>
      <c r="I1790" s="1">
        <v>45742</v>
      </c>
      <c r="J1790" t="s">
        <v>40</v>
      </c>
      <c r="K1790" t="s">
        <v>23</v>
      </c>
      <c r="L1790" s="3">
        <v>-1306.9120000000003</v>
      </c>
      <c r="M1790" t="s">
        <v>2518</v>
      </c>
    </row>
    <row r="1791" spans="1:13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 s="3">
        <v>3735.56</v>
      </c>
      <c r="G1791" s="4">
        <v>0.6</v>
      </c>
      <c r="H1791" s="3">
        <v>11206.68</v>
      </c>
      <c r="I1791" s="1">
        <v>45782</v>
      </c>
      <c r="J1791" t="s">
        <v>46</v>
      </c>
      <c r="K1791" t="s">
        <v>16</v>
      </c>
      <c r="L1791" s="3">
        <v>4482.6720000000005</v>
      </c>
      <c r="M1791" t="s">
        <v>11</v>
      </c>
    </row>
    <row r="1792" spans="1:13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 s="3">
        <v>2675.27</v>
      </c>
      <c r="G1792" s="4">
        <v>0.41</v>
      </c>
      <c r="H1792" s="3">
        <v>8025.8099999999995</v>
      </c>
      <c r="I1792" s="1">
        <v>45605</v>
      </c>
      <c r="J1792" t="s">
        <v>15</v>
      </c>
      <c r="K1792" t="s">
        <v>23</v>
      </c>
      <c r="L1792" s="3">
        <v>4735.2279000000008</v>
      </c>
      <c r="M1792" t="s">
        <v>11</v>
      </c>
    </row>
    <row r="1793" spans="1:13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F1793" s="3">
        <v>2715.5458490566025</v>
      </c>
      <c r="G1793" s="4">
        <v>0.6</v>
      </c>
      <c r="H1793" s="3">
        <v>8146.6375471698075</v>
      </c>
      <c r="I1793" s="1">
        <v>45604</v>
      </c>
      <c r="J1793" t="s">
        <v>46</v>
      </c>
      <c r="K1793" t="s">
        <v>23</v>
      </c>
      <c r="L1793" s="3">
        <v>3258.655018867923</v>
      </c>
      <c r="M1793" t="s">
        <v>11</v>
      </c>
    </row>
    <row r="1794" spans="1:13" x14ac:dyDescent="0.3">
      <c r="A1794">
        <v>2792</v>
      </c>
      <c r="B1794" t="s">
        <v>1826</v>
      </c>
      <c r="C1794" t="s">
        <v>33</v>
      </c>
      <c r="D1794" t="s">
        <v>82</v>
      </c>
      <c r="E1794">
        <v>2</v>
      </c>
      <c r="F1794" s="3">
        <v>1039.1500000000001</v>
      </c>
      <c r="G1794" s="4">
        <v>0.6</v>
      </c>
      <c r="H1794" s="3">
        <v>2078.3000000000002</v>
      </c>
      <c r="I1794" s="1">
        <v>45782</v>
      </c>
      <c r="J1794" t="s">
        <v>46</v>
      </c>
      <c r="K1794" t="s">
        <v>16</v>
      </c>
      <c r="L1794" s="3">
        <v>831.32000000000016</v>
      </c>
      <c r="M1794" t="s">
        <v>11</v>
      </c>
    </row>
    <row r="1795" spans="1:13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 s="3">
        <v>4836.47</v>
      </c>
      <c r="G1795" s="4">
        <v>0.6</v>
      </c>
      <c r="H1795" s="3">
        <v>-9672.94</v>
      </c>
      <c r="I1795" s="1">
        <v>45735</v>
      </c>
      <c r="J1795" t="s">
        <v>18</v>
      </c>
      <c r="K1795" t="s">
        <v>16</v>
      </c>
      <c r="L1795" s="3">
        <v>-3869.1760000000004</v>
      </c>
      <c r="M1795" t="s">
        <v>2518</v>
      </c>
    </row>
    <row r="1796" spans="1:13" x14ac:dyDescent="0.3">
      <c r="A1796">
        <v>2794</v>
      </c>
      <c r="B1796" t="s">
        <v>1828</v>
      </c>
      <c r="C1796" t="s">
        <v>38</v>
      </c>
      <c r="D1796" t="s">
        <v>91</v>
      </c>
      <c r="E1796">
        <v>2</v>
      </c>
      <c r="F1796" s="3">
        <v>2868.7768181818178</v>
      </c>
      <c r="G1796" s="4">
        <v>0.6</v>
      </c>
      <c r="H1796" s="3">
        <v>5737.5536363636356</v>
      </c>
      <c r="I1796" s="1">
        <v>45685</v>
      </c>
      <c r="J1796" t="s">
        <v>40</v>
      </c>
      <c r="K1796" t="s">
        <v>16</v>
      </c>
      <c r="L1796" s="3">
        <v>2295.0214545454542</v>
      </c>
      <c r="M1796" t="s">
        <v>11</v>
      </c>
    </row>
    <row r="1797" spans="1:13" x14ac:dyDescent="0.3">
      <c r="A1797">
        <v>2795</v>
      </c>
      <c r="B1797" t="s">
        <v>1829</v>
      </c>
      <c r="C1797" t="s">
        <v>13</v>
      </c>
      <c r="D1797" t="s">
        <v>36</v>
      </c>
      <c r="E1797">
        <v>2</v>
      </c>
      <c r="F1797" s="3">
        <v>2882.5046551724135</v>
      </c>
      <c r="G1797" s="4">
        <v>0.6</v>
      </c>
      <c r="H1797" s="3">
        <v>5765.0093103448271</v>
      </c>
      <c r="I1797" s="1">
        <v>45782</v>
      </c>
      <c r="J1797" t="s">
        <v>22</v>
      </c>
      <c r="K1797" t="s">
        <v>16</v>
      </c>
      <c r="L1797" s="3">
        <v>2306.0037241379309</v>
      </c>
      <c r="M1797" t="s">
        <v>11</v>
      </c>
    </row>
    <row r="1798" spans="1:13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F1798" s="3">
        <v>2681.1743636363635</v>
      </c>
      <c r="G1798" s="4">
        <v>0.6</v>
      </c>
      <c r="H1798" s="3">
        <v>8043.5230909090906</v>
      </c>
      <c r="I1798" s="1">
        <v>45782</v>
      </c>
      <c r="J1798" t="s">
        <v>15</v>
      </c>
      <c r="K1798" t="s">
        <v>23</v>
      </c>
      <c r="L1798" s="3">
        <v>3217.4092363636364</v>
      </c>
      <c r="M1798" t="s">
        <v>11</v>
      </c>
    </row>
    <row r="1799" spans="1:13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 s="3">
        <v>1257.81</v>
      </c>
      <c r="G1799" s="4">
        <v>0.6</v>
      </c>
      <c r="H1799" s="3">
        <v>-1257.81</v>
      </c>
      <c r="I1799" s="1">
        <v>45796</v>
      </c>
      <c r="J1799" t="s">
        <v>18</v>
      </c>
      <c r="K1799" t="s">
        <v>16</v>
      </c>
      <c r="L1799" s="3">
        <v>-503.12400000000002</v>
      </c>
      <c r="M1799" t="s">
        <v>2518</v>
      </c>
    </row>
    <row r="1800" spans="1:13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F1800" s="3">
        <v>2845.2419672131159</v>
      </c>
      <c r="G1800" s="4">
        <v>0.6</v>
      </c>
      <c r="H1800" s="3">
        <v>0</v>
      </c>
      <c r="I1800" s="1">
        <v>45731</v>
      </c>
      <c r="J1800" t="s">
        <v>46</v>
      </c>
      <c r="K1800" t="s">
        <v>16</v>
      </c>
      <c r="L1800" s="3">
        <v>0</v>
      </c>
      <c r="M1800" t="s">
        <v>2518</v>
      </c>
    </row>
    <row r="1801" spans="1:13" x14ac:dyDescent="0.3">
      <c r="A1801">
        <v>2799</v>
      </c>
      <c r="B1801" t="s">
        <v>1833</v>
      </c>
      <c r="C1801" t="s">
        <v>33</v>
      </c>
      <c r="D1801" t="s">
        <v>72</v>
      </c>
      <c r="E1801">
        <v>2</v>
      </c>
      <c r="F1801" s="3">
        <v>2715.5458490566025</v>
      </c>
      <c r="G1801" s="4">
        <v>0.6</v>
      </c>
      <c r="H1801" s="3">
        <v>5431.091698113205</v>
      </c>
      <c r="I1801" s="1">
        <v>45735</v>
      </c>
      <c r="J1801" t="s">
        <v>46</v>
      </c>
      <c r="K1801" t="s">
        <v>23</v>
      </c>
      <c r="L1801" s="3">
        <v>2172.436679245282</v>
      </c>
      <c r="M1801" t="s">
        <v>11</v>
      </c>
    </row>
    <row r="1802" spans="1:13" x14ac:dyDescent="0.3">
      <c r="A1802">
        <v>2800</v>
      </c>
      <c r="B1802" t="s">
        <v>1834</v>
      </c>
      <c r="C1802" t="s">
        <v>13</v>
      </c>
      <c r="D1802" t="s">
        <v>36</v>
      </c>
      <c r="E1802">
        <v>2</v>
      </c>
      <c r="F1802" s="3">
        <v>3410.38</v>
      </c>
      <c r="G1802" s="4">
        <v>0.6</v>
      </c>
      <c r="H1802" s="3">
        <v>6820.76</v>
      </c>
      <c r="I1802" s="1">
        <v>45539</v>
      </c>
      <c r="J1802" t="s">
        <v>56</v>
      </c>
      <c r="K1802" t="s">
        <v>23</v>
      </c>
      <c r="L1802" s="3">
        <v>2728.3040000000001</v>
      </c>
      <c r="M1802" t="s">
        <v>11</v>
      </c>
    </row>
    <row r="1803" spans="1:13" x14ac:dyDescent="0.3">
      <c r="A1803">
        <v>2801</v>
      </c>
      <c r="B1803" t="s">
        <v>1835</v>
      </c>
      <c r="C1803" t="s">
        <v>29</v>
      </c>
      <c r="D1803" t="s">
        <v>120</v>
      </c>
      <c r="E1803">
        <v>2</v>
      </c>
      <c r="F1803" s="3">
        <v>1870.82</v>
      </c>
      <c r="G1803" s="4">
        <v>0.6</v>
      </c>
      <c r="H1803" s="3">
        <v>3741.64</v>
      </c>
      <c r="I1803" s="1">
        <v>45782</v>
      </c>
      <c r="J1803" t="s">
        <v>18</v>
      </c>
      <c r="K1803" t="s">
        <v>23</v>
      </c>
      <c r="L1803" s="3">
        <v>1496.6559999999999</v>
      </c>
      <c r="M1803" t="s">
        <v>11</v>
      </c>
    </row>
    <row r="1804" spans="1:13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F1804" s="3">
        <v>2530.3836538461546</v>
      </c>
      <c r="G1804" s="4">
        <v>0.6</v>
      </c>
      <c r="H1804" s="3">
        <v>-2530.3836538461546</v>
      </c>
      <c r="I1804" s="1">
        <v>45782</v>
      </c>
      <c r="J1804" t="s">
        <v>40</v>
      </c>
      <c r="K1804" t="s">
        <v>23</v>
      </c>
      <c r="L1804" s="3">
        <v>-1012.1534615384619</v>
      </c>
      <c r="M1804" t="s">
        <v>2518</v>
      </c>
    </row>
    <row r="1805" spans="1:13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 s="3">
        <v>4418.75</v>
      </c>
      <c r="G1805" s="4">
        <v>0.6</v>
      </c>
      <c r="H1805" s="3">
        <v>22093.75</v>
      </c>
      <c r="I1805" s="1">
        <v>45151</v>
      </c>
      <c r="J1805" t="s">
        <v>40</v>
      </c>
      <c r="K1805" t="s">
        <v>23</v>
      </c>
      <c r="L1805" s="3">
        <v>8837.5</v>
      </c>
      <c r="M1805" t="s">
        <v>11</v>
      </c>
    </row>
    <row r="1806" spans="1:13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 s="3">
        <v>4784</v>
      </c>
      <c r="G1806" s="4">
        <v>0.6</v>
      </c>
      <c r="H1806" s="3">
        <v>28704</v>
      </c>
      <c r="I1806" s="1">
        <v>45732</v>
      </c>
      <c r="J1806" t="s">
        <v>22</v>
      </c>
      <c r="K1806" t="s">
        <v>23</v>
      </c>
      <c r="L1806" s="3">
        <v>11481.6</v>
      </c>
      <c r="M1806" t="s">
        <v>11</v>
      </c>
    </row>
    <row r="1807" spans="1:13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 s="3">
        <v>4930.08</v>
      </c>
      <c r="G1807" s="4">
        <v>0.92</v>
      </c>
      <c r="H1807" s="3">
        <v>0</v>
      </c>
      <c r="I1807" s="1">
        <v>45801</v>
      </c>
      <c r="J1807" t="s">
        <v>40</v>
      </c>
      <c r="K1807" t="s">
        <v>23</v>
      </c>
      <c r="L1807" s="3">
        <v>0</v>
      </c>
      <c r="M1807" t="s">
        <v>2518</v>
      </c>
    </row>
    <row r="1808" spans="1:13" x14ac:dyDescent="0.3">
      <c r="A1808">
        <v>2806</v>
      </c>
      <c r="B1808" t="s">
        <v>1840</v>
      </c>
      <c r="C1808" t="s">
        <v>13</v>
      </c>
      <c r="D1808" t="s">
        <v>36</v>
      </c>
      <c r="E1808">
        <v>2</v>
      </c>
      <c r="F1808" s="3">
        <v>2882.5046551724135</v>
      </c>
      <c r="G1808" s="4">
        <v>0.6</v>
      </c>
      <c r="H1808" s="3">
        <v>5765.0093103448271</v>
      </c>
      <c r="I1808" s="1">
        <v>45569</v>
      </c>
      <c r="J1808" t="s">
        <v>40</v>
      </c>
      <c r="K1808" t="s">
        <v>23</v>
      </c>
      <c r="L1808" s="3">
        <v>2306.0037241379309</v>
      </c>
      <c r="M1808" t="s">
        <v>11</v>
      </c>
    </row>
    <row r="1809" spans="1:13" x14ac:dyDescent="0.3">
      <c r="A1809">
        <v>2807</v>
      </c>
      <c r="B1809" t="s">
        <v>1841</v>
      </c>
      <c r="C1809" t="s">
        <v>13</v>
      </c>
      <c r="D1809" t="s">
        <v>14</v>
      </c>
      <c r="E1809">
        <v>2</v>
      </c>
      <c r="F1809" s="3">
        <v>3064.28</v>
      </c>
      <c r="G1809" s="4">
        <v>1.04</v>
      </c>
      <c r="H1809" s="3">
        <v>6128.56</v>
      </c>
      <c r="I1809" s="1">
        <v>45516</v>
      </c>
      <c r="J1809" t="s">
        <v>56</v>
      </c>
      <c r="K1809" t="s">
        <v>23</v>
      </c>
      <c r="L1809" s="3">
        <v>-245.14240000000024</v>
      </c>
      <c r="M1809" t="s">
        <v>2518</v>
      </c>
    </row>
    <row r="1810" spans="1:13" x14ac:dyDescent="0.3">
      <c r="A1810">
        <v>2808</v>
      </c>
      <c r="B1810" t="s">
        <v>1842</v>
      </c>
      <c r="C1810" t="s">
        <v>25</v>
      </c>
      <c r="D1810" t="s">
        <v>66</v>
      </c>
      <c r="E1810">
        <v>2</v>
      </c>
      <c r="F1810" s="3">
        <v>4234.7700000000004</v>
      </c>
      <c r="G1810" s="4">
        <v>0.6</v>
      </c>
      <c r="H1810" s="3">
        <v>8469.5400000000009</v>
      </c>
      <c r="I1810" s="1">
        <v>45782</v>
      </c>
      <c r="J1810" t="s">
        <v>15</v>
      </c>
      <c r="K1810" t="s">
        <v>16</v>
      </c>
      <c r="L1810" s="3">
        <v>3387.8160000000007</v>
      </c>
      <c r="M1810" t="s">
        <v>11</v>
      </c>
    </row>
    <row r="1811" spans="1:13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F1811" s="3">
        <v>2501.5309999999999</v>
      </c>
      <c r="G1811" s="4">
        <v>0.6</v>
      </c>
      <c r="H1811" s="3">
        <v>0</v>
      </c>
      <c r="I1811" s="1">
        <v>45782</v>
      </c>
      <c r="J1811" t="s">
        <v>22</v>
      </c>
      <c r="K1811" t="s">
        <v>16</v>
      </c>
      <c r="L1811" s="3">
        <v>0</v>
      </c>
      <c r="M1811" t="s">
        <v>2518</v>
      </c>
    </row>
    <row r="1812" spans="1:13" x14ac:dyDescent="0.3">
      <c r="A1812">
        <v>2810</v>
      </c>
      <c r="B1812" t="s">
        <v>1844</v>
      </c>
      <c r="C1812" t="s">
        <v>13</v>
      </c>
      <c r="D1812" t="s">
        <v>36</v>
      </c>
      <c r="E1812">
        <v>2</v>
      </c>
      <c r="F1812" s="3">
        <v>2038.37</v>
      </c>
      <c r="G1812" s="4">
        <v>1.07</v>
      </c>
      <c r="H1812" s="3">
        <v>4076.74</v>
      </c>
      <c r="I1812" s="1">
        <v>45782</v>
      </c>
      <c r="J1812" t="s">
        <v>22</v>
      </c>
      <c r="K1812" t="s">
        <v>23</v>
      </c>
      <c r="L1812" s="3">
        <v>-285.37180000000023</v>
      </c>
      <c r="M1812" t="s">
        <v>2518</v>
      </c>
    </row>
    <row r="1813" spans="1:13" x14ac:dyDescent="0.3">
      <c r="A1813">
        <v>2811</v>
      </c>
      <c r="B1813" t="s">
        <v>1845</v>
      </c>
      <c r="C1813" t="s">
        <v>38</v>
      </c>
      <c r="D1813" t="s">
        <v>91</v>
      </c>
      <c r="E1813">
        <v>2</v>
      </c>
      <c r="F1813" s="3">
        <v>4426.1499999999996</v>
      </c>
      <c r="G1813" s="4">
        <v>0.6</v>
      </c>
      <c r="H1813" s="3">
        <v>8852.2999999999993</v>
      </c>
      <c r="I1813" s="1">
        <v>45657</v>
      </c>
      <c r="J1813" t="s">
        <v>15</v>
      </c>
      <c r="K1813" t="s">
        <v>23</v>
      </c>
      <c r="L1813" s="3">
        <v>3540.92</v>
      </c>
      <c r="M1813" t="s">
        <v>11</v>
      </c>
    </row>
    <row r="1814" spans="1:13" x14ac:dyDescent="0.3">
      <c r="A1814">
        <v>2812</v>
      </c>
      <c r="B1814" t="s">
        <v>1846</v>
      </c>
      <c r="C1814" t="s">
        <v>33</v>
      </c>
      <c r="D1814" t="s">
        <v>82</v>
      </c>
      <c r="E1814">
        <v>2</v>
      </c>
      <c r="F1814" s="3">
        <v>2776.2202000000002</v>
      </c>
      <c r="G1814" s="4">
        <v>0.6</v>
      </c>
      <c r="H1814" s="3">
        <v>5552.4404000000004</v>
      </c>
      <c r="I1814" s="1">
        <v>45727</v>
      </c>
      <c r="J1814" t="s">
        <v>46</v>
      </c>
      <c r="K1814" t="s">
        <v>23</v>
      </c>
      <c r="L1814" s="3">
        <v>2220.9761600000002</v>
      </c>
      <c r="M1814" t="s">
        <v>11</v>
      </c>
    </row>
    <row r="1815" spans="1:13" x14ac:dyDescent="0.3">
      <c r="A1815">
        <v>2813</v>
      </c>
      <c r="B1815" t="s">
        <v>1847</v>
      </c>
      <c r="C1815" t="s">
        <v>29</v>
      </c>
      <c r="D1815" t="s">
        <v>30</v>
      </c>
      <c r="E1815">
        <v>2</v>
      </c>
      <c r="F1815" s="3">
        <v>2617.6390384615388</v>
      </c>
      <c r="G1815" s="4">
        <v>0.41</v>
      </c>
      <c r="H1815" s="3">
        <v>5235.2780769230776</v>
      </c>
      <c r="I1815" s="1">
        <v>45565</v>
      </c>
      <c r="J1815" t="s">
        <v>18</v>
      </c>
      <c r="K1815" t="s">
        <v>23</v>
      </c>
      <c r="L1815" s="3">
        <v>3088.8140653846162</v>
      </c>
      <c r="M1815" t="s">
        <v>11</v>
      </c>
    </row>
    <row r="1816" spans="1:13" x14ac:dyDescent="0.3">
      <c r="A1816">
        <v>2814</v>
      </c>
      <c r="B1816" t="s">
        <v>1848</v>
      </c>
      <c r="C1816" t="s">
        <v>13</v>
      </c>
      <c r="D1816" t="s">
        <v>36</v>
      </c>
      <c r="E1816">
        <v>2</v>
      </c>
      <c r="F1816" s="3">
        <v>1888.27</v>
      </c>
      <c r="G1816" s="4">
        <v>0.6</v>
      </c>
      <c r="H1816" s="3">
        <v>3776.54</v>
      </c>
      <c r="I1816" s="1">
        <v>45682</v>
      </c>
      <c r="J1816" t="s">
        <v>22</v>
      </c>
      <c r="K1816" t="s">
        <v>23</v>
      </c>
      <c r="L1816" s="3">
        <v>1510.616</v>
      </c>
      <c r="M1816" t="s">
        <v>11</v>
      </c>
    </row>
    <row r="1817" spans="1:13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 s="3">
        <v>2422.0100000000002</v>
      </c>
      <c r="G1817" s="4">
        <v>0.6</v>
      </c>
      <c r="H1817" s="3">
        <v>14532.060000000001</v>
      </c>
      <c r="I1817" s="1">
        <v>45782</v>
      </c>
      <c r="J1817" t="s">
        <v>46</v>
      </c>
      <c r="K1817" t="s">
        <v>23</v>
      </c>
      <c r="L1817" s="3">
        <v>5812.8240000000005</v>
      </c>
      <c r="M1817" t="s">
        <v>11</v>
      </c>
    </row>
    <row r="1818" spans="1:13" x14ac:dyDescent="0.3">
      <c r="A1818">
        <v>2816</v>
      </c>
      <c r="B1818" t="s">
        <v>1850</v>
      </c>
      <c r="C1818" t="s">
        <v>20</v>
      </c>
      <c r="D1818" t="s">
        <v>88</v>
      </c>
      <c r="E1818">
        <v>2</v>
      </c>
      <c r="F1818" s="3">
        <v>3817.72</v>
      </c>
      <c r="G1818" s="4">
        <v>0.34</v>
      </c>
      <c r="H1818" s="3">
        <v>7635.44</v>
      </c>
      <c r="I1818" s="1">
        <v>45628</v>
      </c>
      <c r="J1818" t="s">
        <v>18</v>
      </c>
      <c r="K1818" t="s">
        <v>23</v>
      </c>
      <c r="L1818" s="3">
        <v>5039.3903999999993</v>
      </c>
      <c r="M1818" t="s">
        <v>11</v>
      </c>
    </row>
    <row r="1819" spans="1:13" x14ac:dyDescent="0.3">
      <c r="A1819">
        <v>2817</v>
      </c>
      <c r="B1819" t="s">
        <v>1851</v>
      </c>
      <c r="C1819" t="s">
        <v>38</v>
      </c>
      <c r="D1819" t="s">
        <v>39</v>
      </c>
      <c r="E1819">
        <v>2</v>
      </c>
      <c r="F1819" s="3">
        <v>3008.3844444444444</v>
      </c>
      <c r="G1819" s="4">
        <v>0.36</v>
      </c>
      <c r="H1819" s="3">
        <v>6016.7688888888888</v>
      </c>
      <c r="I1819" s="1">
        <v>45770</v>
      </c>
      <c r="J1819" t="s">
        <v>22</v>
      </c>
      <c r="K1819" t="s">
        <v>16</v>
      </c>
      <c r="L1819" s="3">
        <v>3850.7320888888889</v>
      </c>
      <c r="M1819" t="s">
        <v>11</v>
      </c>
    </row>
    <row r="1820" spans="1:13" x14ac:dyDescent="0.3">
      <c r="A1820">
        <v>2818</v>
      </c>
      <c r="B1820" t="s">
        <v>1852</v>
      </c>
      <c r="C1820" t="s">
        <v>38</v>
      </c>
      <c r="D1820" t="s">
        <v>63</v>
      </c>
      <c r="E1820">
        <v>2</v>
      </c>
      <c r="F1820" s="3">
        <v>739.57</v>
      </c>
      <c r="G1820" s="4">
        <v>0.6</v>
      </c>
      <c r="H1820" s="3">
        <v>1479.14</v>
      </c>
      <c r="I1820" s="1">
        <v>45760</v>
      </c>
      <c r="J1820" t="s">
        <v>22</v>
      </c>
      <c r="K1820" t="s">
        <v>16</v>
      </c>
      <c r="L1820" s="3">
        <v>591.65600000000006</v>
      </c>
      <c r="M1820" t="s">
        <v>11</v>
      </c>
    </row>
    <row r="1821" spans="1:13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F1821" s="3">
        <v>2830.1325714285731</v>
      </c>
      <c r="G1821" s="4">
        <v>0.6</v>
      </c>
      <c r="H1821" s="3">
        <v>-2830.1325714285731</v>
      </c>
      <c r="I1821" s="1">
        <v>45782</v>
      </c>
      <c r="J1821" t="s">
        <v>18</v>
      </c>
      <c r="K1821" t="s">
        <v>16</v>
      </c>
      <c r="L1821" s="3">
        <v>-1132.0530285714292</v>
      </c>
      <c r="M1821" t="s">
        <v>2518</v>
      </c>
    </row>
    <row r="1822" spans="1:13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 s="3">
        <v>2454.71</v>
      </c>
      <c r="G1822" s="4">
        <v>0.1</v>
      </c>
      <c r="H1822" s="3">
        <v>2454.71</v>
      </c>
      <c r="I1822" s="1">
        <v>45294</v>
      </c>
      <c r="J1822" t="s">
        <v>22</v>
      </c>
      <c r="K1822" t="s">
        <v>23</v>
      </c>
      <c r="L1822" s="3">
        <v>2209.239</v>
      </c>
      <c r="M1822" t="s">
        <v>11</v>
      </c>
    </row>
    <row r="1823" spans="1:13" x14ac:dyDescent="0.3">
      <c r="A1823">
        <v>2821</v>
      </c>
      <c r="B1823" t="s">
        <v>1855</v>
      </c>
      <c r="C1823" t="s">
        <v>38</v>
      </c>
      <c r="D1823" t="s">
        <v>63</v>
      </c>
      <c r="E1823">
        <v>2</v>
      </c>
      <c r="F1823" s="3">
        <v>2845.2419672131159</v>
      </c>
      <c r="G1823" s="4">
        <v>1.28</v>
      </c>
      <c r="H1823" s="3">
        <v>5690.4839344262318</v>
      </c>
      <c r="I1823" s="1">
        <v>45644</v>
      </c>
      <c r="J1823" t="s">
        <v>18</v>
      </c>
      <c r="K1823" t="s">
        <v>16</v>
      </c>
      <c r="L1823" s="3">
        <v>-1593.335501639345</v>
      </c>
      <c r="M1823" t="s">
        <v>2518</v>
      </c>
    </row>
    <row r="1824" spans="1:13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 s="3">
        <v>3864.37</v>
      </c>
      <c r="G1824" s="4">
        <v>0.6</v>
      </c>
      <c r="H1824" s="3">
        <v>-7728.74</v>
      </c>
      <c r="I1824" s="1">
        <v>45725</v>
      </c>
      <c r="J1824" t="s">
        <v>40</v>
      </c>
      <c r="K1824" t="s">
        <v>23</v>
      </c>
      <c r="L1824" s="3">
        <v>-3091.4960000000001</v>
      </c>
      <c r="M1824" t="s">
        <v>2518</v>
      </c>
    </row>
    <row r="1825" spans="1:13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F1825" s="3">
        <v>2483.5844000000002</v>
      </c>
      <c r="G1825" s="4">
        <v>0.6</v>
      </c>
      <c r="H1825" s="3">
        <v>0</v>
      </c>
      <c r="I1825" s="1">
        <v>45542</v>
      </c>
      <c r="J1825" t="s">
        <v>18</v>
      </c>
      <c r="K1825" t="s">
        <v>16</v>
      </c>
      <c r="L1825" s="3">
        <v>0</v>
      </c>
      <c r="M1825" t="s">
        <v>2518</v>
      </c>
    </row>
    <row r="1826" spans="1:13" x14ac:dyDescent="0.3">
      <c r="A1826">
        <v>2824</v>
      </c>
      <c r="B1826" t="s">
        <v>1858</v>
      </c>
      <c r="C1826" t="s">
        <v>25</v>
      </c>
      <c r="D1826" t="s">
        <v>86</v>
      </c>
      <c r="E1826">
        <v>2</v>
      </c>
      <c r="F1826" s="3">
        <v>2501.5309999999999</v>
      </c>
      <c r="G1826" s="4">
        <v>1.08</v>
      </c>
      <c r="H1826" s="3">
        <v>5003.0619999999999</v>
      </c>
      <c r="I1826" s="1">
        <v>45618</v>
      </c>
      <c r="J1826" t="s">
        <v>15</v>
      </c>
      <c r="K1826" t="s">
        <v>16</v>
      </c>
      <c r="L1826" s="3">
        <v>-400.24496000000033</v>
      </c>
      <c r="M1826" t="s">
        <v>2518</v>
      </c>
    </row>
    <row r="1827" spans="1:13" x14ac:dyDescent="0.3">
      <c r="A1827">
        <v>2825</v>
      </c>
      <c r="B1827" t="s">
        <v>1859</v>
      </c>
      <c r="C1827" t="s">
        <v>29</v>
      </c>
      <c r="D1827" t="s">
        <v>30</v>
      </c>
      <c r="E1827">
        <v>2</v>
      </c>
      <c r="F1827" s="3">
        <v>2617.6390384615388</v>
      </c>
      <c r="G1827" s="4">
        <v>0.6</v>
      </c>
      <c r="H1827" s="3">
        <v>5235.2780769230776</v>
      </c>
      <c r="I1827" s="1">
        <v>45782</v>
      </c>
      <c r="J1827" t="s">
        <v>18</v>
      </c>
      <c r="K1827" t="s">
        <v>23</v>
      </c>
      <c r="L1827" s="3">
        <v>2094.111230769231</v>
      </c>
      <c r="M1827" t="s">
        <v>11</v>
      </c>
    </row>
    <row r="1828" spans="1:13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F1828" s="3">
        <v>2715.5458490566025</v>
      </c>
      <c r="G1828" s="4">
        <v>0.6</v>
      </c>
      <c r="H1828" s="3">
        <v>-2715.5458490566025</v>
      </c>
      <c r="I1828" s="1">
        <v>45782</v>
      </c>
      <c r="J1828" t="s">
        <v>22</v>
      </c>
      <c r="K1828" t="s">
        <v>16</v>
      </c>
      <c r="L1828" s="3">
        <v>-1086.218339622641</v>
      </c>
      <c r="M1828" t="s">
        <v>2518</v>
      </c>
    </row>
    <row r="1829" spans="1:13" x14ac:dyDescent="0.3">
      <c r="A1829">
        <v>2827</v>
      </c>
      <c r="B1829" t="s">
        <v>1861</v>
      </c>
      <c r="C1829" t="s">
        <v>13</v>
      </c>
      <c r="D1829" t="s">
        <v>14</v>
      </c>
      <c r="E1829">
        <v>2</v>
      </c>
      <c r="F1829" s="3">
        <v>3996.87</v>
      </c>
      <c r="G1829" s="4">
        <v>0.6</v>
      </c>
      <c r="H1829" s="3">
        <v>7993.74</v>
      </c>
      <c r="I1829" s="1">
        <v>45538</v>
      </c>
      <c r="J1829" t="s">
        <v>22</v>
      </c>
      <c r="K1829" t="s">
        <v>23</v>
      </c>
      <c r="L1829" s="3">
        <v>3197.4960000000001</v>
      </c>
      <c r="M1829" t="s">
        <v>11</v>
      </c>
    </row>
    <row r="1830" spans="1:13" x14ac:dyDescent="0.3">
      <c r="A1830">
        <v>2828</v>
      </c>
      <c r="B1830" t="s">
        <v>1862</v>
      </c>
      <c r="C1830" t="s">
        <v>25</v>
      </c>
      <c r="D1830" t="s">
        <v>26</v>
      </c>
      <c r="E1830">
        <v>2</v>
      </c>
      <c r="F1830" s="3">
        <v>2963.02</v>
      </c>
      <c r="G1830" s="4">
        <v>0.6</v>
      </c>
      <c r="H1830" s="3">
        <v>5926.04</v>
      </c>
      <c r="I1830" s="1">
        <v>45825</v>
      </c>
      <c r="J1830" t="s">
        <v>40</v>
      </c>
      <c r="K1830" t="s">
        <v>23</v>
      </c>
      <c r="L1830" s="3">
        <v>2370.4160000000002</v>
      </c>
      <c r="M1830" t="s">
        <v>11</v>
      </c>
    </row>
    <row r="1831" spans="1:13" x14ac:dyDescent="0.3">
      <c r="A1831">
        <v>2829</v>
      </c>
      <c r="B1831" t="s">
        <v>1863</v>
      </c>
      <c r="C1831" t="s">
        <v>20</v>
      </c>
      <c r="D1831" t="s">
        <v>88</v>
      </c>
      <c r="E1831">
        <v>2</v>
      </c>
      <c r="F1831" s="3">
        <v>4817.45</v>
      </c>
      <c r="G1831" s="4">
        <v>1.07</v>
      </c>
      <c r="H1831" s="3">
        <v>9634.9</v>
      </c>
      <c r="I1831" s="1">
        <v>45782</v>
      </c>
      <c r="J1831" t="s">
        <v>46</v>
      </c>
      <c r="K1831" t="s">
        <v>23</v>
      </c>
      <c r="L1831" s="3">
        <v>-674.44300000000055</v>
      </c>
      <c r="M1831" t="s">
        <v>2518</v>
      </c>
    </row>
    <row r="1832" spans="1:13" x14ac:dyDescent="0.3">
      <c r="A1832">
        <v>2830</v>
      </c>
      <c r="B1832" t="s">
        <v>1864</v>
      </c>
      <c r="C1832" t="s">
        <v>33</v>
      </c>
      <c r="D1832" t="s">
        <v>34</v>
      </c>
      <c r="E1832">
        <v>2</v>
      </c>
      <c r="F1832" s="3">
        <v>3588.42</v>
      </c>
      <c r="G1832" s="4">
        <v>0.04</v>
      </c>
      <c r="H1832" s="3">
        <v>7176.84</v>
      </c>
      <c r="I1832" s="1">
        <v>45820</v>
      </c>
      <c r="J1832" t="s">
        <v>15</v>
      </c>
      <c r="K1832" t="s">
        <v>23</v>
      </c>
      <c r="L1832" s="3">
        <v>6889.7663999999995</v>
      </c>
      <c r="M1832" t="s">
        <v>11</v>
      </c>
    </row>
    <row r="1833" spans="1:13" x14ac:dyDescent="0.3">
      <c r="A1833">
        <v>2831</v>
      </c>
      <c r="B1833" t="s">
        <v>850</v>
      </c>
      <c r="C1833" t="s">
        <v>38</v>
      </c>
      <c r="D1833" t="s">
        <v>39</v>
      </c>
      <c r="E1833">
        <v>2</v>
      </c>
      <c r="F1833" s="3">
        <v>3008.3844444444444</v>
      </c>
      <c r="G1833" s="4">
        <v>0.6</v>
      </c>
      <c r="H1833" s="3">
        <v>6016.7688888888888</v>
      </c>
      <c r="I1833" s="1">
        <v>45495</v>
      </c>
      <c r="J1833" t="s">
        <v>18</v>
      </c>
      <c r="K1833" t="s">
        <v>23</v>
      </c>
      <c r="L1833" s="3">
        <v>2406.7075555555557</v>
      </c>
      <c r="M1833" t="s">
        <v>11</v>
      </c>
    </row>
    <row r="1834" spans="1:13" x14ac:dyDescent="0.3">
      <c r="A1834">
        <v>2832</v>
      </c>
      <c r="B1834" t="s">
        <v>1865</v>
      </c>
      <c r="C1834" t="s">
        <v>25</v>
      </c>
      <c r="D1834" t="s">
        <v>86</v>
      </c>
      <c r="E1834">
        <v>2</v>
      </c>
      <c r="F1834" s="3">
        <v>2501.5309999999999</v>
      </c>
      <c r="G1834" s="4">
        <v>0.56000000000000005</v>
      </c>
      <c r="H1834" s="3">
        <v>5003.0619999999999</v>
      </c>
      <c r="I1834" s="1">
        <v>45572</v>
      </c>
      <c r="J1834" t="s">
        <v>22</v>
      </c>
      <c r="K1834" t="s">
        <v>23</v>
      </c>
      <c r="L1834" s="3">
        <v>2201.3472799999995</v>
      </c>
      <c r="M1834" t="s">
        <v>11</v>
      </c>
    </row>
    <row r="1835" spans="1:13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 s="3">
        <v>4273.33</v>
      </c>
      <c r="G1835" s="4">
        <v>0.6</v>
      </c>
      <c r="H1835" s="3">
        <v>21366.65</v>
      </c>
      <c r="I1835" s="1">
        <v>45782</v>
      </c>
      <c r="J1835" t="s">
        <v>40</v>
      </c>
      <c r="K1835" t="s">
        <v>16</v>
      </c>
      <c r="L1835" s="3">
        <v>8546.6600000000017</v>
      </c>
      <c r="M1835" t="s">
        <v>11</v>
      </c>
    </row>
    <row r="1836" spans="1:13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 s="3">
        <v>3522.98</v>
      </c>
      <c r="G1836" s="4">
        <v>0.6</v>
      </c>
      <c r="H1836" s="3">
        <v>-7045.96</v>
      </c>
      <c r="I1836" s="1">
        <v>45597</v>
      </c>
      <c r="J1836" t="s">
        <v>15</v>
      </c>
      <c r="K1836" t="s">
        <v>16</v>
      </c>
      <c r="L1836" s="3">
        <v>-2818.384</v>
      </c>
      <c r="M1836" t="s">
        <v>2518</v>
      </c>
    </row>
    <row r="1837" spans="1:13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F1837" s="3">
        <v>2804.2651923076919</v>
      </c>
      <c r="G1837" s="4">
        <v>0.98</v>
      </c>
      <c r="H1837" s="3">
        <v>14021.32596153846</v>
      </c>
      <c r="I1837" s="1">
        <v>45839</v>
      </c>
      <c r="J1837" t="s">
        <v>56</v>
      </c>
      <c r="K1837" t="s">
        <v>23</v>
      </c>
      <c r="L1837" s="3">
        <v>280.42651923076943</v>
      </c>
      <c r="M1837" t="s">
        <v>2518</v>
      </c>
    </row>
    <row r="1838" spans="1:13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 s="3">
        <v>4609.95</v>
      </c>
      <c r="G1838" s="4">
        <v>0.6</v>
      </c>
      <c r="H1838" s="3">
        <v>18439.8</v>
      </c>
      <c r="I1838" s="1">
        <v>45448</v>
      </c>
      <c r="J1838" t="s">
        <v>40</v>
      </c>
      <c r="K1838" t="s">
        <v>23</v>
      </c>
      <c r="L1838" s="3">
        <v>7375.92</v>
      </c>
      <c r="M1838" t="s">
        <v>11</v>
      </c>
    </row>
    <row r="1839" spans="1:13" x14ac:dyDescent="0.3">
      <c r="A1839">
        <v>2837</v>
      </c>
      <c r="B1839" t="s">
        <v>1870</v>
      </c>
      <c r="C1839" t="s">
        <v>13</v>
      </c>
      <c r="D1839" t="s">
        <v>14</v>
      </c>
      <c r="E1839">
        <v>2</v>
      </c>
      <c r="F1839" s="3">
        <v>4443.01</v>
      </c>
      <c r="G1839" s="4">
        <v>0.6</v>
      </c>
      <c r="H1839" s="3">
        <v>8886.02</v>
      </c>
      <c r="I1839" s="1">
        <v>45743</v>
      </c>
      <c r="J1839" t="s">
        <v>40</v>
      </c>
      <c r="K1839" t="s">
        <v>23</v>
      </c>
      <c r="L1839" s="3">
        <v>3554.4080000000004</v>
      </c>
      <c r="M1839" t="s">
        <v>11</v>
      </c>
    </row>
    <row r="1840" spans="1:13" x14ac:dyDescent="0.3">
      <c r="A1840">
        <v>2838</v>
      </c>
      <c r="B1840" t="s">
        <v>1871</v>
      </c>
      <c r="C1840" t="s">
        <v>38</v>
      </c>
      <c r="D1840" t="s">
        <v>91</v>
      </c>
      <c r="E1840">
        <v>2</v>
      </c>
      <c r="F1840" s="3">
        <v>2868.7768181818178</v>
      </c>
      <c r="G1840" s="4">
        <v>0.97</v>
      </c>
      <c r="H1840" s="3">
        <v>5737.5536363636356</v>
      </c>
      <c r="I1840" s="1">
        <v>45782</v>
      </c>
      <c r="J1840" t="s">
        <v>22</v>
      </c>
      <c r="K1840" t="s">
        <v>23</v>
      </c>
      <c r="L1840" s="3">
        <v>172.12660909090923</v>
      </c>
      <c r="M1840" t="s">
        <v>2518</v>
      </c>
    </row>
    <row r="1841" spans="1:13" x14ac:dyDescent="0.3">
      <c r="A1841">
        <v>2839</v>
      </c>
      <c r="B1841" t="s">
        <v>1872</v>
      </c>
      <c r="C1841" t="s">
        <v>25</v>
      </c>
      <c r="D1841" t="s">
        <v>86</v>
      </c>
      <c r="E1841">
        <v>2</v>
      </c>
      <c r="F1841" s="3">
        <v>561.24</v>
      </c>
      <c r="G1841" s="4">
        <v>0.6</v>
      </c>
      <c r="H1841" s="3">
        <v>1122.48</v>
      </c>
      <c r="I1841" s="1">
        <v>45589</v>
      </c>
      <c r="J1841" t="s">
        <v>56</v>
      </c>
      <c r="K1841" t="s">
        <v>23</v>
      </c>
      <c r="L1841" s="3">
        <v>448.99200000000002</v>
      </c>
      <c r="M1841" t="s">
        <v>2518</v>
      </c>
    </row>
    <row r="1842" spans="1:13" x14ac:dyDescent="0.3">
      <c r="A1842">
        <v>2840</v>
      </c>
      <c r="B1842" t="s">
        <v>1873</v>
      </c>
      <c r="C1842" t="s">
        <v>20</v>
      </c>
      <c r="D1842" t="s">
        <v>80</v>
      </c>
      <c r="E1842">
        <v>2</v>
      </c>
      <c r="F1842" s="3">
        <v>2297.54</v>
      </c>
      <c r="G1842" s="4">
        <v>0.6</v>
      </c>
      <c r="H1842" s="3">
        <v>4595.08</v>
      </c>
      <c r="I1842" s="1">
        <v>45739</v>
      </c>
      <c r="J1842" t="s">
        <v>56</v>
      </c>
      <c r="K1842" t="s">
        <v>23</v>
      </c>
      <c r="L1842" s="3">
        <v>1838.0320000000002</v>
      </c>
      <c r="M1842" t="s">
        <v>11</v>
      </c>
    </row>
    <row r="1843" spans="1:13" x14ac:dyDescent="0.3">
      <c r="A1843">
        <v>2841</v>
      </c>
      <c r="B1843" t="s">
        <v>1874</v>
      </c>
      <c r="C1843" t="s">
        <v>13</v>
      </c>
      <c r="D1843" t="s">
        <v>102</v>
      </c>
      <c r="E1843">
        <v>2</v>
      </c>
      <c r="F1843" s="3">
        <v>4154.05</v>
      </c>
      <c r="G1843" s="4">
        <v>0.6</v>
      </c>
      <c r="H1843" s="3">
        <v>8308.1</v>
      </c>
      <c r="I1843" s="1">
        <v>45665</v>
      </c>
      <c r="J1843" t="s">
        <v>22</v>
      </c>
      <c r="K1843" t="s">
        <v>23</v>
      </c>
      <c r="L1843" s="3">
        <v>3323.2400000000002</v>
      </c>
      <c r="M1843" t="s">
        <v>11</v>
      </c>
    </row>
    <row r="1844" spans="1:13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 s="3">
        <v>1812.58</v>
      </c>
      <c r="G1844" s="4">
        <v>0.6</v>
      </c>
      <c r="H1844" s="3">
        <v>0</v>
      </c>
      <c r="I1844" s="1">
        <v>45560</v>
      </c>
      <c r="J1844" t="s">
        <v>15</v>
      </c>
      <c r="K1844" t="s">
        <v>23</v>
      </c>
      <c r="L1844" s="3">
        <v>0</v>
      </c>
      <c r="M1844" t="s">
        <v>2518</v>
      </c>
    </row>
    <row r="1845" spans="1:13" x14ac:dyDescent="0.3">
      <c r="A1845">
        <v>2843</v>
      </c>
      <c r="B1845" t="s">
        <v>1876</v>
      </c>
      <c r="C1845" t="s">
        <v>33</v>
      </c>
      <c r="D1845" t="s">
        <v>82</v>
      </c>
      <c r="E1845">
        <v>2</v>
      </c>
      <c r="F1845" s="3">
        <v>1110.1099999999999</v>
      </c>
      <c r="G1845" s="4">
        <v>0.6</v>
      </c>
      <c r="H1845" s="3">
        <v>2220.2199999999998</v>
      </c>
      <c r="I1845" s="1">
        <v>45679</v>
      </c>
      <c r="J1845" t="s">
        <v>22</v>
      </c>
      <c r="K1845" t="s">
        <v>23</v>
      </c>
      <c r="L1845" s="3">
        <v>888.08799999999997</v>
      </c>
      <c r="M1845" t="s">
        <v>11</v>
      </c>
    </row>
    <row r="1846" spans="1:13" x14ac:dyDescent="0.3">
      <c r="A1846">
        <v>2844</v>
      </c>
      <c r="B1846" t="s">
        <v>1877</v>
      </c>
      <c r="C1846" t="s">
        <v>13</v>
      </c>
      <c r="D1846" t="s">
        <v>49</v>
      </c>
      <c r="E1846">
        <v>2</v>
      </c>
      <c r="F1846" s="3">
        <v>2549.59</v>
      </c>
      <c r="G1846" s="4">
        <v>0.6</v>
      </c>
      <c r="H1846" s="3">
        <v>5099.18</v>
      </c>
      <c r="I1846" s="1">
        <v>45431</v>
      </c>
      <c r="J1846" t="s">
        <v>15</v>
      </c>
      <c r="K1846" t="s">
        <v>23</v>
      </c>
      <c r="L1846" s="3">
        <v>2039.6720000000003</v>
      </c>
      <c r="M1846" t="s">
        <v>11</v>
      </c>
    </row>
    <row r="1847" spans="1:13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F1847" s="3">
        <v>2725.8557142857148</v>
      </c>
      <c r="G1847" s="4">
        <v>0.6</v>
      </c>
      <c r="H1847" s="3">
        <v>-5451.7114285714297</v>
      </c>
      <c r="I1847" s="1">
        <v>45751</v>
      </c>
      <c r="J1847" t="s">
        <v>15</v>
      </c>
      <c r="K1847" t="s">
        <v>23</v>
      </c>
      <c r="L1847" s="3">
        <v>-2180.6845714285719</v>
      </c>
      <c r="M1847" t="s">
        <v>2518</v>
      </c>
    </row>
    <row r="1848" spans="1:13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 s="3">
        <v>2525.04</v>
      </c>
      <c r="G1848" s="4">
        <v>0.3</v>
      </c>
      <c r="H1848" s="3">
        <v>-5050.08</v>
      </c>
      <c r="I1848" s="1">
        <v>45560</v>
      </c>
      <c r="J1848" t="s">
        <v>56</v>
      </c>
      <c r="K1848" t="s">
        <v>23</v>
      </c>
      <c r="L1848" s="3">
        <v>-3535.0559999999996</v>
      </c>
      <c r="M1848" t="s">
        <v>2518</v>
      </c>
    </row>
    <row r="1849" spans="1:13" x14ac:dyDescent="0.3">
      <c r="A1849">
        <v>2847</v>
      </c>
      <c r="B1849" t="s">
        <v>1880</v>
      </c>
      <c r="C1849" t="s">
        <v>25</v>
      </c>
      <c r="D1849" t="s">
        <v>86</v>
      </c>
      <c r="E1849">
        <v>2</v>
      </c>
      <c r="F1849" s="3">
        <v>3424.29</v>
      </c>
      <c r="G1849" s="4">
        <v>1.08</v>
      </c>
      <c r="H1849" s="3">
        <v>6848.58</v>
      </c>
      <c r="I1849" s="1">
        <v>45516</v>
      </c>
      <c r="J1849" t="s">
        <v>46</v>
      </c>
      <c r="K1849" t="s">
        <v>23</v>
      </c>
      <c r="L1849" s="3">
        <v>-547.88640000000044</v>
      </c>
      <c r="M1849" t="s">
        <v>2518</v>
      </c>
    </row>
    <row r="1850" spans="1:13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F1850" s="3">
        <v>2700.1263043478252</v>
      </c>
      <c r="G1850" s="4">
        <v>0.6</v>
      </c>
      <c r="H1850" s="3">
        <v>5400.2526086956505</v>
      </c>
      <c r="I1850" s="1">
        <v>45535</v>
      </c>
      <c r="J1850" t="s">
        <v>18</v>
      </c>
      <c r="K1850" t="s">
        <v>16</v>
      </c>
      <c r="L1850" s="3">
        <v>2160.1010434782602</v>
      </c>
      <c r="M1850" t="s">
        <v>11</v>
      </c>
    </row>
    <row r="1851" spans="1:13" x14ac:dyDescent="0.3">
      <c r="A1851">
        <v>2849</v>
      </c>
      <c r="B1851" t="s">
        <v>1882</v>
      </c>
      <c r="C1851" t="s">
        <v>29</v>
      </c>
      <c r="D1851" t="s">
        <v>42</v>
      </c>
      <c r="E1851">
        <v>2</v>
      </c>
      <c r="F1851" s="3">
        <v>2559.6667307692314</v>
      </c>
      <c r="G1851" s="4">
        <v>0.35</v>
      </c>
      <c r="H1851" s="3">
        <v>5119.3334615384629</v>
      </c>
      <c r="I1851" s="1">
        <v>45782</v>
      </c>
      <c r="J1851" t="s">
        <v>22</v>
      </c>
      <c r="K1851" t="s">
        <v>23</v>
      </c>
      <c r="L1851" s="3">
        <v>3327.5667500000009</v>
      </c>
      <c r="M1851" t="s">
        <v>11</v>
      </c>
    </row>
    <row r="1852" spans="1:13" x14ac:dyDescent="0.3">
      <c r="A1852">
        <v>2850</v>
      </c>
      <c r="B1852" t="s">
        <v>1883</v>
      </c>
      <c r="C1852" t="s">
        <v>13</v>
      </c>
      <c r="D1852" t="s">
        <v>14</v>
      </c>
      <c r="E1852">
        <v>2</v>
      </c>
      <c r="F1852" s="3">
        <v>2687.96</v>
      </c>
      <c r="G1852" s="4">
        <v>0.6</v>
      </c>
      <c r="H1852" s="3">
        <v>5375.92</v>
      </c>
      <c r="I1852" s="1">
        <v>45559</v>
      </c>
      <c r="J1852" t="s">
        <v>15</v>
      </c>
      <c r="K1852" t="s">
        <v>23</v>
      </c>
      <c r="L1852" s="3">
        <v>2150.3679999999999</v>
      </c>
      <c r="M1852" t="s">
        <v>11</v>
      </c>
    </row>
    <row r="1853" spans="1:13" x14ac:dyDescent="0.3">
      <c r="A1853">
        <v>2851</v>
      </c>
      <c r="B1853" t="s">
        <v>1884</v>
      </c>
      <c r="C1853" t="s">
        <v>38</v>
      </c>
      <c r="D1853" t="s">
        <v>39</v>
      </c>
      <c r="E1853">
        <v>2</v>
      </c>
      <c r="F1853" s="3">
        <v>1525.28</v>
      </c>
      <c r="G1853" s="4">
        <v>0.6</v>
      </c>
      <c r="H1853" s="3">
        <v>3050.56</v>
      </c>
      <c r="I1853" s="1">
        <v>45543</v>
      </c>
      <c r="J1853" t="s">
        <v>56</v>
      </c>
      <c r="K1853" t="s">
        <v>16</v>
      </c>
      <c r="L1853" s="3">
        <v>1220.2239999999999</v>
      </c>
      <c r="M1853" t="s">
        <v>11</v>
      </c>
    </row>
    <row r="1854" spans="1:13" x14ac:dyDescent="0.3">
      <c r="A1854">
        <v>2852</v>
      </c>
      <c r="B1854" t="s">
        <v>1885</v>
      </c>
      <c r="C1854" t="s">
        <v>25</v>
      </c>
      <c r="D1854" t="s">
        <v>86</v>
      </c>
      <c r="E1854">
        <v>2</v>
      </c>
      <c r="F1854" s="3">
        <v>1816.76</v>
      </c>
      <c r="G1854" s="4">
        <v>0.6</v>
      </c>
      <c r="H1854" s="3">
        <v>3633.52</v>
      </c>
      <c r="I1854" s="1">
        <v>45782</v>
      </c>
      <c r="J1854" t="s">
        <v>22</v>
      </c>
      <c r="K1854" t="s">
        <v>23</v>
      </c>
      <c r="L1854" s="3">
        <v>1453.4080000000001</v>
      </c>
      <c r="M1854" t="s">
        <v>11</v>
      </c>
    </row>
    <row r="1855" spans="1:13" x14ac:dyDescent="0.3">
      <c r="A1855">
        <v>2853</v>
      </c>
      <c r="B1855" t="s">
        <v>1886</v>
      </c>
      <c r="C1855" t="s">
        <v>33</v>
      </c>
      <c r="D1855" t="s">
        <v>82</v>
      </c>
      <c r="E1855">
        <v>2</v>
      </c>
      <c r="F1855" s="3">
        <v>1212.44</v>
      </c>
      <c r="G1855" s="4">
        <v>0.89</v>
      </c>
      <c r="H1855" s="3">
        <v>2424.88</v>
      </c>
      <c r="I1855" s="1">
        <v>45860</v>
      </c>
      <c r="J1855" t="s">
        <v>22</v>
      </c>
      <c r="K1855" t="s">
        <v>16</v>
      </c>
      <c r="L1855" s="3">
        <v>266.73679999999996</v>
      </c>
      <c r="M1855" t="s">
        <v>2518</v>
      </c>
    </row>
    <row r="1856" spans="1:13" x14ac:dyDescent="0.3">
      <c r="A1856">
        <v>2854</v>
      </c>
      <c r="B1856" t="s">
        <v>1887</v>
      </c>
      <c r="C1856" t="s">
        <v>13</v>
      </c>
      <c r="D1856" t="s">
        <v>14</v>
      </c>
      <c r="E1856">
        <v>2</v>
      </c>
      <c r="F1856" s="3">
        <v>3303.02</v>
      </c>
      <c r="G1856" s="4">
        <v>0.7</v>
      </c>
      <c r="H1856" s="3">
        <v>6606.04</v>
      </c>
      <c r="I1856" s="1">
        <v>45782</v>
      </c>
      <c r="J1856" t="s">
        <v>22</v>
      </c>
      <c r="K1856" t="s">
        <v>23</v>
      </c>
      <c r="L1856" s="3">
        <v>1981.8120000000004</v>
      </c>
      <c r="M1856" t="s">
        <v>11</v>
      </c>
    </row>
    <row r="1857" spans="1:13" x14ac:dyDescent="0.3">
      <c r="A1857">
        <v>2855</v>
      </c>
      <c r="B1857" t="s">
        <v>1888</v>
      </c>
      <c r="C1857" t="s">
        <v>13</v>
      </c>
      <c r="D1857" t="s">
        <v>14</v>
      </c>
      <c r="E1857">
        <v>2</v>
      </c>
      <c r="F1857" s="3">
        <v>1831.4</v>
      </c>
      <c r="G1857" s="4">
        <v>0.6</v>
      </c>
      <c r="H1857" s="3">
        <v>3662.8</v>
      </c>
      <c r="I1857" s="1">
        <v>45584</v>
      </c>
      <c r="J1857" t="s">
        <v>56</v>
      </c>
      <c r="K1857" t="s">
        <v>23</v>
      </c>
      <c r="L1857" s="3">
        <v>1465.1200000000001</v>
      </c>
      <c r="M1857" t="s">
        <v>11</v>
      </c>
    </row>
    <row r="1858" spans="1:13" x14ac:dyDescent="0.3">
      <c r="A1858">
        <v>2856</v>
      </c>
      <c r="B1858" t="s">
        <v>1889</v>
      </c>
      <c r="C1858" t="s">
        <v>38</v>
      </c>
      <c r="D1858" t="s">
        <v>63</v>
      </c>
      <c r="E1858">
        <v>2</v>
      </c>
      <c r="F1858" s="3">
        <v>2845.2419672131159</v>
      </c>
      <c r="G1858" s="4">
        <v>0.6</v>
      </c>
      <c r="H1858" s="3">
        <v>5690.4839344262318</v>
      </c>
      <c r="I1858" s="1">
        <v>45782</v>
      </c>
      <c r="J1858" t="s">
        <v>56</v>
      </c>
      <c r="K1858" t="s">
        <v>23</v>
      </c>
      <c r="L1858" s="3">
        <v>2276.193573770493</v>
      </c>
      <c r="M1858" t="s">
        <v>11</v>
      </c>
    </row>
    <row r="1859" spans="1:13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F1859" s="3">
        <v>2785.0877966101693</v>
      </c>
      <c r="G1859" s="4">
        <v>0.6</v>
      </c>
      <c r="H1859" s="3">
        <v>13925.438983050846</v>
      </c>
      <c r="I1859" s="1">
        <v>45777</v>
      </c>
      <c r="J1859" t="s">
        <v>22</v>
      </c>
      <c r="K1859" t="s">
        <v>23</v>
      </c>
      <c r="L1859" s="3">
        <v>5570.1755932203387</v>
      </c>
      <c r="M1859" t="s">
        <v>11</v>
      </c>
    </row>
    <row r="1860" spans="1:13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 s="3">
        <v>3270.29</v>
      </c>
      <c r="G1860" s="4">
        <v>0.6</v>
      </c>
      <c r="H1860" s="3">
        <v>-3270.29</v>
      </c>
      <c r="I1860" s="1">
        <v>45695</v>
      </c>
      <c r="J1860" t="s">
        <v>46</v>
      </c>
      <c r="K1860" t="s">
        <v>16</v>
      </c>
      <c r="L1860" s="3">
        <v>-1308.116</v>
      </c>
      <c r="M1860" t="s">
        <v>2518</v>
      </c>
    </row>
    <row r="1861" spans="1:13" x14ac:dyDescent="0.3">
      <c r="A1861">
        <v>2859</v>
      </c>
      <c r="B1861" t="s">
        <v>1892</v>
      </c>
      <c r="C1861" t="s">
        <v>29</v>
      </c>
      <c r="D1861" t="s">
        <v>42</v>
      </c>
      <c r="E1861">
        <v>2</v>
      </c>
      <c r="F1861" s="3">
        <v>2559.6667307692314</v>
      </c>
      <c r="G1861" s="4">
        <v>0.78</v>
      </c>
      <c r="H1861" s="3">
        <v>5119.3334615384629</v>
      </c>
      <c r="I1861" s="1">
        <v>45451</v>
      </c>
      <c r="J1861" t="s">
        <v>40</v>
      </c>
      <c r="K1861" t="s">
        <v>23</v>
      </c>
      <c r="L1861" s="3">
        <v>1126.2533615384616</v>
      </c>
      <c r="M1861" t="s">
        <v>11</v>
      </c>
    </row>
    <row r="1862" spans="1:13" x14ac:dyDescent="0.3">
      <c r="A1862">
        <v>2860</v>
      </c>
      <c r="B1862" t="s">
        <v>1893</v>
      </c>
      <c r="C1862" t="s">
        <v>13</v>
      </c>
      <c r="D1862" t="s">
        <v>49</v>
      </c>
      <c r="E1862">
        <v>2</v>
      </c>
      <c r="F1862" s="3">
        <v>4428.24</v>
      </c>
      <c r="G1862" s="4">
        <v>0.09</v>
      </c>
      <c r="H1862" s="3">
        <v>8856.48</v>
      </c>
      <c r="I1862" s="1">
        <v>45782</v>
      </c>
      <c r="J1862" t="s">
        <v>22</v>
      </c>
      <c r="K1862" t="s">
        <v>23</v>
      </c>
      <c r="L1862" s="3">
        <v>8059.3967999999995</v>
      </c>
      <c r="M1862" t="s">
        <v>11</v>
      </c>
    </row>
    <row r="1863" spans="1:13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F1863" s="3">
        <v>2804.2651923076919</v>
      </c>
      <c r="G1863" s="4">
        <v>0.06</v>
      </c>
      <c r="H1863" s="3">
        <v>11217.060769230768</v>
      </c>
      <c r="I1863" s="1">
        <v>45839</v>
      </c>
      <c r="J1863" t="s">
        <v>15</v>
      </c>
      <c r="K1863" t="s">
        <v>23</v>
      </c>
      <c r="L1863" s="3">
        <v>10544.037123076921</v>
      </c>
      <c r="M1863" t="s">
        <v>11</v>
      </c>
    </row>
    <row r="1864" spans="1:13" x14ac:dyDescent="0.3">
      <c r="A1864">
        <v>2862</v>
      </c>
      <c r="B1864" t="s">
        <v>1895</v>
      </c>
      <c r="C1864" t="s">
        <v>13</v>
      </c>
      <c r="D1864" t="s">
        <v>49</v>
      </c>
      <c r="E1864">
        <v>2</v>
      </c>
      <c r="F1864" s="3">
        <v>2785.0877966101693</v>
      </c>
      <c r="G1864" s="4">
        <v>0.6</v>
      </c>
      <c r="H1864" s="3">
        <v>5570.1755932203387</v>
      </c>
      <c r="I1864" s="1">
        <v>45782</v>
      </c>
      <c r="J1864" t="s">
        <v>46</v>
      </c>
      <c r="K1864" t="s">
        <v>16</v>
      </c>
      <c r="L1864" s="3">
        <v>2228.0702372881356</v>
      </c>
      <c r="M1864" t="s">
        <v>11</v>
      </c>
    </row>
    <row r="1865" spans="1:13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 s="3">
        <v>1459.76</v>
      </c>
      <c r="G1865" s="4">
        <v>1.18</v>
      </c>
      <c r="H1865" s="3">
        <v>8758.56</v>
      </c>
      <c r="I1865" s="1">
        <v>45425</v>
      </c>
      <c r="J1865" t="s">
        <v>40</v>
      </c>
      <c r="K1865" t="s">
        <v>23</v>
      </c>
      <c r="L1865" s="3">
        <v>-1576.5407999999993</v>
      </c>
      <c r="M1865" t="s">
        <v>2518</v>
      </c>
    </row>
    <row r="1866" spans="1:13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 s="3">
        <v>2535.29</v>
      </c>
      <c r="G1866" s="4">
        <v>0.6</v>
      </c>
      <c r="H1866" s="3">
        <v>12676.45</v>
      </c>
      <c r="I1866" s="1">
        <v>45500</v>
      </c>
      <c r="J1866" t="s">
        <v>40</v>
      </c>
      <c r="K1866" t="s">
        <v>23</v>
      </c>
      <c r="L1866" s="3">
        <v>5070.5800000000008</v>
      </c>
      <c r="M1866" t="s">
        <v>11</v>
      </c>
    </row>
    <row r="1867" spans="1:13" x14ac:dyDescent="0.3">
      <c r="A1867">
        <v>2865</v>
      </c>
      <c r="B1867" t="s">
        <v>1622</v>
      </c>
      <c r="C1867" t="s">
        <v>13</v>
      </c>
      <c r="D1867" t="s">
        <v>36</v>
      </c>
      <c r="E1867">
        <v>2</v>
      </c>
      <c r="F1867" s="3">
        <v>2043.3</v>
      </c>
      <c r="G1867" s="4">
        <v>0.33</v>
      </c>
      <c r="H1867" s="3">
        <v>4086.6</v>
      </c>
      <c r="I1867" s="1">
        <v>45782</v>
      </c>
      <c r="J1867" t="s">
        <v>18</v>
      </c>
      <c r="K1867" t="s">
        <v>23</v>
      </c>
      <c r="L1867" s="3">
        <v>2738.0219999999995</v>
      </c>
      <c r="M1867" t="s">
        <v>11</v>
      </c>
    </row>
    <row r="1868" spans="1:13" x14ac:dyDescent="0.3">
      <c r="A1868">
        <v>2866</v>
      </c>
      <c r="B1868" t="s">
        <v>1898</v>
      </c>
      <c r="C1868" t="s">
        <v>13</v>
      </c>
      <c r="D1868" t="s">
        <v>102</v>
      </c>
      <c r="E1868">
        <v>2</v>
      </c>
      <c r="F1868" s="3">
        <v>2576.3056896551716</v>
      </c>
      <c r="G1868" s="4">
        <v>0.6</v>
      </c>
      <c r="H1868" s="3">
        <v>5152.6113793103432</v>
      </c>
      <c r="I1868" s="1">
        <v>45730</v>
      </c>
      <c r="J1868" t="s">
        <v>40</v>
      </c>
      <c r="K1868" t="s">
        <v>23</v>
      </c>
      <c r="L1868" s="3">
        <v>2061.0445517241374</v>
      </c>
      <c r="M1868" t="s">
        <v>11</v>
      </c>
    </row>
    <row r="1869" spans="1:13" x14ac:dyDescent="0.3">
      <c r="A1869">
        <v>2867</v>
      </c>
      <c r="B1869" t="s">
        <v>1899</v>
      </c>
      <c r="C1869" t="s">
        <v>13</v>
      </c>
      <c r="D1869" t="s">
        <v>102</v>
      </c>
      <c r="E1869">
        <v>2</v>
      </c>
      <c r="F1869" s="3">
        <v>2576.3056896551716</v>
      </c>
      <c r="G1869" s="4">
        <v>0.6</v>
      </c>
      <c r="H1869" s="3">
        <v>5152.6113793103432</v>
      </c>
      <c r="I1869" s="1">
        <v>45782</v>
      </c>
      <c r="J1869" t="s">
        <v>15</v>
      </c>
      <c r="K1869" t="s">
        <v>16</v>
      </c>
      <c r="L1869" s="3">
        <v>2061.0445517241374</v>
      </c>
      <c r="M1869" t="s">
        <v>11</v>
      </c>
    </row>
    <row r="1870" spans="1:13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 s="3">
        <v>1392.21</v>
      </c>
      <c r="G1870" s="4">
        <v>0.6</v>
      </c>
      <c r="H1870" s="3">
        <v>5568.84</v>
      </c>
      <c r="I1870" s="1">
        <v>45611</v>
      </c>
      <c r="J1870" t="s">
        <v>40</v>
      </c>
      <c r="K1870" t="s">
        <v>23</v>
      </c>
      <c r="L1870" s="3">
        <v>2227.5360000000001</v>
      </c>
      <c r="M1870" t="s">
        <v>11</v>
      </c>
    </row>
    <row r="1871" spans="1:13" x14ac:dyDescent="0.3">
      <c r="A1871">
        <v>2869</v>
      </c>
      <c r="B1871" t="s">
        <v>1901</v>
      </c>
      <c r="C1871" t="s">
        <v>38</v>
      </c>
      <c r="D1871" t="s">
        <v>39</v>
      </c>
      <c r="E1871">
        <v>2</v>
      </c>
      <c r="F1871" s="3">
        <v>4238.91</v>
      </c>
      <c r="G1871" s="4">
        <v>0.6</v>
      </c>
      <c r="H1871" s="3">
        <v>8477.82</v>
      </c>
      <c r="I1871" s="1">
        <v>45782</v>
      </c>
      <c r="J1871" t="s">
        <v>56</v>
      </c>
      <c r="K1871" t="s">
        <v>23</v>
      </c>
      <c r="L1871" s="3">
        <v>3391.1280000000002</v>
      </c>
      <c r="M1871" t="s">
        <v>11</v>
      </c>
    </row>
    <row r="1872" spans="1:13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 s="3">
        <v>839.34</v>
      </c>
      <c r="G1872" s="4">
        <v>0.6</v>
      </c>
      <c r="H1872" s="3">
        <v>1678.68</v>
      </c>
      <c r="I1872" s="1">
        <v>45580</v>
      </c>
      <c r="J1872" t="s">
        <v>46</v>
      </c>
      <c r="K1872" t="s">
        <v>16</v>
      </c>
      <c r="L1872" s="3">
        <v>671.47200000000009</v>
      </c>
      <c r="M1872" t="s">
        <v>11</v>
      </c>
    </row>
    <row r="1873" spans="1:13" x14ac:dyDescent="0.3">
      <c r="A1873">
        <v>2871</v>
      </c>
      <c r="B1873" t="s">
        <v>1903</v>
      </c>
      <c r="C1873" t="s">
        <v>38</v>
      </c>
      <c r="D1873" t="s">
        <v>63</v>
      </c>
      <c r="E1873">
        <v>2</v>
      </c>
      <c r="F1873" s="3">
        <v>2845.2419672131159</v>
      </c>
      <c r="G1873" s="4">
        <v>0.6</v>
      </c>
      <c r="H1873" s="3">
        <v>5690.4839344262318</v>
      </c>
      <c r="I1873" s="1">
        <v>45751</v>
      </c>
      <c r="J1873" t="s">
        <v>22</v>
      </c>
      <c r="K1873" t="s">
        <v>16</v>
      </c>
      <c r="L1873" s="3">
        <v>2276.193573770493</v>
      </c>
      <c r="M1873" t="s">
        <v>11</v>
      </c>
    </row>
    <row r="1874" spans="1:13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F1874" s="3">
        <v>2785.0877966101693</v>
      </c>
      <c r="G1874" s="4">
        <v>0.6</v>
      </c>
      <c r="H1874" s="3">
        <v>-2785.0877966101693</v>
      </c>
      <c r="I1874" s="1">
        <v>45593</v>
      </c>
      <c r="J1874" t="s">
        <v>40</v>
      </c>
      <c r="K1874" t="s">
        <v>23</v>
      </c>
      <c r="L1874" s="3">
        <v>-1114.0351186440678</v>
      </c>
      <c r="M1874" t="s">
        <v>2518</v>
      </c>
    </row>
    <row r="1875" spans="1:13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 s="3">
        <v>1354.14</v>
      </c>
      <c r="G1875" s="4">
        <v>0.6</v>
      </c>
      <c r="H1875" s="3">
        <v>6770.7000000000007</v>
      </c>
      <c r="I1875" s="1">
        <v>45740</v>
      </c>
      <c r="J1875" t="s">
        <v>18</v>
      </c>
      <c r="K1875" t="s">
        <v>23</v>
      </c>
      <c r="L1875" s="3">
        <v>2708.2800000000007</v>
      </c>
      <c r="M1875" t="s">
        <v>11</v>
      </c>
    </row>
    <row r="1876" spans="1:13" x14ac:dyDescent="0.3">
      <c r="A1876">
        <v>2874</v>
      </c>
      <c r="B1876" t="s">
        <v>659</v>
      </c>
      <c r="C1876" t="s">
        <v>13</v>
      </c>
      <c r="D1876" t="s">
        <v>36</v>
      </c>
      <c r="E1876">
        <v>2</v>
      </c>
      <c r="F1876" s="3">
        <v>3754.23</v>
      </c>
      <c r="G1876" s="4">
        <v>0.87</v>
      </c>
      <c r="H1876" s="3">
        <v>7508.46</v>
      </c>
      <c r="I1876" s="1">
        <v>45561</v>
      </c>
      <c r="J1876" t="s">
        <v>22</v>
      </c>
      <c r="K1876" t="s">
        <v>23</v>
      </c>
      <c r="L1876" s="3">
        <v>976.09980000000007</v>
      </c>
      <c r="M1876" t="s">
        <v>11</v>
      </c>
    </row>
    <row r="1877" spans="1:13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F1877" s="3">
        <v>2681.1743636363635</v>
      </c>
      <c r="G1877" s="4">
        <v>0.6</v>
      </c>
      <c r="H1877" s="3">
        <v>5362.348727272727</v>
      </c>
      <c r="I1877" s="1">
        <v>45609</v>
      </c>
      <c r="J1877" t="s">
        <v>15</v>
      </c>
      <c r="K1877" t="s">
        <v>23</v>
      </c>
      <c r="L1877" s="3">
        <v>2144.9394909090911</v>
      </c>
      <c r="M1877" t="s">
        <v>11</v>
      </c>
    </row>
    <row r="1878" spans="1:13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 s="3">
        <v>3824.82</v>
      </c>
      <c r="G1878" s="4">
        <v>0.82</v>
      </c>
      <c r="H1878" s="3">
        <v>22948.920000000002</v>
      </c>
      <c r="I1878" s="1">
        <v>45506</v>
      </c>
      <c r="J1878" t="s">
        <v>40</v>
      </c>
      <c r="K1878" t="s">
        <v>16</v>
      </c>
      <c r="L1878" s="3">
        <v>4130.8056000000015</v>
      </c>
      <c r="M1878" t="s">
        <v>11</v>
      </c>
    </row>
    <row r="1879" spans="1:13" x14ac:dyDescent="0.3">
      <c r="A1879">
        <v>2877</v>
      </c>
      <c r="B1879" t="s">
        <v>1908</v>
      </c>
      <c r="C1879" t="s">
        <v>25</v>
      </c>
      <c r="D1879" t="s">
        <v>86</v>
      </c>
      <c r="E1879">
        <v>2</v>
      </c>
      <c r="F1879" s="3">
        <v>2501.5309999999999</v>
      </c>
      <c r="G1879" s="4">
        <v>0.28999999999999998</v>
      </c>
      <c r="H1879" s="3">
        <v>5003.0619999999999</v>
      </c>
      <c r="I1879" s="1">
        <v>45782</v>
      </c>
      <c r="J1879" t="s">
        <v>56</v>
      </c>
      <c r="K1879" t="s">
        <v>23</v>
      </c>
      <c r="L1879" s="3">
        <v>3552.1740199999999</v>
      </c>
      <c r="M1879" t="s">
        <v>11</v>
      </c>
    </row>
    <row r="1880" spans="1:13" x14ac:dyDescent="0.3">
      <c r="A1880">
        <v>2878</v>
      </c>
      <c r="B1880" t="s">
        <v>1909</v>
      </c>
      <c r="C1880" t="s">
        <v>20</v>
      </c>
      <c r="D1880" t="s">
        <v>80</v>
      </c>
      <c r="E1880">
        <v>2</v>
      </c>
      <c r="F1880" s="3">
        <v>2483.5844000000002</v>
      </c>
      <c r="G1880" s="4">
        <v>0.6</v>
      </c>
      <c r="H1880" s="3">
        <v>4967.1688000000004</v>
      </c>
      <c r="I1880" s="1">
        <v>45663</v>
      </c>
      <c r="J1880" t="s">
        <v>56</v>
      </c>
      <c r="K1880" t="s">
        <v>16</v>
      </c>
      <c r="L1880" s="3">
        <v>1986.8675200000002</v>
      </c>
      <c r="M1880" t="s">
        <v>11</v>
      </c>
    </row>
    <row r="1881" spans="1:13" x14ac:dyDescent="0.3">
      <c r="A1881">
        <v>2879</v>
      </c>
      <c r="B1881" t="s">
        <v>1910</v>
      </c>
      <c r="C1881" t="s">
        <v>20</v>
      </c>
      <c r="D1881" t="s">
        <v>80</v>
      </c>
      <c r="E1881">
        <v>2</v>
      </c>
      <c r="F1881" s="3">
        <v>2483.5844000000002</v>
      </c>
      <c r="G1881" s="4">
        <v>0.02</v>
      </c>
      <c r="H1881" s="3">
        <v>4967.1688000000004</v>
      </c>
      <c r="I1881" s="1">
        <v>45782</v>
      </c>
      <c r="J1881" t="s">
        <v>15</v>
      </c>
      <c r="K1881" t="s">
        <v>23</v>
      </c>
      <c r="L1881" s="3">
        <v>4867.8254240000006</v>
      </c>
      <c r="M1881" t="s">
        <v>11</v>
      </c>
    </row>
    <row r="1882" spans="1:13" x14ac:dyDescent="0.3">
      <c r="A1882">
        <v>2880</v>
      </c>
      <c r="B1882" t="s">
        <v>1911</v>
      </c>
      <c r="C1882" t="s">
        <v>29</v>
      </c>
      <c r="D1882" t="s">
        <v>30</v>
      </c>
      <c r="E1882">
        <v>2</v>
      </c>
      <c r="F1882" s="3">
        <v>2617.6390384615388</v>
      </c>
      <c r="G1882" s="4">
        <v>0.6</v>
      </c>
      <c r="H1882" s="3">
        <v>5235.2780769230776</v>
      </c>
      <c r="I1882" s="1">
        <v>45823</v>
      </c>
      <c r="J1882" t="s">
        <v>22</v>
      </c>
      <c r="K1882" t="s">
        <v>16</v>
      </c>
      <c r="L1882" s="3">
        <v>2094.111230769231</v>
      </c>
      <c r="M1882" t="s">
        <v>11</v>
      </c>
    </row>
    <row r="1883" spans="1:13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F1883" s="3">
        <v>2882.5046551724135</v>
      </c>
      <c r="G1883" s="4">
        <v>0.6</v>
      </c>
      <c r="H1883" s="3">
        <v>-5765.0093103448271</v>
      </c>
      <c r="I1883" s="1">
        <v>45538</v>
      </c>
      <c r="J1883" t="s">
        <v>56</v>
      </c>
      <c r="K1883" t="s">
        <v>16</v>
      </c>
      <c r="L1883" s="3">
        <v>-2306.0037241379309</v>
      </c>
      <c r="M1883" t="s">
        <v>2518</v>
      </c>
    </row>
    <row r="1884" spans="1:13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 s="3">
        <v>583.53</v>
      </c>
      <c r="G1884" s="4">
        <v>0.6</v>
      </c>
      <c r="H1884" s="3">
        <v>1750.59</v>
      </c>
      <c r="I1884" s="1">
        <v>45701</v>
      </c>
      <c r="J1884" t="s">
        <v>22</v>
      </c>
      <c r="K1884" t="s">
        <v>23</v>
      </c>
      <c r="L1884" s="3">
        <v>700.23599999999999</v>
      </c>
      <c r="M1884" t="s">
        <v>11</v>
      </c>
    </row>
    <row r="1885" spans="1:13" x14ac:dyDescent="0.3">
      <c r="A1885">
        <v>2883</v>
      </c>
      <c r="B1885" t="s">
        <v>1914</v>
      </c>
      <c r="C1885" t="s">
        <v>33</v>
      </c>
      <c r="D1885" t="s">
        <v>82</v>
      </c>
      <c r="E1885">
        <v>2</v>
      </c>
      <c r="F1885" s="3">
        <v>2320.7600000000002</v>
      </c>
      <c r="G1885" s="4">
        <v>0.6</v>
      </c>
      <c r="H1885" s="3">
        <v>4641.5200000000004</v>
      </c>
      <c r="I1885" s="1">
        <v>45850</v>
      </c>
      <c r="J1885" t="s">
        <v>18</v>
      </c>
      <c r="K1885" t="s">
        <v>16</v>
      </c>
      <c r="L1885" s="3">
        <v>1856.6080000000002</v>
      </c>
      <c r="M1885" t="s">
        <v>11</v>
      </c>
    </row>
    <row r="1886" spans="1:13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F1886" s="3">
        <v>2576.3056896551716</v>
      </c>
      <c r="G1886" s="4">
        <v>0.4</v>
      </c>
      <c r="H1886" s="3">
        <v>5152.6113793103432</v>
      </c>
      <c r="I1886" s="1">
        <v>45701</v>
      </c>
      <c r="J1886" t="s">
        <v>46</v>
      </c>
      <c r="K1886" t="s">
        <v>23</v>
      </c>
      <c r="L1886" s="3">
        <v>3091.5668275862058</v>
      </c>
      <c r="M1886" t="s">
        <v>11</v>
      </c>
    </row>
    <row r="1887" spans="1:13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 s="3">
        <v>2666.48</v>
      </c>
      <c r="G1887" s="4">
        <v>0.6</v>
      </c>
      <c r="H1887" s="3">
        <v>5332.96</v>
      </c>
      <c r="I1887" s="1">
        <v>45776</v>
      </c>
      <c r="J1887" t="s">
        <v>46</v>
      </c>
      <c r="K1887" t="s">
        <v>23</v>
      </c>
      <c r="L1887" s="3">
        <v>2133.1840000000002</v>
      </c>
      <c r="M1887" t="s">
        <v>11</v>
      </c>
    </row>
    <row r="1888" spans="1:13" x14ac:dyDescent="0.3">
      <c r="A1888">
        <v>2886</v>
      </c>
      <c r="B1888" t="s">
        <v>1917</v>
      </c>
      <c r="C1888" t="s">
        <v>33</v>
      </c>
      <c r="D1888" t="s">
        <v>82</v>
      </c>
      <c r="E1888">
        <v>2</v>
      </c>
      <c r="F1888" s="3">
        <v>3229.15</v>
      </c>
      <c r="G1888" s="4">
        <v>1.03</v>
      </c>
      <c r="H1888" s="3">
        <v>6458.3</v>
      </c>
      <c r="I1888" s="1">
        <v>45747</v>
      </c>
      <c r="J1888" t="s">
        <v>18</v>
      </c>
      <c r="K1888" t="s">
        <v>23</v>
      </c>
      <c r="L1888" s="3">
        <v>-193.74900000000017</v>
      </c>
      <c r="M1888" t="s">
        <v>2518</v>
      </c>
    </row>
    <row r="1889" spans="1:13" x14ac:dyDescent="0.3">
      <c r="A1889">
        <v>2887</v>
      </c>
      <c r="B1889" t="s">
        <v>1918</v>
      </c>
      <c r="C1889" t="s">
        <v>13</v>
      </c>
      <c r="D1889" t="s">
        <v>36</v>
      </c>
      <c r="E1889">
        <v>2</v>
      </c>
      <c r="F1889" s="3">
        <v>3331.72</v>
      </c>
      <c r="G1889" s="4">
        <v>1.25</v>
      </c>
      <c r="H1889" s="3">
        <v>6663.44</v>
      </c>
      <c r="I1889" s="1">
        <v>45782</v>
      </c>
      <c r="J1889" t="s">
        <v>22</v>
      </c>
      <c r="K1889" t="s">
        <v>23</v>
      </c>
      <c r="L1889" s="3">
        <v>-1665.86</v>
      </c>
      <c r="M1889" t="s">
        <v>2518</v>
      </c>
    </row>
    <row r="1890" spans="1:13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F1890" s="3">
        <v>3008.3844444444444</v>
      </c>
      <c r="G1890" s="4">
        <v>0.6</v>
      </c>
      <c r="H1890" s="3">
        <v>-3008.3844444444444</v>
      </c>
      <c r="I1890" s="1">
        <v>45148</v>
      </c>
      <c r="J1890" t="s">
        <v>18</v>
      </c>
      <c r="K1890" t="s">
        <v>23</v>
      </c>
      <c r="L1890" s="3">
        <v>-1203.3537777777779</v>
      </c>
      <c r="M1890" t="s">
        <v>2518</v>
      </c>
    </row>
    <row r="1891" spans="1:13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F1891" s="3">
        <v>2888.8714285714286</v>
      </c>
      <c r="G1891" s="4">
        <v>0.6</v>
      </c>
      <c r="H1891" s="3">
        <v>14444.357142857143</v>
      </c>
      <c r="I1891" s="1">
        <v>45130</v>
      </c>
      <c r="J1891" t="s">
        <v>56</v>
      </c>
      <c r="K1891" t="s">
        <v>23</v>
      </c>
      <c r="L1891" s="3">
        <v>5777.7428571428572</v>
      </c>
      <c r="M1891" t="s">
        <v>11</v>
      </c>
    </row>
    <row r="1892" spans="1:13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 s="3">
        <v>2357.36</v>
      </c>
      <c r="G1892" s="4">
        <v>0.6</v>
      </c>
      <c r="H1892" s="3">
        <v>2357.36</v>
      </c>
      <c r="I1892" s="1">
        <v>45413</v>
      </c>
      <c r="J1892" t="s">
        <v>46</v>
      </c>
      <c r="K1892" t="s">
        <v>23</v>
      </c>
      <c r="L1892" s="3">
        <v>942.94400000000007</v>
      </c>
      <c r="M1892" t="s">
        <v>11</v>
      </c>
    </row>
    <row r="1893" spans="1:13" x14ac:dyDescent="0.3">
      <c r="A1893">
        <v>2891</v>
      </c>
      <c r="B1893" t="s">
        <v>1922</v>
      </c>
      <c r="C1893" t="s">
        <v>20</v>
      </c>
      <c r="D1893" t="s">
        <v>21</v>
      </c>
      <c r="E1893">
        <v>2</v>
      </c>
      <c r="F1893" s="3">
        <v>2681.1743636363635</v>
      </c>
      <c r="G1893" s="4">
        <v>0.6</v>
      </c>
      <c r="H1893" s="3">
        <v>5362.348727272727</v>
      </c>
      <c r="I1893" s="1">
        <v>45782</v>
      </c>
      <c r="J1893" t="s">
        <v>18</v>
      </c>
      <c r="K1893" t="s">
        <v>23</v>
      </c>
      <c r="L1893" s="3">
        <v>2144.9394909090911</v>
      </c>
      <c r="M1893" t="s">
        <v>11</v>
      </c>
    </row>
    <row r="1894" spans="1:13" x14ac:dyDescent="0.3">
      <c r="A1894">
        <v>2892</v>
      </c>
      <c r="B1894" t="s">
        <v>1923</v>
      </c>
      <c r="C1894" t="s">
        <v>29</v>
      </c>
      <c r="D1894" t="s">
        <v>30</v>
      </c>
      <c r="E1894">
        <v>2</v>
      </c>
      <c r="F1894" s="3">
        <v>2617.6390384615388</v>
      </c>
      <c r="G1894" s="4">
        <v>0.6</v>
      </c>
      <c r="H1894" s="3">
        <v>5235.2780769230776</v>
      </c>
      <c r="I1894" s="1">
        <v>45519</v>
      </c>
      <c r="J1894" t="s">
        <v>18</v>
      </c>
      <c r="K1894" t="s">
        <v>23</v>
      </c>
      <c r="L1894" s="3">
        <v>2094.111230769231</v>
      </c>
      <c r="M1894" t="s">
        <v>11</v>
      </c>
    </row>
    <row r="1895" spans="1:13" x14ac:dyDescent="0.3">
      <c r="A1895">
        <v>2893</v>
      </c>
      <c r="B1895" t="s">
        <v>1924</v>
      </c>
      <c r="C1895" t="s">
        <v>25</v>
      </c>
      <c r="D1895" t="s">
        <v>26</v>
      </c>
      <c r="E1895">
        <v>2</v>
      </c>
      <c r="F1895" s="3">
        <v>2888.8714285714286</v>
      </c>
      <c r="G1895" s="4">
        <v>0.6</v>
      </c>
      <c r="H1895" s="3">
        <v>5777.7428571428572</v>
      </c>
      <c r="I1895" s="1">
        <v>45542</v>
      </c>
      <c r="J1895" t="s">
        <v>40</v>
      </c>
      <c r="K1895" t="s">
        <v>23</v>
      </c>
      <c r="L1895" s="3">
        <v>2311.0971428571429</v>
      </c>
      <c r="M1895" t="s">
        <v>11</v>
      </c>
    </row>
    <row r="1896" spans="1:13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F1896" s="3">
        <v>2888.8714285714286</v>
      </c>
      <c r="G1896" s="4">
        <v>0.6</v>
      </c>
      <c r="H1896" s="3">
        <v>8666.6142857142859</v>
      </c>
      <c r="I1896" s="1">
        <v>45782</v>
      </c>
      <c r="J1896" t="s">
        <v>40</v>
      </c>
      <c r="K1896" t="s">
        <v>23</v>
      </c>
      <c r="L1896" s="3">
        <v>3466.6457142857143</v>
      </c>
      <c r="M1896" t="s">
        <v>11</v>
      </c>
    </row>
    <row r="1897" spans="1:13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 s="3">
        <v>3593.06</v>
      </c>
      <c r="G1897" s="4">
        <v>0.34</v>
      </c>
      <c r="H1897" s="3">
        <v>7186.12</v>
      </c>
      <c r="I1897" s="1">
        <v>45782</v>
      </c>
      <c r="J1897" t="s">
        <v>56</v>
      </c>
      <c r="K1897" t="s">
        <v>16</v>
      </c>
      <c r="L1897" s="3">
        <v>4742.8391999999994</v>
      </c>
      <c r="M1897" t="s">
        <v>11</v>
      </c>
    </row>
    <row r="1898" spans="1:13" x14ac:dyDescent="0.3">
      <c r="A1898">
        <v>2896</v>
      </c>
      <c r="B1898" t="s">
        <v>1927</v>
      </c>
      <c r="C1898" t="s">
        <v>38</v>
      </c>
      <c r="D1898" t="s">
        <v>63</v>
      </c>
      <c r="E1898">
        <v>2</v>
      </c>
      <c r="F1898" s="3">
        <v>2845.2419672131159</v>
      </c>
      <c r="G1898" s="4">
        <v>0.6</v>
      </c>
      <c r="H1898" s="3">
        <v>5690.4839344262318</v>
      </c>
      <c r="I1898" s="1">
        <v>45552</v>
      </c>
      <c r="J1898" t="s">
        <v>56</v>
      </c>
      <c r="K1898" t="s">
        <v>16</v>
      </c>
      <c r="L1898" s="3">
        <v>2276.193573770493</v>
      </c>
      <c r="M1898" t="s">
        <v>11</v>
      </c>
    </row>
    <row r="1899" spans="1:13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 s="3">
        <v>1194.44</v>
      </c>
      <c r="G1899" s="4">
        <v>0.6</v>
      </c>
      <c r="H1899" s="3">
        <v>1194.44</v>
      </c>
      <c r="I1899" s="1">
        <v>45824</v>
      </c>
      <c r="J1899" t="s">
        <v>15</v>
      </c>
      <c r="K1899" t="s">
        <v>23</v>
      </c>
      <c r="L1899" s="3">
        <v>477.77600000000007</v>
      </c>
      <c r="M1899" t="s">
        <v>2518</v>
      </c>
    </row>
    <row r="1900" spans="1:13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F1900" s="3">
        <v>2845.2419672131159</v>
      </c>
      <c r="G1900" s="4">
        <v>0.54</v>
      </c>
      <c r="H1900" s="3">
        <v>17071.451803278695</v>
      </c>
      <c r="I1900" s="1">
        <v>45795</v>
      </c>
      <c r="J1900" t="s">
        <v>15</v>
      </c>
      <c r="K1900" t="s">
        <v>23</v>
      </c>
      <c r="L1900" s="3">
        <v>7852.8678295081991</v>
      </c>
      <c r="M1900" t="s">
        <v>11</v>
      </c>
    </row>
    <row r="1901" spans="1:13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 s="3">
        <v>3086.59</v>
      </c>
      <c r="G1901" s="4">
        <v>0.6</v>
      </c>
      <c r="H1901" s="3">
        <v>6173.18</v>
      </c>
      <c r="I1901" s="1">
        <v>45683</v>
      </c>
      <c r="J1901" t="s">
        <v>15</v>
      </c>
      <c r="K1901" t="s">
        <v>16</v>
      </c>
      <c r="L1901" s="3">
        <v>2469.2720000000004</v>
      </c>
      <c r="M1901" t="s">
        <v>11</v>
      </c>
    </row>
    <row r="1902" spans="1:13" x14ac:dyDescent="0.3">
      <c r="A1902">
        <v>2900</v>
      </c>
      <c r="B1902" t="s">
        <v>1931</v>
      </c>
      <c r="C1902" t="s">
        <v>38</v>
      </c>
      <c r="D1902" t="s">
        <v>63</v>
      </c>
      <c r="E1902">
        <v>2</v>
      </c>
      <c r="F1902" s="3">
        <v>2845.2419672131159</v>
      </c>
      <c r="G1902" s="4">
        <v>0.6</v>
      </c>
      <c r="H1902" s="3">
        <v>5690.4839344262318</v>
      </c>
      <c r="I1902" s="1">
        <v>45782</v>
      </c>
      <c r="J1902" t="s">
        <v>18</v>
      </c>
      <c r="K1902" t="s">
        <v>23</v>
      </c>
      <c r="L1902" s="3">
        <v>2276.193573770493</v>
      </c>
      <c r="M1902" t="s">
        <v>11</v>
      </c>
    </row>
    <row r="1903" spans="1:13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 s="3">
        <v>1817.71</v>
      </c>
      <c r="G1903" s="4">
        <v>0.6</v>
      </c>
      <c r="H1903" s="3">
        <v>3635.42</v>
      </c>
      <c r="I1903" s="1">
        <v>45775</v>
      </c>
      <c r="J1903" t="s">
        <v>22</v>
      </c>
      <c r="K1903" t="s">
        <v>16</v>
      </c>
      <c r="L1903" s="3">
        <v>1454.1680000000001</v>
      </c>
      <c r="M1903" t="s">
        <v>11</v>
      </c>
    </row>
    <row r="1904" spans="1:13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 s="3">
        <v>3153.37</v>
      </c>
      <c r="G1904" s="4">
        <v>0.6</v>
      </c>
      <c r="H1904" s="3">
        <v>15766.849999999999</v>
      </c>
      <c r="I1904" s="1">
        <v>45563</v>
      </c>
      <c r="J1904" t="s">
        <v>40</v>
      </c>
      <c r="K1904" t="s">
        <v>23</v>
      </c>
      <c r="L1904" s="3">
        <v>6306.74</v>
      </c>
      <c r="M1904" t="s">
        <v>11</v>
      </c>
    </row>
    <row r="1905" spans="1:13" x14ac:dyDescent="0.3">
      <c r="A1905">
        <v>2903</v>
      </c>
      <c r="B1905" t="s">
        <v>1934</v>
      </c>
      <c r="C1905" t="s">
        <v>33</v>
      </c>
      <c r="D1905" t="s">
        <v>72</v>
      </c>
      <c r="E1905">
        <v>2</v>
      </c>
      <c r="F1905" s="3">
        <v>2715.5458490566025</v>
      </c>
      <c r="G1905" s="4">
        <v>0.6</v>
      </c>
      <c r="H1905" s="3">
        <v>5431.091698113205</v>
      </c>
      <c r="I1905" s="1">
        <v>45782</v>
      </c>
      <c r="J1905" t="s">
        <v>56</v>
      </c>
      <c r="K1905" t="s">
        <v>16</v>
      </c>
      <c r="L1905" s="3">
        <v>2172.436679245282</v>
      </c>
      <c r="M1905" t="s">
        <v>11</v>
      </c>
    </row>
    <row r="1906" spans="1:13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 s="3">
        <v>1202.73</v>
      </c>
      <c r="G1906" s="4">
        <v>0.6</v>
      </c>
      <c r="H1906" s="3">
        <v>6013.65</v>
      </c>
      <c r="I1906" s="1">
        <v>45599</v>
      </c>
      <c r="J1906" t="s">
        <v>56</v>
      </c>
      <c r="K1906" t="s">
        <v>16</v>
      </c>
      <c r="L1906" s="3">
        <v>2405.46</v>
      </c>
      <c r="M1906" t="s">
        <v>11</v>
      </c>
    </row>
    <row r="1907" spans="1:13" x14ac:dyDescent="0.3">
      <c r="A1907">
        <v>2905</v>
      </c>
      <c r="B1907" t="s">
        <v>1936</v>
      </c>
      <c r="C1907" t="s">
        <v>13</v>
      </c>
      <c r="D1907" t="s">
        <v>49</v>
      </c>
      <c r="E1907">
        <v>2</v>
      </c>
      <c r="F1907" s="3">
        <v>1478.93</v>
      </c>
      <c r="G1907" s="4">
        <v>0.6</v>
      </c>
      <c r="H1907" s="3">
        <v>2957.86</v>
      </c>
      <c r="I1907" s="1">
        <v>45715</v>
      </c>
      <c r="J1907" t="s">
        <v>56</v>
      </c>
      <c r="K1907" t="s">
        <v>16</v>
      </c>
      <c r="L1907" s="3">
        <v>1183.144</v>
      </c>
      <c r="M1907" t="s">
        <v>11</v>
      </c>
    </row>
    <row r="1908" spans="1:13" x14ac:dyDescent="0.3">
      <c r="A1908">
        <v>2906</v>
      </c>
      <c r="B1908" t="s">
        <v>1937</v>
      </c>
      <c r="C1908" t="s">
        <v>38</v>
      </c>
      <c r="D1908" t="s">
        <v>91</v>
      </c>
      <c r="E1908">
        <v>2</v>
      </c>
      <c r="F1908" s="3">
        <v>2868.7768181818178</v>
      </c>
      <c r="G1908" s="4">
        <v>0.25</v>
      </c>
      <c r="H1908" s="3">
        <v>5737.5536363636356</v>
      </c>
      <c r="I1908" s="1">
        <v>45539</v>
      </c>
      <c r="J1908" t="s">
        <v>18</v>
      </c>
      <c r="K1908" t="s">
        <v>23</v>
      </c>
      <c r="L1908" s="3">
        <v>4303.165227272727</v>
      </c>
      <c r="M1908" t="s">
        <v>11</v>
      </c>
    </row>
    <row r="1909" spans="1:13" x14ac:dyDescent="0.3">
      <c r="A1909">
        <v>2907</v>
      </c>
      <c r="B1909" t="s">
        <v>1938</v>
      </c>
      <c r="C1909" t="s">
        <v>33</v>
      </c>
      <c r="D1909" t="s">
        <v>82</v>
      </c>
      <c r="E1909">
        <v>2</v>
      </c>
      <c r="F1909" s="3">
        <v>2776.2202000000002</v>
      </c>
      <c r="G1909" s="4">
        <v>0.6</v>
      </c>
      <c r="H1909" s="3">
        <v>5552.4404000000004</v>
      </c>
      <c r="I1909" s="1">
        <v>45778</v>
      </c>
      <c r="J1909" t="s">
        <v>56</v>
      </c>
      <c r="K1909" t="s">
        <v>23</v>
      </c>
      <c r="L1909" s="3">
        <v>2220.9761600000002</v>
      </c>
      <c r="M1909" t="s">
        <v>11</v>
      </c>
    </row>
    <row r="1910" spans="1:13" x14ac:dyDescent="0.3">
      <c r="A1910">
        <v>2908</v>
      </c>
      <c r="B1910" t="s">
        <v>1939</v>
      </c>
      <c r="C1910" t="s">
        <v>13</v>
      </c>
      <c r="D1910" t="s">
        <v>49</v>
      </c>
      <c r="E1910">
        <v>2</v>
      </c>
      <c r="F1910" s="3">
        <v>2785.0877966101693</v>
      </c>
      <c r="G1910" s="4">
        <v>0.51</v>
      </c>
      <c r="H1910" s="3">
        <v>5570.1755932203387</v>
      </c>
      <c r="I1910" s="1">
        <v>45136</v>
      </c>
      <c r="J1910" t="s">
        <v>46</v>
      </c>
      <c r="K1910" t="s">
        <v>16</v>
      </c>
      <c r="L1910" s="3">
        <v>2729.3860406779659</v>
      </c>
      <c r="M1910" t="s">
        <v>11</v>
      </c>
    </row>
    <row r="1911" spans="1:13" x14ac:dyDescent="0.3">
      <c r="A1911">
        <v>2909</v>
      </c>
      <c r="B1911" t="s">
        <v>1940</v>
      </c>
      <c r="C1911" t="s">
        <v>33</v>
      </c>
      <c r="D1911" t="s">
        <v>34</v>
      </c>
      <c r="E1911">
        <v>2</v>
      </c>
      <c r="F1911" s="3">
        <v>2928.84</v>
      </c>
      <c r="G1911" s="4">
        <v>0.6</v>
      </c>
      <c r="H1911" s="3">
        <v>5857.68</v>
      </c>
      <c r="I1911" s="1">
        <v>45727</v>
      </c>
      <c r="J1911" t="s">
        <v>15</v>
      </c>
      <c r="K1911" t="s">
        <v>23</v>
      </c>
      <c r="L1911" s="3">
        <v>2343.0720000000001</v>
      </c>
      <c r="M1911" t="s">
        <v>11</v>
      </c>
    </row>
    <row r="1912" spans="1:13" x14ac:dyDescent="0.3">
      <c r="A1912">
        <v>2910</v>
      </c>
      <c r="B1912" t="s">
        <v>1941</v>
      </c>
      <c r="C1912" t="s">
        <v>38</v>
      </c>
      <c r="D1912" t="s">
        <v>91</v>
      </c>
      <c r="E1912">
        <v>2</v>
      </c>
      <c r="F1912" s="3">
        <v>1027.54</v>
      </c>
      <c r="G1912" s="4">
        <v>0.55000000000000004</v>
      </c>
      <c r="H1912" s="3">
        <v>2055.08</v>
      </c>
      <c r="I1912" s="1">
        <v>45678</v>
      </c>
      <c r="J1912" t="s">
        <v>18</v>
      </c>
      <c r="K1912" t="s">
        <v>16</v>
      </c>
      <c r="L1912" s="3">
        <v>924.78599999999983</v>
      </c>
      <c r="M1912" t="s">
        <v>11</v>
      </c>
    </row>
    <row r="1913" spans="1:13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F1913" s="3">
        <v>3008.3844444444444</v>
      </c>
      <c r="G1913" s="4">
        <v>0.6</v>
      </c>
      <c r="H1913" s="3">
        <v>3008.3844444444444</v>
      </c>
      <c r="I1913" s="1">
        <v>45782</v>
      </c>
      <c r="J1913" t="s">
        <v>18</v>
      </c>
      <c r="K1913" t="s">
        <v>23</v>
      </c>
      <c r="L1913" s="3">
        <v>1203.3537777777779</v>
      </c>
      <c r="M1913" t="s">
        <v>11</v>
      </c>
    </row>
    <row r="1914" spans="1:13" x14ac:dyDescent="0.3">
      <c r="A1914">
        <v>2912</v>
      </c>
      <c r="B1914" t="s">
        <v>1943</v>
      </c>
      <c r="C1914" t="s">
        <v>25</v>
      </c>
      <c r="D1914" t="s">
        <v>86</v>
      </c>
      <c r="E1914">
        <v>2</v>
      </c>
      <c r="F1914" s="3">
        <v>2501.5309999999999</v>
      </c>
      <c r="G1914" s="4">
        <v>0.6</v>
      </c>
      <c r="H1914" s="3">
        <v>5003.0619999999999</v>
      </c>
      <c r="I1914" s="1">
        <v>45506</v>
      </c>
      <c r="J1914" t="s">
        <v>46</v>
      </c>
      <c r="K1914" t="s">
        <v>23</v>
      </c>
      <c r="L1914" s="3">
        <v>2001.2248</v>
      </c>
      <c r="M1914" t="s">
        <v>11</v>
      </c>
    </row>
    <row r="1915" spans="1:13" x14ac:dyDescent="0.3">
      <c r="A1915">
        <v>2913</v>
      </c>
      <c r="B1915" t="s">
        <v>1944</v>
      </c>
      <c r="C1915" t="s">
        <v>25</v>
      </c>
      <c r="D1915" t="s">
        <v>54</v>
      </c>
      <c r="E1915">
        <v>2</v>
      </c>
      <c r="F1915" s="3">
        <v>2530.3836538461546</v>
      </c>
      <c r="G1915" s="4">
        <v>0.6</v>
      </c>
      <c r="H1915" s="3">
        <v>5060.7673076923093</v>
      </c>
      <c r="I1915" s="1">
        <v>45782</v>
      </c>
      <c r="J1915" t="s">
        <v>18</v>
      </c>
      <c r="K1915" t="s">
        <v>16</v>
      </c>
      <c r="L1915" s="3">
        <v>2024.3069230769238</v>
      </c>
      <c r="M1915" t="s">
        <v>11</v>
      </c>
    </row>
    <row r="1916" spans="1:13" x14ac:dyDescent="0.3">
      <c r="A1916">
        <v>2914</v>
      </c>
      <c r="B1916" t="s">
        <v>1945</v>
      </c>
      <c r="C1916" t="s">
        <v>29</v>
      </c>
      <c r="D1916" t="s">
        <v>30</v>
      </c>
      <c r="E1916">
        <v>2</v>
      </c>
      <c r="F1916" s="3">
        <v>2617.6390384615388</v>
      </c>
      <c r="G1916" s="4">
        <v>1.03</v>
      </c>
      <c r="H1916" s="3">
        <v>5235.2780769230776</v>
      </c>
      <c r="I1916" s="1">
        <v>45281</v>
      </c>
      <c r="J1916" t="s">
        <v>15</v>
      </c>
      <c r="K1916" t="s">
        <v>23</v>
      </c>
      <c r="L1916" s="3">
        <v>-157.05834230769247</v>
      </c>
      <c r="M1916" t="s">
        <v>2518</v>
      </c>
    </row>
    <row r="1917" spans="1:13" x14ac:dyDescent="0.3">
      <c r="A1917">
        <v>2915</v>
      </c>
      <c r="B1917" t="s">
        <v>1946</v>
      </c>
      <c r="C1917" t="s">
        <v>29</v>
      </c>
      <c r="D1917" t="s">
        <v>30</v>
      </c>
      <c r="E1917">
        <v>2</v>
      </c>
      <c r="F1917" s="3">
        <v>3022.15</v>
      </c>
      <c r="G1917" s="4">
        <v>0.6</v>
      </c>
      <c r="H1917" s="3">
        <v>6044.3</v>
      </c>
      <c r="I1917" s="1">
        <v>45645</v>
      </c>
      <c r="J1917" t="s">
        <v>15</v>
      </c>
      <c r="K1917" t="s">
        <v>23</v>
      </c>
      <c r="L1917" s="3">
        <v>2417.7200000000003</v>
      </c>
      <c r="M1917" t="s">
        <v>11</v>
      </c>
    </row>
    <row r="1918" spans="1:13" x14ac:dyDescent="0.3">
      <c r="A1918">
        <v>2916</v>
      </c>
      <c r="B1918" t="s">
        <v>1947</v>
      </c>
      <c r="C1918" t="s">
        <v>20</v>
      </c>
      <c r="D1918" t="s">
        <v>88</v>
      </c>
      <c r="E1918">
        <v>2</v>
      </c>
      <c r="F1918" s="3">
        <v>2483.4899999999998</v>
      </c>
      <c r="G1918" s="4">
        <v>0.6</v>
      </c>
      <c r="H1918" s="3">
        <v>4966.9799999999996</v>
      </c>
      <c r="I1918" s="1">
        <v>45758</v>
      </c>
      <c r="J1918" t="s">
        <v>18</v>
      </c>
      <c r="K1918" t="s">
        <v>23</v>
      </c>
      <c r="L1918" s="3">
        <v>1986.7919999999999</v>
      </c>
      <c r="M1918" t="s">
        <v>11</v>
      </c>
    </row>
    <row r="1919" spans="1:13" x14ac:dyDescent="0.3">
      <c r="A1919">
        <v>1027</v>
      </c>
      <c r="B1919" t="s">
        <v>1948</v>
      </c>
      <c r="C1919" t="s">
        <v>29</v>
      </c>
      <c r="D1919" t="s">
        <v>120</v>
      </c>
      <c r="E1919">
        <v>2</v>
      </c>
      <c r="F1919" s="3">
        <v>2092.33</v>
      </c>
      <c r="G1919" s="4">
        <v>0.6</v>
      </c>
      <c r="H1919" s="3">
        <v>4184.66</v>
      </c>
      <c r="I1919" s="1">
        <v>45761</v>
      </c>
      <c r="J1919" t="s">
        <v>18</v>
      </c>
      <c r="K1919" t="s">
        <v>23</v>
      </c>
      <c r="L1919" s="3">
        <v>1673.864</v>
      </c>
      <c r="M1919" t="s">
        <v>11</v>
      </c>
    </row>
    <row r="1920" spans="1:13" x14ac:dyDescent="0.3">
      <c r="A1920">
        <v>2918</v>
      </c>
      <c r="B1920" t="s">
        <v>1949</v>
      </c>
      <c r="C1920" t="s">
        <v>25</v>
      </c>
      <c r="D1920" t="s">
        <v>54</v>
      </c>
      <c r="E1920">
        <v>2</v>
      </c>
      <c r="F1920" s="3">
        <v>2530.3836538461546</v>
      </c>
      <c r="G1920" s="4">
        <v>0.6</v>
      </c>
      <c r="H1920" s="3">
        <v>5060.7673076923093</v>
      </c>
      <c r="I1920" s="1">
        <v>45782</v>
      </c>
      <c r="J1920" t="s">
        <v>15</v>
      </c>
      <c r="K1920" t="s">
        <v>23</v>
      </c>
      <c r="L1920" s="3">
        <v>2024.3069230769238</v>
      </c>
      <c r="M1920" t="s">
        <v>11</v>
      </c>
    </row>
    <row r="1921" spans="1:13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 s="3">
        <v>535.62</v>
      </c>
      <c r="G1921" s="4">
        <v>0.6</v>
      </c>
      <c r="H1921" s="3">
        <v>1071.24</v>
      </c>
      <c r="I1921" s="1">
        <v>45500</v>
      </c>
      <c r="J1921" t="s">
        <v>40</v>
      </c>
      <c r="K1921" t="s">
        <v>16</v>
      </c>
      <c r="L1921" s="3">
        <v>428.49600000000004</v>
      </c>
      <c r="M1921" t="s">
        <v>2518</v>
      </c>
    </row>
    <row r="1922" spans="1:13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F1922" s="3">
        <v>2617.6390384615388</v>
      </c>
      <c r="G1922" s="4">
        <v>1.3</v>
      </c>
      <c r="H1922" s="3">
        <v>2617.6390384615388</v>
      </c>
      <c r="I1922" s="1">
        <v>45648</v>
      </c>
      <c r="J1922" t="s">
        <v>56</v>
      </c>
      <c r="K1922" t="s">
        <v>23</v>
      </c>
      <c r="L1922" s="3">
        <v>-785.29171153846175</v>
      </c>
      <c r="M1922" t="s">
        <v>2518</v>
      </c>
    </row>
    <row r="1923" spans="1:13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F1923" s="3">
        <v>2530.3836538461546</v>
      </c>
      <c r="G1923" s="4">
        <v>0.6</v>
      </c>
      <c r="H1923" s="3">
        <v>15182.301923076928</v>
      </c>
      <c r="I1923" s="1">
        <v>45826</v>
      </c>
      <c r="J1923" t="s">
        <v>56</v>
      </c>
      <c r="K1923" t="s">
        <v>23</v>
      </c>
      <c r="L1923" s="3">
        <v>6072.9207692307718</v>
      </c>
      <c r="M1923" t="s">
        <v>11</v>
      </c>
    </row>
    <row r="1924" spans="1:13" x14ac:dyDescent="0.3">
      <c r="A1924">
        <v>2922</v>
      </c>
      <c r="B1924" t="s">
        <v>1952</v>
      </c>
      <c r="C1924" t="s">
        <v>20</v>
      </c>
      <c r="D1924" t="s">
        <v>122</v>
      </c>
      <c r="E1924">
        <v>2</v>
      </c>
      <c r="F1924" s="3">
        <v>2488.9499999999998</v>
      </c>
      <c r="G1924" s="4">
        <v>1.23</v>
      </c>
      <c r="H1924" s="3">
        <v>4977.8999999999996</v>
      </c>
      <c r="I1924" s="1">
        <v>45782</v>
      </c>
      <c r="J1924" t="s">
        <v>56</v>
      </c>
      <c r="K1924" t="s">
        <v>16</v>
      </c>
      <c r="L1924" s="3">
        <v>-1144.9169999999999</v>
      </c>
      <c r="M1924" t="s">
        <v>2518</v>
      </c>
    </row>
    <row r="1925" spans="1:13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F1925" s="3">
        <v>2559.6667307692314</v>
      </c>
      <c r="G1925" s="4">
        <v>0.17</v>
      </c>
      <c r="H1925" s="3">
        <v>0</v>
      </c>
      <c r="I1925" s="1">
        <v>45311</v>
      </c>
      <c r="J1925" t="s">
        <v>56</v>
      </c>
      <c r="K1925" t="s">
        <v>16</v>
      </c>
      <c r="L1925" s="3">
        <v>0</v>
      </c>
      <c r="M1925" t="s">
        <v>2518</v>
      </c>
    </row>
    <row r="1926" spans="1:13" x14ac:dyDescent="0.3">
      <c r="A1926">
        <v>2924</v>
      </c>
      <c r="B1926" t="s">
        <v>1954</v>
      </c>
      <c r="C1926" t="s">
        <v>20</v>
      </c>
      <c r="D1926" t="s">
        <v>80</v>
      </c>
      <c r="E1926">
        <v>2</v>
      </c>
      <c r="F1926" s="3">
        <v>4151.88</v>
      </c>
      <c r="G1926" s="4">
        <v>0.05</v>
      </c>
      <c r="H1926" s="3">
        <v>8303.76</v>
      </c>
      <c r="I1926" s="1">
        <v>45746</v>
      </c>
      <c r="J1926" t="s">
        <v>46</v>
      </c>
      <c r="K1926" t="s">
        <v>23</v>
      </c>
      <c r="L1926" s="3">
        <v>7888.5720000000001</v>
      </c>
      <c r="M1926" t="s">
        <v>11</v>
      </c>
    </row>
    <row r="1927" spans="1:13" x14ac:dyDescent="0.3">
      <c r="A1927">
        <v>1004</v>
      </c>
      <c r="B1927" t="s">
        <v>1955</v>
      </c>
      <c r="C1927" t="s">
        <v>13</v>
      </c>
      <c r="D1927" t="s">
        <v>14</v>
      </c>
      <c r="E1927">
        <v>2</v>
      </c>
      <c r="F1927" s="3">
        <v>977.64</v>
      </c>
      <c r="G1927" s="4">
        <v>0.6</v>
      </c>
      <c r="H1927" s="3">
        <v>1955.28</v>
      </c>
      <c r="I1927" s="1">
        <v>45613</v>
      </c>
      <c r="J1927" t="s">
        <v>40</v>
      </c>
      <c r="K1927" t="s">
        <v>23</v>
      </c>
      <c r="L1927" s="3">
        <v>782.11200000000008</v>
      </c>
      <c r="M1927" t="s">
        <v>11</v>
      </c>
    </row>
    <row r="1928" spans="1:13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 s="3">
        <v>3263.06</v>
      </c>
      <c r="G1928" s="4">
        <v>0.16</v>
      </c>
      <c r="H1928" s="3">
        <v>13052.24</v>
      </c>
      <c r="I1928" s="1">
        <v>45611</v>
      </c>
      <c r="J1928" t="s">
        <v>22</v>
      </c>
      <c r="K1928" t="s">
        <v>23</v>
      </c>
      <c r="L1928" s="3">
        <v>10963.881599999999</v>
      </c>
      <c r="M1928" t="s">
        <v>11</v>
      </c>
    </row>
    <row r="1929" spans="1:13" x14ac:dyDescent="0.3">
      <c r="A1929">
        <v>2927</v>
      </c>
      <c r="B1929" t="s">
        <v>1957</v>
      </c>
      <c r="C1929" t="s">
        <v>38</v>
      </c>
      <c r="D1929" t="s">
        <v>63</v>
      </c>
      <c r="E1929">
        <v>2</v>
      </c>
      <c r="F1929" s="3">
        <v>2845.2419672131159</v>
      </c>
      <c r="G1929" s="4">
        <v>0.6</v>
      </c>
      <c r="H1929" s="3">
        <v>5690.4839344262318</v>
      </c>
      <c r="I1929" s="1">
        <v>45859</v>
      </c>
      <c r="J1929" t="s">
        <v>22</v>
      </c>
      <c r="K1929" t="s">
        <v>23</v>
      </c>
      <c r="L1929" s="3">
        <v>2276.193573770493</v>
      </c>
      <c r="M1929" t="s">
        <v>11</v>
      </c>
    </row>
    <row r="1930" spans="1:13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F1930" s="3">
        <v>2530.3836538461546</v>
      </c>
      <c r="G1930" s="4">
        <v>0.78</v>
      </c>
      <c r="H1930" s="3">
        <v>0</v>
      </c>
      <c r="I1930" s="1">
        <v>45597</v>
      </c>
      <c r="J1930" t="s">
        <v>15</v>
      </c>
      <c r="K1930" t="s">
        <v>23</v>
      </c>
      <c r="L1930" s="3">
        <v>0</v>
      </c>
      <c r="M1930" t="s">
        <v>2518</v>
      </c>
    </row>
    <row r="1931" spans="1:13" x14ac:dyDescent="0.3">
      <c r="A1931">
        <v>2929</v>
      </c>
      <c r="B1931" t="s">
        <v>1959</v>
      </c>
      <c r="C1931" t="s">
        <v>33</v>
      </c>
      <c r="D1931" t="s">
        <v>72</v>
      </c>
      <c r="E1931">
        <v>2</v>
      </c>
      <c r="F1931" s="3">
        <v>4733.41</v>
      </c>
      <c r="G1931" s="4">
        <v>1.1299999999999999</v>
      </c>
      <c r="H1931" s="3">
        <v>9466.82</v>
      </c>
      <c r="I1931" s="1">
        <v>45637</v>
      </c>
      <c r="J1931" t="s">
        <v>40</v>
      </c>
      <c r="K1931" t="s">
        <v>16</v>
      </c>
      <c r="L1931" s="3">
        <v>-1230.6865999999989</v>
      </c>
      <c r="M1931" t="s">
        <v>2518</v>
      </c>
    </row>
    <row r="1932" spans="1:13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 s="3">
        <v>2642.73</v>
      </c>
      <c r="G1932" s="4">
        <v>0.09</v>
      </c>
      <c r="H1932" s="3">
        <v>0</v>
      </c>
      <c r="I1932" s="1">
        <v>45709</v>
      </c>
      <c r="J1932" t="s">
        <v>18</v>
      </c>
      <c r="K1932" t="s">
        <v>23</v>
      </c>
      <c r="L1932" s="3">
        <v>0</v>
      </c>
      <c r="M1932" t="s">
        <v>2518</v>
      </c>
    </row>
    <row r="1933" spans="1:13" x14ac:dyDescent="0.3">
      <c r="A1933">
        <v>2931</v>
      </c>
      <c r="B1933" t="s">
        <v>1961</v>
      </c>
      <c r="C1933" t="s">
        <v>13</v>
      </c>
      <c r="D1933" t="s">
        <v>102</v>
      </c>
      <c r="E1933">
        <v>2</v>
      </c>
      <c r="F1933" s="3">
        <v>2629.78</v>
      </c>
      <c r="G1933" s="4">
        <v>1.3</v>
      </c>
      <c r="H1933" s="3">
        <v>5259.56</v>
      </c>
      <c r="I1933" s="1">
        <v>45782</v>
      </c>
      <c r="J1933" t="s">
        <v>15</v>
      </c>
      <c r="K1933" t="s">
        <v>23</v>
      </c>
      <c r="L1933" s="3">
        <v>-1577.8680000000004</v>
      </c>
      <c r="M1933" t="s">
        <v>2518</v>
      </c>
    </row>
    <row r="1934" spans="1:13" x14ac:dyDescent="0.3">
      <c r="A1934">
        <v>2932</v>
      </c>
      <c r="B1934" t="s">
        <v>1962</v>
      </c>
      <c r="C1934" t="s">
        <v>25</v>
      </c>
      <c r="D1934" t="s">
        <v>54</v>
      </c>
      <c r="E1934">
        <v>2</v>
      </c>
      <c r="F1934" s="3">
        <v>2530.3836538461546</v>
      </c>
      <c r="G1934" s="4">
        <v>0.6</v>
      </c>
      <c r="H1934" s="3">
        <v>5060.7673076923093</v>
      </c>
      <c r="I1934" s="1">
        <v>45571</v>
      </c>
      <c r="J1934" t="s">
        <v>56</v>
      </c>
      <c r="K1934" t="s">
        <v>23</v>
      </c>
      <c r="L1934" s="3">
        <v>2024.3069230769238</v>
      </c>
      <c r="M1934" t="s">
        <v>11</v>
      </c>
    </row>
    <row r="1935" spans="1:13" x14ac:dyDescent="0.3">
      <c r="A1935">
        <v>2933</v>
      </c>
      <c r="B1935" t="s">
        <v>1963</v>
      </c>
      <c r="C1935" t="s">
        <v>13</v>
      </c>
      <c r="D1935" t="s">
        <v>49</v>
      </c>
      <c r="E1935">
        <v>2</v>
      </c>
      <c r="F1935" s="3">
        <v>2891</v>
      </c>
      <c r="G1935" s="4">
        <v>0.6</v>
      </c>
      <c r="H1935" s="3">
        <v>5782</v>
      </c>
      <c r="I1935" s="1">
        <v>45760</v>
      </c>
      <c r="J1935" t="s">
        <v>15</v>
      </c>
      <c r="K1935" t="s">
        <v>16</v>
      </c>
      <c r="L1935" s="3">
        <v>2312.8000000000002</v>
      </c>
      <c r="M1935" t="s">
        <v>11</v>
      </c>
    </row>
    <row r="1936" spans="1:13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F1936" s="3">
        <v>2845.2419672131159</v>
      </c>
      <c r="G1936" s="4">
        <v>0.6</v>
      </c>
      <c r="H1936" s="3">
        <v>14226.20983606558</v>
      </c>
      <c r="I1936" s="1">
        <v>45656</v>
      </c>
      <c r="J1936" t="s">
        <v>18</v>
      </c>
      <c r="K1936" t="s">
        <v>23</v>
      </c>
      <c r="L1936" s="3">
        <v>5690.4839344262327</v>
      </c>
      <c r="M1936" t="s">
        <v>11</v>
      </c>
    </row>
    <row r="1937" spans="1:13" x14ac:dyDescent="0.3">
      <c r="A1937">
        <v>2935</v>
      </c>
      <c r="B1937" t="s">
        <v>1965</v>
      </c>
      <c r="C1937" t="s">
        <v>25</v>
      </c>
      <c r="D1937" t="s">
        <v>26</v>
      </c>
      <c r="E1937">
        <v>2</v>
      </c>
      <c r="F1937" s="3">
        <v>3681.08</v>
      </c>
      <c r="G1937" s="4">
        <v>0.6</v>
      </c>
      <c r="H1937" s="3">
        <v>7362.16</v>
      </c>
      <c r="I1937" s="1">
        <v>45782</v>
      </c>
      <c r="J1937" t="s">
        <v>56</v>
      </c>
      <c r="K1937" t="s">
        <v>23</v>
      </c>
      <c r="L1937" s="3">
        <v>2944.864</v>
      </c>
      <c r="M1937" t="s">
        <v>11</v>
      </c>
    </row>
    <row r="1938" spans="1:13" x14ac:dyDescent="0.3">
      <c r="A1938">
        <v>2936</v>
      </c>
      <c r="B1938" t="s">
        <v>1966</v>
      </c>
      <c r="C1938" t="s">
        <v>25</v>
      </c>
      <c r="D1938" t="s">
        <v>26</v>
      </c>
      <c r="E1938">
        <v>2</v>
      </c>
      <c r="F1938" s="3">
        <v>4487.5</v>
      </c>
      <c r="G1938" s="4">
        <v>0.6</v>
      </c>
      <c r="H1938" s="3">
        <v>8975</v>
      </c>
      <c r="I1938" s="1">
        <v>45831</v>
      </c>
      <c r="J1938" t="s">
        <v>46</v>
      </c>
      <c r="K1938" t="s">
        <v>23</v>
      </c>
      <c r="L1938" s="3">
        <v>3590</v>
      </c>
      <c r="M1938" t="s">
        <v>11</v>
      </c>
    </row>
    <row r="1939" spans="1:13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F1939" s="3">
        <v>2559.6667307692314</v>
      </c>
      <c r="G1939" s="4">
        <v>0.6</v>
      </c>
      <c r="H1939" s="3">
        <v>-5119.3334615384629</v>
      </c>
      <c r="I1939" s="1">
        <v>45625</v>
      </c>
      <c r="J1939" t="s">
        <v>22</v>
      </c>
      <c r="K1939" t="s">
        <v>23</v>
      </c>
      <c r="L1939" s="3">
        <v>-2047.7333846153851</v>
      </c>
      <c r="M1939" t="s">
        <v>2518</v>
      </c>
    </row>
    <row r="1940" spans="1:13" x14ac:dyDescent="0.3">
      <c r="A1940">
        <v>2938</v>
      </c>
      <c r="B1940" t="s">
        <v>633</v>
      </c>
      <c r="C1940" t="s">
        <v>25</v>
      </c>
      <c r="D1940" t="s">
        <v>86</v>
      </c>
      <c r="E1940">
        <v>2</v>
      </c>
      <c r="F1940" s="3">
        <v>2429.63</v>
      </c>
      <c r="G1940" s="4">
        <v>0.6</v>
      </c>
      <c r="H1940" s="3">
        <v>4859.26</v>
      </c>
      <c r="I1940" s="1">
        <v>45782</v>
      </c>
      <c r="J1940" t="s">
        <v>18</v>
      </c>
      <c r="K1940" t="s">
        <v>23</v>
      </c>
      <c r="L1940" s="3">
        <v>1943.7040000000002</v>
      </c>
      <c r="M1940" t="s">
        <v>11</v>
      </c>
    </row>
    <row r="1941" spans="1:13" x14ac:dyDescent="0.3">
      <c r="A1941">
        <v>2939</v>
      </c>
      <c r="B1941" t="s">
        <v>1968</v>
      </c>
      <c r="C1941" t="s">
        <v>25</v>
      </c>
      <c r="D1941" t="s">
        <v>54</v>
      </c>
      <c r="E1941">
        <v>2</v>
      </c>
      <c r="F1941" s="3">
        <v>2530.3836538461546</v>
      </c>
      <c r="G1941" s="4">
        <v>0.6</v>
      </c>
      <c r="H1941" s="3">
        <v>5060.7673076923093</v>
      </c>
      <c r="I1941" s="1">
        <v>45680</v>
      </c>
      <c r="J1941" t="s">
        <v>40</v>
      </c>
      <c r="K1941" t="s">
        <v>23</v>
      </c>
      <c r="L1941" s="3">
        <v>2024.3069230769238</v>
      </c>
      <c r="M1941" t="s">
        <v>11</v>
      </c>
    </row>
    <row r="1942" spans="1:13" x14ac:dyDescent="0.3">
      <c r="A1942">
        <v>2940</v>
      </c>
      <c r="B1942" t="s">
        <v>1969</v>
      </c>
      <c r="C1942" t="s">
        <v>25</v>
      </c>
      <c r="D1942" t="s">
        <v>66</v>
      </c>
      <c r="E1942">
        <v>2</v>
      </c>
      <c r="F1942" s="3">
        <v>2572.7764000000006</v>
      </c>
      <c r="G1942" s="4">
        <v>0.6</v>
      </c>
      <c r="H1942" s="3">
        <v>5145.5528000000013</v>
      </c>
      <c r="I1942" s="1">
        <v>45697</v>
      </c>
      <c r="J1942" t="s">
        <v>56</v>
      </c>
      <c r="K1942" t="s">
        <v>16</v>
      </c>
      <c r="L1942" s="3">
        <v>2058.2211200000006</v>
      </c>
      <c r="M1942" t="s">
        <v>11</v>
      </c>
    </row>
    <row r="1943" spans="1:13" x14ac:dyDescent="0.3">
      <c r="A1943">
        <v>2941</v>
      </c>
      <c r="B1943" t="s">
        <v>1970</v>
      </c>
      <c r="C1943" t="s">
        <v>20</v>
      </c>
      <c r="D1943" t="s">
        <v>21</v>
      </c>
      <c r="E1943">
        <v>2</v>
      </c>
      <c r="F1943" s="3">
        <v>2144.36</v>
      </c>
      <c r="G1943" s="4">
        <v>0.6</v>
      </c>
      <c r="H1943" s="3">
        <v>4288.72</v>
      </c>
      <c r="I1943" s="1">
        <v>45497</v>
      </c>
      <c r="J1943" t="s">
        <v>46</v>
      </c>
      <c r="K1943" t="s">
        <v>16</v>
      </c>
      <c r="L1943" s="3">
        <v>1715.4880000000003</v>
      </c>
      <c r="M1943" t="s">
        <v>11</v>
      </c>
    </row>
    <row r="1944" spans="1:13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F1944" s="3">
        <v>2559.6667307692314</v>
      </c>
      <c r="G1944" s="4">
        <v>0.56000000000000005</v>
      </c>
      <c r="H1944" s="3">
        <v>5119.3334615384629</v>
      </c>
      <c r="I1944" s="1">
        <v>45782</v>
      </c>
      <c r="J1944" t="s">
        <v>46</v>
      </c>
      <c r="K1944" t="s">
        <v>23</v>
      </c>
      <c r="L1944" s="3">
        <v>2252.5067230769232</v>
      </c>
      <c r="M1944" t="s">
        <v>11</v>
      </c>
    </row>
    <row r="1945" spans="1:13" x14ac:dyDescent="0.3">
      <c r="A1945">
        <v>2943</v>
      </c>
      <c r="B1945" t="s">
        <v>1972</v>
      </c>
      <c r="C1945" t="s">
        <v>13</v>
      </c>
      <c r="D1945" t="s">
        <v>36</v>
      </c>
      <c r="E1945">
        <v>2</v>
      </c>
      <c r="F1945" s="3">
        <v>4638.0200000000004</v>
      </c>
      <c r="G1945" s="4">
        <v>0.6</v>
      </c>
      <c r="H1945" s="3">
        <v>9276.0400000000009</v>
      </c>
      <c r="I1945" s="1">
        <v>45723</v>
      </c>
      <c r="J1945" t="s">
        <v>46</v>
      </c>
      <c r="K1945" t="s">
        <v>23</v>
      </c>
      <c r="L1945" s="3">
        <v>3710.4160000000006</v>
      </c>
      <c r="M1945" t="s">
        <v>11</v>
      </c>
    </row>
    <row r="1946" spans="1:13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 s="3">
        <v>1313.35</v>
      </c>
      <c r="G1946" s="4">
        <v>0.2</v>
      </c>
      <c r="H1946" s="3">
        <v>1313.35</v>
      </c>
      <c r="I1946" s="1">
        <v>45722</v>
      </c>
      <c r="J1946" t="s">
        <v>56</v>
      </c>
      <c r="K1946" t="s">
        <v>16</v>
      </c>
      <c r="L1946" s="3">
        <v>1050.68</v>
      </c>
      <c r="M1946" t="s">
        <v>11</v>
      </c>
    </row>
    <row r="1947" spans="1:13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F1947" s="3">
        <v>2501.5309999999999</v>
      </c>
      <c r="G1947" s="4">
        <v>0.6</v>
      </c>
      <c r="H1947" s="3">
        <v>2501.5309999999999</v>
      </c>
      <c r="I1947" s="1">
        <v>45592</v>
      </c>
      <c r="J1947" t="s">
        <v>22</v>
      </c>
      <c r="K1947" t="s">
        <v>23</v>
      </c>
      <c r="L1947" s="3">
        <v>1000.6124</v>
      </c>
      <c r="M1947" t="s">
        <v>11</v>
      </c>
    </row>
    <row r="1948" spans="1:13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F1948" s="3">
        <v>2845.2419672131159</v>
      </c>
      <c r="G1948" s="4">
        <v>1.2</v>
      </c>
      <c r="H1948" s="3">
        <v>-2845.2419672131159</v>
      </c>
      <c r="I1948" s="1">
        <v>45253</v>
      </c>
      <c r="J1948" t="s">
        <v>22</v>
      </c>
      <c r="K1948" t="s">
        <v>23</v>
      </c>
      <c r="L1948" s="3">
        <v>569.04839344262302</v>
      </c>
      <c r="M1948" t="s">
        <v>11</v>
      </c>
    </row>
    <row r="1949" spans="1:13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F1949" s="3">
        <v>2501.5309999999999</v>
      </c>
      <c r="G1949" s="4">
        <v>0.97</v>
      </c>
      <c r="H1949" s="3">
        <v>5003.0619999999999</v>
      </c>
      <c r="I1949" s="1">
        <v>45699</v>
      </c>
      <c r="J1949" t="s">
        <v>22</v>
      </c>
      <c r="K1949" t="s">
        <v>16</v>
      </c>
      <c r="L1949" s="3">
        <v>150.09186000000014</v>
      </c>
      <c r="M1949" t="s">
        <v>2518</v>
      </c>
    </row>
    <row r="1950" spans="1:13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 s="3">
        <v>2494.15</v>
      </c>
      <c r="G1950" s="4">
        <v>0.6</v>
      </c>
      <c r="H1950" s="3">
        <v>12470.75</v>
      </c>
      <c r="I1950" s="1">
        <v>45695</v>
      </c>
      <c r="J1950" t="s">
        <v>15</v>
      </c>
      <c r="K1950" t="s">
        <v>23</v>
      </c>
      <c r="L1950" s="3">
        <v>4988.3</v>
      </c>
      <c r="M1950" t="s">
        <v>11</v>
      </c>
    </row>
    <row r="1951" spans="1:13" x14ac:dyDescent="0.3">
      <c r="A1951">
        <v>2949</v>
      </c>
      <c r="B1951" t="s">
        <v>1977</v>
      </c>
      <c r="C1951" t="s">
        <v>13</v>
      </c>
      <c r="D1951" t="s">
        <v>36</v>
      </c>
      <c r="E1951">
        <v>2</v>
      </c>
      <c r="F1951" s="3">
        <v>2882.5046551724135</v>
      </c>
      <c r="G1951" s="4">
        <v>0.1</v>
      </c>
      <c r="H1951" s="3">
        <v>5765.0093103448271</v>
      </c>
      <c r="I1951" s="1">
        <v>45782</v>
      </c>
      <c r="J1951" t="s">
        <v>46</v>
      </c>
      <c r="K1951" t="s">
        <v>23</v>
      </c>
      <c r="L1951" s="3">
        <v>5188.5083793103449</v>
      </c>
      <c r="M1951" t="s">
        <v>11</v>
      </c>
    </row>
    <row r="1952" spans="1:13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F1952" s="3">
        <v>2617.6390384615388</v>
      </c>
      <c r="G1952" s="4">
        <v>0.27</v>
      </c>
      <c r="H1952" s="3">
        <v>5235.2780769230776</v>
      </c>
      <c r="I1952" s="1">
        <v>45652</v>
      </c>
      <c r="J1952" t="s">
        <v>40</v>
      </c>
      <c r="K1952" t="s">
        <v>23</v>
      </c>
      <c r="L1952" s="3">
        <v>3821.7529961538467</v>
      </c>
      <c r="M1952" t="s">
        <v>11</v>
      </c>
    </row>
    <row r="1953" spans="1:13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F1953" s="3">
        <v>2845.2419672131159</v>
      </c>
      <c r="G1953" s="4">
        <v>0.6</v>
      </c>
      <c r="H1953" s="3">
        <v>14226.20983606558</v>
      </c>
      <c r="I1953" s="1">
        <v>45782</v>
      </c>
      <c r="J1953" t="s">
        <v>15</v>
      </c>
      <c r="K1953" t="s">
        <v>16</v>
      </c>
      <c r="L1953" s="3">
        <v>5690.4839344262327</v>
      </c>
      <c r="M1953" t="s">
        <v>11</v>
      </c>
    </row>
    <row r="1954" spans="1:13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 s="3">
        <v>470.68</v>
      </c>
      <c r="G1954" s="4">
        <v>0.06</v>
      </c>
      <c r="H1954" s="3">
        <v>-941.36</v>
      </c>
      <c r="I1954" s="1">
        <v>45615</v>
      </c>
      <c r="J1954" t="s">
        <v>18</v>
      </c>
      <c r="K1954" t="s">
        <v>23</v>
      </c>
      <c r="L1954" s="3">
        <v>-884.87839999999994</v>
      </c>
      <c r="M1954" t="s">
        <v>2518</v>
      </c>
    </row>
    <row r="1955" spans="1:13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 s="3">
        <v>3500.98</v>
      </c>
      <c r="G1955" s="4">
        <v>0.6</v>
      </c>
      <c r="H1955" s="3">
        <v>10502.94</v>
      </c>
      <c r="I1955" s="1">
        <v>45782</v>
      </c>
      <c r="J1955" t="s">
        <v>22</v>
      </c>
      <c r="K1955" t="s">
        <v>23</v>
      </c>
      <c r="L1955" s="3">
        <v>4201.1760000000004</v>
      </c>
      <c r="M1955" t="s">
        <v>11</v>
      </c>
    </row>
    <row r="1956" spans="1:13" x14ac:dyDescent="0.3">
      <c r="A1956">
        <v>2954</v>
      </c>
      <c r="B1956" t="s">
        <v>1982</v>
      </c>
      <c r="C1956" t="s">
        <v>38</v>
      </c>
      <c r="D1956" t="s">
        <v>59</v>
      </c>
      <c r="E1956">
        <v>2</v>
      </c>
      <c r="F1956" s="3">
        <v>2804.2651923076919</v>
      </c>
      <c r="G1956" s="4">
        <v>0.6</v>
      </c>
      <c r="H1956" s="3">
        <v>5608.5303846153838</v>
      </c>
      <c r="I1956" s="1">
        <v>45518</v>
      </c>
      <c r="J1956" t="s">
        <v>56</v>
      </c>
      <c r="K1956" t="s">
        <v>23</v>
      </c>
      <c r="L1956" s="3">
        <v>2243.4121538461536</v>
      </c>
      <c r="M1956" t="s">
        <v>11</v>
      </c>
    </row>
    <row r="1957" spans="1:13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F1957" s="3">
        <v>2845.2419672131159</v>
      </c>
      <c r="G1957" s="4">
        <v>1.28</v>
      </c>
      <c r="H1957" s="3">
        <v>17071.451803278695</v>
      </c>
      <c r="I1957" s="1">
        <v>45824</v>
      </c>
      <c r="J1957" t="s">
        <v>18</v>
      </c>
      <c r="K1957" t="s">
        <v>23</v>
      </c>
      <c r="L1957" s="3">
        <v>-4780.0065049180348</v>
      </c>
      <c r="M1957" t="s">
        <v>2518</v>
      </c>
    </row>
    <row r="1958" spans="1:13" x14ac:dyDescent="0.3">
      <c r="A1958">
        <v>2956</v>
      </c>
      <c r="B1958" t="s">
        <v>1984</v>
      </c>
      <c r="C1958" t="s">
        <v>20</v>
      </c>
      <c r="D1958" t="s">
        <v>21</v>
      </c>
      <c r="E1958">
        <v>2</v>
      </c>
      <c r="F1958" s="3">
        <v>2710.15</v>
      </c>
      <c r="G1958" s="4">
        <v>0.6</v>
      </c>
      <c r="H1958" s="3">
        <v>5420.3</v>
      </c>
      <c r="I1958" s="1">
        <v>45647</v>
      </c>
      <c r="J1958" t="s">
        <v>15</v>
      </c>
      <c r="K1958" t="s">
        <v>16</v>
      </c>
      <c r="L1958" s="3">
        <v>2168.1200000000003</v>
      </c>
      <c r="M1958" t="s">
        <v>11</v>
      </c>
    </row>
    <row r="1959" spans="1:13" x14ac:dyDescent="0.3">
      <c r="A1959">
        <v>2957</v>
      </c>
      <c r="B1959" t="s">
        <v>1985</v>
      </c>
      <c r="C1959" t="s">
        <v>29</v>
      </c>
      <c r="D1959" t="s">
        <v>30</v>
      </c>
      <c r="E1959">
        <v>2</v>
      </c>
      <c r="F1959" s="3">
        <v>2617.6390384615388</v>
      </c>
      <c r="G1959" s="4">
        <v>0.68</v>
      </c>
      <c r="H1959" s="3">
        <v>5235.2780769230776</v>
      </c>
      <c r="I1959" s="1">
        <v>45724</v>
      </c>
      <c r="J1959" t="s">
        <v>18</v>
      </c>
      <c r="K1959" t="s">
        <v>16</v>
      </c>
      <c r="L1959" s="3">
        <v>1675.2889846153846</v>
      </c>
      <c r="M1959" t="s">
        <v>11</v>
      </c>
    </row>
    <row r="1960" spans="1:13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F1960" s="3">
        <v>2715.5458490566025</v>
      </c>
      <c r="G1960" s="4">
        <v>0.6</v>
      </c>
      <c r="H1960" s="3">
        <v>-5431.091698113205</v>
      </c>
      <c r="I1960" s="1">
        <v>45393</v>
      </c>
      <c r="J1960" t="s">
        <v>46</v>
      </c>
      <c r="K1960" t="s">
        <v>16</v>
      </c>
      <c r="L1960" s="3">
        <v>-2172.436679245282</v>
      </c>
      <c r="M1960" t="s">
        <v>2518</v>
      </c>
    </row>
    <row r="1961" spans="1:13" x14ac:dyDescent="0.3">
      <c r="A1961">
        <v>2959</v>
      </c>
      <c r="B1961" t="s">
        <v>1987</v>
      </c>
      <c r="C1961" t="s">
        <v>25</v>
      </c>
      <c r="D1961" t="s">
        <v>26</v>
      </c>
      <c r="E1961">
        <v>2</v>
      </c>
      <c r="F1961" s="3">
        <v>4113.9799999999996</v>
      </c>
      <c r="G1961" s="4">
        <v>0.6</v>
      </c>
      <c r="H1961" s="3">
        <v>8227.9599999999991</v>
      </c>
      <c r="I1961" s="1">
        <v>45720</v>
      </c>
      <c r="J1961" t="s">
        <v>22</v>
      </c>
      <c r="K1961" t="s">
        <v>16</v>
      </c>
      <c r="L1961" s="3">
        <v>3291.1839999999997</v>
      </c>
      <c r="M1961" t="s">
        <v>11</v>
      </c>
    </row>
    <row r="1962" spans="1:13" x14ac:dyDescent="0.3">
      <c r="A1962">
        <v>2960</v>
      </c>
      <c r="B1962" t="s">
        <v>1988</v>
      </c>
      <c r="C1962" t="s">
        <v>29</v>
      </c>
      <c r="D1962" t="s">
        <v>30</v>
      </c>
      <c r="E1962">
        <v>2</v>
      </c>
      <c r="F1962" s="3">
        <v>1536.53</v>
      </c>
      <c r="G1962" s="4">
        <v>0.96</v>
      </c>
      <c r="H1962" s="3">
        <v>3073.06</v>
      </c>
      <c r="I1962" s="1">
        <v>45804</v>
      </c>
      <c r="J1962" t="s">
        <v>40</v>
      </c>
      <c r="K1962" t="s">
        <v>23</v>
      </c>
      <c r="L1962" s="3">
        <v>122.92240000000011</v>
      </c>
      <c r="M1962" t="s">
        <v>2518</v>
      </c>
    </row>
    <row r="1963" spans="1:13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F1963" s="3">
        <v>2715.5458490566025</v>
      </c>
      <c r="G1963" s="4">
        <v>0.04</v>
      </c>
      <c r="H1963" s="3">
        <v>5431.091698113205</v>
      </c>
      <c r="I1963" s="1">
        <v>45719</v>
      </c>
      <c r="J1963" t="s">
        <v>46</v>
      </c>
      <c r="K1963" t="s">
        <v>16</v>
      </c>
      <c r="L1963" s="3">
        <v>5213.8480301886766</v>
      </c>
      <c r="M1963" t="s">
        <v>11</v>
      </c>
    </row>
    <row r="1964" spans="1:13" x14ac:dyDescent="0.3">
      <c r="A1964">
        <v>2962</v>
      </c>
      <c r="B1964" t="s">
        <v>1990</v>
      </c>
      <c r="C1964" t="s">
        <v>29</v>
      </c>
      <c r="D1964" t="s">
        <v>30</v>
      </c>
      <c r="E1964">
        <v>2</v>
      </c>
      <c r="F1964" s="3">
        <v>2617.6390384615388</v>
      </c>
      <c r="G1964" s="4">
        <v>0.87</v>
      </c>
      <c r="H1964" s="3">
        <v>5235.2780769230776</v>
      </c>
      <c r="I1964" s="1">
        <v>45596</v>
      </c>
      <c r="J1964" t="s">
        <v>15</v>
      </c>
      <c r="K1964" t="s">
        <v>16</v>
      </c>
      <c r="L1964" s="3">
        <v>680.58615000000009</v>
      </c>
      <c r="M1964" t="s">
        <v>11</v>
      </c>
    </row>
    <row r="1965" spans="1:13" x14ac:dyDescent="0.3">
      <c r="A1965">
        <v>2963</v>
      </c>
      <c r="B1965" t="s">
        <v>1991</v>
      </c>
      <c r="C1965" t="s">
        <v>13</v>
      </c>
      <c r="D1965" t="s">
        <v>14</v>
      </c>
      <c r="E1965">
        <v>2</v>
      </c>
      <c r="F1965" s="3">
        <v>570.21</v>
      </c>
      <c r="G1965" s="4">
        <v>0.6</v>
      </c>
      <c r="H1965" s="3">
        <v>1140.42</v>
      </c>
      <c r="I1965" s="1">
        <v>45750</v>
      </c>
      <c r="J1965" t="s">
        <v>15</v>
      </c>
      <c r="K1965" t="s">
        <v>23</v>
      </c>
      <c r="L1965" s="3">
        <v>456.16800000000006</v>
      </c>
      <c r="M1965" t="s">
        <v>2518</v>
      </c>
    </row>
    <row r="1966" spans="1:13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F1966" s="3">
        <v>2501.5309999999999</v>
      </c>
      <c r="G1966" s="4">
        <v>0.96</v>
      </c>
      <c r="H1966" s="3">
        <v>-2501.5309999999999</v>
      </c>
      <c r="I1966" s="1">
        <v>45697</v>
      </c>
      <c r="J1966" t="s">
        <v>56</v>
      </c>
      <c r="K1966" t="s">
        <v>16</v>
      </c>
      <c r="L1966" s="3">
        <v>-100.06124000000008</v>
      </c>
      <c r="M1966" t="s">
        <v>2518</v>
      </c>
    </row>
    <row r="1967" spans="1:13" x14ac:dyDescent="0.3">
      <c r="A1967">
        <v>1038</v>
      </c>
      <c r="B1967" t="s">
        <v>1993</v>
      </c>
      <c r="C1967" t="s">
        <v>25</v>
      </c>
      <c r="D1967" t="s">
        <v>86</v>
      </c>
      <c r="E1967">
        <v>2</v>
      </c>
      <c r="F1967" s="3">
        <v>2501.5309999999999</v>
      </c>
      <c r="G1967" s="4">
        <v>0.6</v>
      </c>
      <c r="H1967" s="3">
        <v>5003.0619999999999</v>
      </c>
      <c r="I1967" s="1">
        <v>45260</v>
      </c>
      <c r="J1967" t="s">
        <v>46</v>
      </c>
      <c r="K1967" t="s">
        <v>16</v>
      </c>
      <c r="L1967" s="3">
        <v>2001.2248</v>
      </c>
      <c r="M1967" t="s">
        <v>11</v>
      </c>
    </row>
    <row r="1968" spans="1:13" x14ac:dyDescent="0.3">
      <c r="A1968">
        <v>2966</v>
      </c>
      <c r="B1968" t="s">
        <v>1994</v>
      </c>
      <c r="C1968" t="s">
        <v>33</v>
      </c>
      <c r="D1968" t="s">
        <v>34</v>
      </c>
      <c r="E1968">
        <v>2</v>
      </c>
      <c r="F1968" s="3">
        <v>1650.01</v>
      </c>
      <c r="G1968" s="4">
        <v>0.6</v>
      </c>
      <c r="H1968" s="3">
        <v>3300.02</v>
      </c>
      <c r="I1968" s="1">
        <v>45635</v>
      </c>
      <c r="J1968" t="s">
        <v>56</v>
      </c>
      <c r="K1968" t="s">
        <v>23</v>
      </c>
      <c r="L1968" s="3">
        <v>1320.008</v>
      </c>
      <c r="M1968" t="s">
        <v>11</v>
      </c>
    </row>
    <row r="1969" spans="1:13" x14ac:dyDescent="0.3">
      <c r="A1969">
        <v>2967</v>
      </c>
      <c r="B1969" t="s">
        <v>1995</v>
      </c>
      <c r="C1969" t="s">
        <v>38</v>
      </c>
      <c r="D1969" t="s">
        <v>39</v>
      </c>
      <c r="E1969">
        <v>2</v>
      </c>
      <c r="F1969" s="3">
        <v>3008.3844444444444</v>
      </c>
      <c r="G1969" s="4">
        <v>0.6</v>
      </c>
      <c r="H1969" s="3">
        <v>6016.7688888888888</v>
      </c>
      <c r="I1969" s="1">
        <v>45771</v>
      </c>
      <c r="J1969" t="s">
        <v>56</v>
      </c>
      <c r="K1969" t="s">
        <v>23</v>
      </c>
      <c r="L1969" s="3">
        <v>2406.7075555555557</v>
      </c>
      <c r="M1969" t="s">
        <v>11</v>
      </c>
    </row>
    <row r="1970" spans="1:13" x14ac:dyDescent="0.3">
      <c r="A1970">
        <v>2968</v>
      </c>
      <c r="B1970" t="s">
        <v>1996</v>
      </c>
      <c r="C1970" t="s">
        <v>20</v>
      </c>
      <c r="D1970" t="s">
        <v>21</v>
      </c>
      <c r="E1970">
        <v>2</v>
      </c>
      <c r="F1970" s="3">
        <v>2681.1743636363635</v>
      </c>
      <c r="G1970" s="4">
        <v>0.6</v>
      </c>
      <c r="H1970" s="3">
        <v>5362.348727272727</v>
      </c>
      <c r="I1970" s="1">
        <v>45787</v>
      </c>
      <c r="J1970" t="s">
        <v>22</v>
      </c>
      <c r="K1970" t="s">
        <v>23</v>
      </c>
      <c r="L1970" s="3">
        <v>2144.9394909090911</v>
      </c>
      <c r="M1970" t="s">
        <v>11</v>
      </c>
    </row>
    <row r="1971" spans="1:13" x14ac:dyDescent="0.3">
      <c r="A1971">
        <v>2969</v>
      </c>
      <c r="B1971" t="s">
        <v>1997</v>
      </c>
      <c r="C1971" t="s">
        <v>20</v>
      </c>
      <c r="D1971" t="s">
        <v>122</v>
      </c>
      <c r="E1971">
        <v>2</v>
      </c>
      <c r="F1971" s="3">
        <v>4858.47</v>
      </c>
      <c r="G1971" s="4">
        <v>0.68</v>
      </c>
      <c r="H1971" s="3">
        <v>9716.94</v>
      </c>
      <c r="I1971" s="1">
        <v>45826</v>
      </c>
      <c r="J1971" t="s">
        <v>40</v>
      </c>
      <c r="K1971" t="s">
        <v>23</v>
      </c>
      <c r="L1971" s="3">
        <v>3109.4207999999999</v>
      </c>
      <c r="M1971" t="s">
        <v>11</v>
      </c>
    </row>
    <row r="1972" spans="1:13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F1972" s="3">
        <v>2841.7630612244907</v>
      </c>
      <c r="G1972" s="4">
        <v>0.6</v>
      </c>
      <c r="H1972" s="3">
        <v>2841.7630612244907</v>
      </c>
      <c r="I1972" s="1">
        <v>45611</v>
      </c>
      <c r="J1972" t="s">
        <v>46</v>
      </c>
      <c r="K1972" t="s">
        <v>16</v>
      </c>
      <c r="L1972" s="3">
        <v>1136.7052244897964</v>
      </c>
      <c r="M1972" t="s">
        <v>11</v>
      </c>
    </row>
    <row r="1973" spans="1:13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 s="3">
        <v>1507.6</v>
      </c>
      <c r="G1973" s="4">
        <v>0.6</v>
      </c>
      <c r="H1973" s="3">
        <v>9045.5999999999985</v>
      </c>
      <c r="I1973" s="1">
        <v>45699</v>
      </c>
      <c r="J1973" t="s">
        <v>15</v>
      </c>
      <c r="K1973" t="s">
        <v>16</v>
      </c>
      <c r="L1973" s="3">
        <v>3618.24</v>
      </c>
      <c r="M1973" t="s">
        <v>11</v>
      </c>
    </row>
    <row r="1974" spans="1:13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F1974" s="3">
        <v>2868.7768181818178</v>
      </c>
      <c r="G1974" s="4">
        <v>0.6</v>
      </c>
      <c r="H1974" s="3">
        <v>14343.884090909089</v>
      </c>
      <c r="I1974" s="1">
        <v>45782</v>
      </c>
      <c r="J1974" t="s">
        <v>46</v>
      </c>
      <c r="K1974" t="s">
        <v>23</v>
      </c>
      <c r="L1974" s="3">
        <v>5737.5536363636356</v>
      </c>
      <c r="M1974" t="s">
        <v>11</v>
      </c>
    </row>
    <row r="1975" spans="1:13" x14ac:dyDescent="0.3">
      <c r="A1975">
        <v>2973</v>
      </c>
      <c r="B1975" t="s">
        <v>2001</v>
      </c>
      <c r="C1975" t="s">
        <v>29</v>
      </c>
      <c r="D1975" t="s">
        <v>30</v>
      </c>
      <c r="E1975">
        <v>2</v>
      </c>
      <c r="F1975" s="3">
        <v>2617.6390384615388</v>
      </c>
      <c r="G1975" s="4">
        <v>0.6</v>
      </c>
      <c r="H1975" s="3">
        <v>5235.2780769230776</v>
      </c>
      <c r="I1975" s="1">
        <v>45641</v>
      </c>
      <c r="J1975" t="s">
        <v>56</v>
      </c>
      <c r="K1975" t="s">
        <v>16</v>
      </c>
      <c r="L1975" s="3">
        <v>2094.111230769231</v>
      </c>
      <c r="M1975" t="s">
        <v>11</v>
      </c>
    </row>
    <row r="1976" spans="1:13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 s="3">
        <v>1765.76</v>
      </c>
      <c r="G1976" s="4">
        <v>0.36</v>
      </c>
      <c r="H1976" s="3">
        <v>10594.56</v>
      </c>
      <c r="I1976" s="1">
        <v>45798</v>
      </c>
      <c r="J1976" t="s">
        <v>18</v>
      </c>
      <c r="K1976" t="s">
        <v>23</v>
      </c>
      <c r="L1976" s="3">
        <v>6780.5183999999999</v>
      </c>
      <c r="M1976" t="s">
        <v>11</v>
      </c>
    </row>
    <row r="1977" spans="1:13" x14ac:dyDescent="0.3">
      <c r="A1977">
        <v>2975</v>
      </c>
      <c r="B1977" t="s">
        <v>2003</v>
      </c>
      <c r="C1977" t="s">
        <v>29</v>
      </c>
      <c r="D1977" t="s">
        <v>141</v>
      </c>
      <c r="E1977">
        <v>2</v>
      </c>
      <c r="F1977" s="3">
        <v>3835.25</v>
      </c>
      <c r="G1977" s="4">
        <v>0.6</v>
      </c>
      <c r="H1977" s="3">
        <v>7670.5</v>
      </c>
      <c r="I1977" s="1">
        <v>45700</v>
      </c>
      <c r="J1977" t="s">
        <v>18</v>
      </c>
      <c r="K1977" t="s">
        <v>23</v>
      </c>
      <c r="L1977" s="3">
        <v>3068.2000000000003</v>
      </c>
      <c r="M1977" t="s">
        <v>11</v>
      </c>
    </row>
    <row r="1978" spans="1:13" x14ac:dyDescent="0.3">
      <c r="A1978">
        <v>2976</v>
      </c>
      <c r="B1978" t="s">
        <v>2004</v>
      </c>
      <c r="C1978" t="s">
        <v>33</v>
      </c>
      <c r="D1978" t="s">
        <v>72</v>
      </c>
      <c r="E1978">
        <v>2</v>
      </c>
      <c r="F1978" s="3">
        <v>1572.95</v>
      </c>
      <c r="G1978" s="4">
        <v>0.6</v>
      </c>
      <c r="H1978" s="3">
        <v>3145.9</v>
      </c>
      <c r="I1978" s="1">
        <v>45663</v>
      </c>
      <c r="J1978" t="s">
        <v>56</v>
      </c>
      <c r="K1978" t="s">
        <v>23</v>
      </c>
      <c r="L1978" s="3">
        <v>1258.3600000000001</v>
      </c>
      <c r="M1978" t="s">
        <v>11</v>
      </c>
    </row>
    <row r="1979" spans="1:13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 s="3">
        <v>3205.93</v>
      </c>
      <c r="G1979" s="4">
        <v>0.6</v>
      </c>
      <c r="H1979" s="3">
        <v>-6411.86</v>
      </c>
      <c r="I1979" s="1">
        <v>45782</v>
      </c>
      <c r="J1979" t="s">
        <v>22</v>
      </c>
      <c r="K1979" t="s">
        <v>16</v>
      </c>
      <c r="L1979" s="3">
        <v>-2564.7440000000001</v>
      </c>
      <c r="M1979" t="s">
        <v>2518</v>
      </c>
    </row>
    <row r="1980" spans="1:13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F1980" s="3">
        <v>2868.7768181818178</v>
      </c>
      <c r="G1980" s="4">
        <v>0.52</v>
      </c>
      <c r="H1980" s="3">
        <v>8606.3304545454539</v>
      </c>
      <c r="I1980" s="1">
        <v>45855</v>
      </c>
      <c r="J1980" t="s">
        <v>56</v>
      </c>
      <c r="K1980" t="s">
        <v>16</v>
      </c>
      <c r="L1980" s="3">
        <v>4131.0386181818176</v>
      </c>
      <c r="M1980" t="s">
        <v>11</v>
      </c>
    </row>
    <row r="1981" spans="1:13" x14ac:dyDescent="0.3">
      <c r="A1981">
        <v>2979</v>
      </c>
      <c r="B1981" t="s">
        <v>2007</v>
      </c>
      <c r="C1981" t="s">
        <v>33</v>
      </c>
      <c r="D1981" t="s">
        <v>72</v>
      </c>
      <c r="E1981">
        <v>2</v>
      </c>
      <c r="F1981" s="3">
        <v>2715.5458490566025</v>
      </c>
      <c r="G1981" s="4">
        <v>0.23</v>
      </c>
      <c r="H1981" s="3">
        <v>5431.091698113205</v>
      </c>
      <c r="I1981" s="1">
        <v>45782</v>
      </c>
      <c r="J1981" t="s">
        <v>22</v>
      </c>
      <c r="K1981" t="s">
        <v>23</v>
      </c>
      <c r="L1981" s="3">
        <v>4181.9406075471679</v>
      </c>
      <c r="M1981" t="s">
        <v>11</v>
      </c>
    </row>
    <row r="1982" spans="1:13" x14ac:dyDescent="0.3">
      <c r="A1982">
        <v>2980</v>
      </c>
      <c r="B1982" t="s">
        <v>2008</v>
      </c>
      <c r="C1982" t="s">
        <v>33</v>
      </c>
      <c r="D1982" t="s">
        <v>72</v>
      </c>
      <c r="E1982">
        <v>2</v>
      </c>
      <c r="F1982" s="3">
        <v>2715.5458490566025</v>
      </c>
      <c r="G1982" s="4">
        <v>0.36</v>
      </c>
      <c r="H1982" s="3">
        <v>5431.091698113205</v>
      </c>
      <c r="I1982" s="1">
        <v>45628</v>
      </c>
      <c r="J1982" t="s">
        <v>15</v>
      </c>
      <c r="K1982" t="s">
        <v>16</v>
      </c>
      <c r="L1982" s="3">
        <v>3475.8986867924514</v>
      </c>
      <c r="M1982" t="s">
        <v>11</v>
      </c>
    </row>
    <row r="1983" spans="1:13" x14ac:dyDescent="0.3">
      <c r="A1983">
        <v>1040</v>
      </c>
      <c r="B1983" t="s">
        <v>2009</v>
      </c>
      <c r="C1983" t="s">
        <v>33</v>
      </c>
      <c r="D1983" t="s">
        <v>34</v>
      </c>
      <c r="E1983">
        <v>2</v>
      </c>
      <c r="F1983" s="3">
        <v>2487.039615384615</v>
      </c>
      <c r="G1983" s="4">
        <v>0.6</v>
      </c>
      <c r="H1983" s="3">
        <v>4974.07923076923</v>
      </c>
      <c r="I1983" s="1">
        <v>45782</v>
      </c>
      <c r="J1983" t="s">
        <v>15</v>
      </c>
      <c r="K1983" t="s">
        <v>23</v>
      </c>
      <c r="L1983" s="3">
        <v>1989.631692307692</v>
      </c>
      <c r="M1983" t="s">
        <v>11</v>
      </c>
    </row>
    <row r="1984" spans="1:13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 s="3">
        <v>2497.52</v>
      </c>
      <c r="G1984" s="4">
        <v>0.6</v>
      </c>
      <c r="H1984" s="3">
        <v>-2497.52</v>
      </c>
      <c r="I1984" s="1">
        <v>45253</v>
      </c>
      <c r="J1984" t="s">
        <v>18</v>
      </c>
      <c r="K1984" t="s">
        <v>23</v>
      </c>
      <c r="L1984" s="3">
        <v>-999.00800000000004</v>
      </c>
      <c r="M1984" t="s">
        <v>2518</v>
      </c>
    </row>
    <row r="1985" spans="1:13" x14ac:dyDescent="0.3">
      <c r="A1985">
        <v>2983</v>
      </c>
      <c r="B1985" t="s">
        <v>2011</v>
      </c>
      <c r="C1985" t="s">
        <v>25</v>
      </c>
      <c r="D1985" t="s">
        <v>54</v>
      </c>
      <c r="E1985">
        <v>2</v>
      </c>
      <c r="F1985" s="3">
        <v>2530.3836538461546</v>
      </c>
      <c r="G1985" s="4">
        <v>0.6</v>
      </c>
      <c r="H1985" s="3">
        <v>5060.7673076923093</v>
      </c>
      <c r="I1985" s="1">
        <v>45782</v>
      </c>
      <c r="J1985" t="s">
        <v>46</v>
      </c>
      <c r="K1985" t="s">
        <v>23</v>
      </c>
      <c r="L1985" s="3">
        <v>2024.3069230769238</v>
      </c>
      <c r="M1985" t="s">
        <v>11</v>
      </c>
    </row>
    <row r="1986" spans="1:13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 s="3">
        <v>2062.9</v>
      </c>
      <c r="G1986" s="4">
        <v>0.6</v>
      </c>
      <c r="H1986" s="3">
        <v>8251.6</v>
      </c>
      <c r="I1986" s="1">
        <v>45506</v>
      </c>
      <c r="J1986" t="s">
        <v>22</v>
      </c>
      <c r="K1986" t="s">
        <v>16</v>
      </c>
      <c r="L1986" s="3">
        <v>3300.6400000000003</v>
      </c>
      <c r="M1986" t="s">
        <v>11</v>
      </c>
    </row>
    <row r="1987" spans="1:13" x14ac:dyDescent="0.3">
      <c r="A1987">
        <v>2985</v>
      </c>
      <c r="B1987" t="s">
        <v>2013</v>
      </c>
      <c r="C1987" t="s">
        <v>13</v>
      </c>
      <c r="D1987" t="s">
        <v>49</v>
      </c>
      <c r="E1987">
        <v>2</v>
      </c>
      <c r="F1987" s="3">
        <v>2785.0877966101693</v>
      </c>
      <c r="G1987" s="4">
        <v>1.1499999999999999</v>
      </c>
      <c r="H1987" s="3">
        <v>5570.1755932203387</v>
      </c>
      <c r="I1987" s="1">
        <v>45672</v>
      </c>
      <c r="J1987" t="s">
        <v>56</v>
      </c>
      <c r="K1987" t="s">
        <v>23</v>
      </c>
      <c r="L1987" s="3">
        <v>-835.52633898305032</v>
      </c>
      <c r="M1987" t="s">
        <v>2518</v>
      </c>
    </row>
    <row r="1988" spans="1:13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F1988" s="3">
        <v>2845.2419672131159</v>
      </c>
      <c r="G1988" s="4">
        <v>0.6</v>
      </c>
      <c r="H1988" s="3">
        <v>-5690.4839344262318</v>
      </c>
      <c r="I1988" s="1">
        <v>45588</v>
      </c>
      <c r="J1988" t="s">
        <v>22</v>
      </c>
      <c r="K1988" t="s">
        <v>23</v>
      </c>
      <c r="L1988" s="3">
        <v>-2276.193573770493</v>
      </c>
      <c r="M1988" t="s">
        <v>2518</v>
      </c>
    </row>
    <row r="1989" spans="1:13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 s="3">
        <v>2584.4299999999998</v>
      </c>
      <c r="G1989" s="4">
        <v>0.6</v>
      </c>
      <c r="H1989" s="3">
        <v>15506.579999999998</v>
      </c>
      <c r="I1989" s="1">
        <v>45782</v>
      </c>
      <c r="J1989" t="s">
        <v>15</v>
      </c>
      <c r="K1989" t="s">
        <v>16</v>
      </c>
      <c r="L1989" s="3">
        <v>6202.6319999999996</v>
      </c>
      <c r="M1989" t="s">
        <v>11</v>
      </c>
    </row>
    <row r="1990" spans="1:13" x14ac:dyDescent="0.3">
      <c r="A1990">
        <v>2988</v>
      </c>
      <c r="B1990" t="s">
        <v>2016</v>
      </c>
      <c r="C1990" t="s">
        <v>33</v>
      </c>
      <c r="D1990" t="s">
        <v>82</v>
      </c>
      <c r="E1990">
        <v>2</v>
      </c>
      <c r="F1990" s="3">
        <v>2776.2202000000002</v>
      </c>
      <c r="G1990" s="4">
        <v>0.6</v>
      </c>
      <c r="H1990" s="3">
        <v>5552.4404000000004</v>
      </c>
      <c r="I1990" s="1">
        <v>45782</v>
      </c>
      <c r="J1990" t="s">
        <v>46</v>
      </c>
      <c r="K1990" t="s">
        <v>23</v>
      </c>
      <c r="L1990" s="3">
        <v>2220.9761600000002</v>
      </c>
      <c r="M1990" t="s">
        <v>11</v>
      </c>
    </row>
    <row r="1991" spans="1:13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 s="3">
        <v>4084.97</v>
      </c>
      <c r="G1991" s="4">
        <v>0.83</v>
      </c>
      <c r="H1991" s="3">
        <v>-4084.97</v>
      </c>
      <c r="I1991" s="1">
        <v>45320</v>
      </c>
      <c r="J1991" t="s">
        <v>22</v>
      </c>
      <c r="K1991" t="s">
        <v>23</v>
      </c>
      <c r="L1991" s="3">
        <v>-694.44490000000008</v>
      </c>
      <c r="M1991" t="s">
        <v>2518</v>
      </c>
    </row>
    <row r="1992" spans="1:13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 s="3">
        <v>3205.73</v>
      </c>
      <c r="G1992" s="4">
        <v>0.6</v>
      </c>
      <c r="H1992" s="3">
        <v>0</v>
      </c>
      <c r="I1992" s="1">
        <v>45556</v>
      </c>
      <c r="J1992" t="s">
        <v>22</v>
      </c>
      <c r="K1992" t="s">
        <v>23</v>
      </c>
      <c r="L1992" s="3">
        <v>0</v>
      </c>
      <c r="M1992" t="s">
        <v>2518</v>
      </c>
    </row>
    <row r="1993" spans="1:13" x14ac:dyDescent="0.3">
      <c r="A1993">
        <v>2991</v>
      </c>
      <c r="B1993" t="s">
        <v>2019</v>
      </c>
      <c r="C1993" t="s">
        <v>38</v>
      </c>
      <c r="D1993" t="s">
        <v>91</v>
      </c>
      <c r="E1993">
        <v>2</v>
      </c>
      <c r="F1993" s="3">
        <v>2053.65</v>
      </c>
      <c r="G1993" s="4">
        <v>0.6</v>
      </c>
      <c r="H1993" s="3">
        <v>4107.3</v>
      </c>
      <c r="I1993" s="1">
        <v>45582</v>
      </c>
      <c r="J1993" t="s">
        <v>56</v>
      </c>
      <c r="K1993" t="s">
        <v>23</v>
      </c>
      <c r="L1993" s="3">
        <v>1642.92</v>
      </c>
      <c r="M1993" t="s">
        <v>11</v>
      </c>
    </row>
    <row r="1994" spans="1:13" x14ac:dyDescent="0.3">
      <c r="A1994">
        <v>2992</v>
      </c>
      <c r="B1994" t="s">
        <v>2020</v>
      </c>
      <c r="C1994" t="s">
        <v>13</v>
      </c>
      <c r="D1994" t="s">
        <v>49</v>
      </c>
      <c r="E1994">
        <v>2</v>
      </c>
      <c r="F1994" s="3">
        <v>4747.16</v>
      </c>
      <c r="G1994" s="4">
        <v>0.9</v>
      </c>
      <c r="H1994" s="3">
        <v>9494.32</v>
      </c>
      <c r="I1994" s="1">
        <v>45317</v>
      </c>
      <c r="J1994" t="s">
        <v>40</v>
      </c>
      <c r="K1994" t="s">
        <v>23</v>
      </c>
      <c r="L1994" s="3">
        <v>949.43199999999979</v>
      </c>
      <c r="M1994" t="s">
        <v>11</v>
      </c>
    </row>
    <row r="1995" spans="1:13" x14ac:dyDescent="0.3">
      <c r="A1995">
        <v>2993</v>
      </c>
      <c r="B1995" t="s">
        <v>2021</v>
      </c>
      <c r="C1995" t="s">
        <v>29</v>
      </c>
      <c r="D1995" t="s">
        <v>141</v>
      </c>
      <c r="E1995">
        <v>2</v>
      </c>
      <c r="F1995" s="3">
        <v>2462.79</v>
      </c>
      <c r="G1995" s="4">
        <v>0.6</v>
      </c>
      <c r="H1995" s="3">
        <v>4925.58</v>
      </c>
      <c r="I1995" s="1">
        <v>45711</v>
      </c>
      <c r="J1995" t="s">
        <v>22</v>
      </c>
      <c r="K1995" t="s">
        <v>16</v>
      </c>
      <c r="L1995" s="3">
        <v>1970.232</v>
      </c>
      <c r="M1995" t="s">
        <v>11</v>
      </c>
    </row>
    <row r="1996" spans="1:13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 s="3">
        <v>919.26</v>
      </c>
      <c r="G1996" s="4">
        <v>0.6</v>
      </c>
      <c r="H1996" s="3">
        <v>4596.3</v>
      </c>
      <c r="I1996" s="1">
        <v>45782</v>
      </c>
      <c r="J1996" t="s">
        <v>56</v>
      </c>
      <c r="K1996" t="s">
        <v>23</v>
      </c>
      <c r="L1996" s="3">
        <v>1838.5200000000002</v>
      </c>
      <c r="M1996" t="s">
        <v>11</v>
      </c>
    </row>
    <row r="1997" spans="1:13" x14ac:dyDescent="0.3">
      <c r="A1997">
        <v>2995</v>
      </c>
      <c r="B1997" t="s">
        <v>2023</v>
      </c>
      <c r="C1997" t="s">
        <v>25</v>
      </c>
      <c r="D1997" t="s">
        <v>54</v>
      </c>
      <c r="E1997">
        <v>2</v>
      </c>
      <c r="F1997" s="3">
        <v>2617.66</v>
      </c>
      <c r="G1997" s="4">
        <v>0.55000000000000004</v>
      </c>
      <c r="H1997" s="3">
        <v>5235.32</v>
      </c>
      <c r="I1997" s="1">
        <v>45694</v>
      </c>
      <c r="J1997" t="s">
        <v>22</v>
      </c>
      <c r="K1997" t="s">
        <v>23</v>
      </c>
      <c r="L1997" s="3">
        <v>2355.8939999999998</v>
      </c>
      <c r="M1997" t="s">
        <v>11</v>
      </c>
    </row>
    <row r="1998" spans="1:13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 s="3">
        <v>3750.45</v>
      </c>
      <c r="G1998" s="4">
        <v>1.04</v>
      </c>
      <c r="H1998" s="3">
        <v>7500.9</v>
      </c>
      <c r="I1998" s="1">
        <v>45724</v>
      </c>
      <c r="J1998" t="s">
        <v>18</v>
      </c>
      <c r="K1998" t="s">
        <v>23</v>
      </c>
      <c r="L1998" s="3">
        <v>-300.03600000000023</v>
      </c>
      <c r="M1998" t="s">
        <v>2518</v>
      </c>
    </row>
    <row r="1999" spans="1:13" x14ac:dyDescent="0.3">
      <c r="A1999">
        <v>1027</v>
      </c>
      <c r="B1999" t="s">
        <v>737</v>
      </c>
      <c r="C1999" t="s">
        <v>20</v>
      </c>
      <c r="D1999" t="s">
        <v>80</v>
      </c>
      <c r="E1999">
        <v>2</v>
      </c>
      <c r="F1999" s="3">
        <v>2483.5844000000002</v>
      </c>
      <c r="G1999" s="4">
        <v>0.6</v>
      </c>
      <c r="H1999" s="3">
        <v>4967.1688000000004</v>
      </c>
      <c r="I1999" s="1">
        <v>45782</v>
      </c>
      <c r="J1999" t="s">
        <v>56</v>
      </c>
      <c r="K1999" t="s">
        <v>23</v>
      </c>
      <c r="L1999" s="3">
        <v>1986.8675200000002</v>
      </c>
      <c r="M1999" t="s">
        <v>11</v>
      </c>
    </row>
    <row r="2000" spans="1:13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 s="3">
        <v>3453.58</v>
      </c>
      <c r="G2000" s="4">
        <v>0.6</v>
      </c>
      <c r="H2000" s="3">
        <v>0</v>
      </c>
      <c r="I2000" s="1">
        <v>45594</v>
      </c>
      <c r="J2000" t="s">
        <v>22</v>
      </c>
      <c r="K2000" t="s">
        <v>23</v>
      </c>
      <c r="L2000" s="3">
        <v>0</v>
      </c>
      <c r="M2000" t="s">
        <v>2518</v>
      </c>
    </row>
    <row r="2001" spans="1:13" x14ac:dyDescent="0.3">
      <c r="A2001">
        <v>2999</v>
      </c>
      <c r="B2001" t="s">
        <v>2026</v>
      </c>
      <c r="C2001" t="s">
        <v>25</v>
      </c>
      <c r="D2001" t="s">
        <v>26</v>
      </c>
      <c r="E2001">
        <v>2</v>
      </c>
      <c r="F2001" s="3">
        <v>2888.8714285714286</v>
      </c>
      <c r="G2001" s="4">
        <v>0.6</v>
      </c>
      <c r="H2001" s="3">
        <v>5777.7428571428572</v>
      </c>
      <c r="I2001" s="1">
        <v>45782</v>
      </c>
      <c r="J2001" t="s">
        <v>56</v>
      </c>
      <c r="K2001" t="s">
        <v>23</v>
      </c>
      <c r="L2001" s="3">
        <v>2311.0971428571429</v>
      </c>
      <c r="M2001" t="s">
        <v>11</v>
      </c>
    </row>
    <row r="2002" spans="1:13" x14ac:dyDescent="0.3">
      <c r="A2002">
        <v>1034</v>
      </c>
      <c r="B2002" t="s">
        <v>2027</v>
      </c>
      <c r="C2002" t="s">
        <v>38</v>
      </c>
      <c r="D2002" t="s">
        <v>39</v>
      </c>
      <c r="E2002">
        <v>2</v>
      </c>
      <c r="F2002" s="3">
        <v>3008.3844444444444</v>
      </c>
      <c r="G2002" s="4">
        <v>0.6</v>
      </c>
      <c r="H2002" s="3">
        <v>6016.7688888888888</v>
      </c>
      <c r="I2002" s="1">
        <v>45557</v>
      </c>
      <c r="J2002" t="s">
        <v>56</v>
      </c>
      <c r="K2002" t="s">
        <v>23</v>
      </c>
      <c r="L2002" s="3">
        <v>2406.7075555555557</v>
      </c>
      <c r="M2002" t="s">
        <v>11</v>
      </c>
    </row>
    <row r="2003" spans="1:13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 s="3">
        <v>1171.57</v>
      </c>
      <c r="G2003" s="4">
        <v>0.6</v>
      </c>
      <c r="H2003" s="3">
        <v>-1171.57</v>
      </c>
      <c r="I2003" s="1">
        <v>45601</v>
      </c>
      <c r="J2003" t="s">
        <v>46</v>
      </c>
      <c r="K2003" t="s">
        <v>23</v>
      </c>
      <c r="L2003" s="3">
        <v>-468.62799999999999</v>
      </c>
      <c r="M2003" t="s">
        <v>2518</v>
      </c>
    </row>
    <row r="2004" spans="1:13" x14ac:dyDescent="0.3">
      <c r="A2004">
        <v>1046</v>
      </c>
      <c r="B2004" t="s">
        <v>2029</v>
      </c>
      <c r="C2004" t="s">
        <v>33</v>
      </c>
      <c r="D2004" t="s">
        <v>44</v>
      </c>
      <c r="E2004">
        <v>2</v>
      </c>
      <c r="F2004" s="3">
        <v>2841.7630612244907</v>
      </c>
      <c r="G2004" s="4">
        <v>0.6</v>
      </c>
      <c r="H2004" s="3">
        <v>5683.5261224489814</v>
      </c>
      <c r="I2004" s="1">
        <v>45528</v>
      </c>
      <c r="J2004" t="s">
        <v>15</v>
      </c>
      <c r="K2004" t="s">
        <v>23</v>
      </c>
      <c r="L2004" s="3">
        <v>2273.4104489795927</v>
      </c>
      <c r="M2004" t="s">
        <v>11</v>
      </c>
    </row>
    <row r="2005" spans="1:13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F2005" s="3">
        <v>2785.0877966101693</v>
      </c>
      <c r="G2005" s="4">
        <v>0.6</v>
      </c>
      <c r="H2005" s="3">
        <v>-2785.0877966101693</v>
      </c>
      <c r="I2005" s="1">
        <v>45581</v>
      </c>
      <c r="J2005" t="s">
        <v>15</v>
      </c>
      <c r="K2005" t="s">
        <v>23</v>
      </c>
      <c r="L2005" s="3">
        <v>-1114.0351186440678</v>
      </c>
      <c r="M2005" t="s">
        <v>2518</v>
      </c>
    </row>
    <row r="2006" spans="1:13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 s="3">
        <v>1759.66</v>
      </c>
      <c r="G2006" s="4">
        <v>0.6</v>
      </c>
      <c r="H2006" s="3">
        <v>5278.9800000000005</v>
      </c>
      <c r="I2006" s="1">
        <v>45751</v>
      </c>
      <c r="J2006" t="s">
        <v>22</v>
      </c>
      <c r="K2006" t="s">
        <v>23</v>
      </c>
      <c r="L2006" s="3">
        <v>2111.5920000000001</v>
      </c>
      <c r="M2006" t="s">
        <v>11</v>
      </c>
    </row>
    <row r="2007" spans="1:13" x14ac:dyDescent="0.3">
      <c r="A2007">
        <v>3005</v>
      </c>
      <c r="B2007" t="s">
        <v>2032</v>
      </c>
      <c r="C2007" t="s">
        <v>20</v>
      </c>
      <c r="D2007" t="s">
        <v>80</v>
      </c>
      <c r="E2007">
        <v>2</v>
      </c>
      <c r="F2007" s="3">
        <v>2483.5844000000002</v>
      </c>
      <c r="G2007" s="4">
        <v>0.6</v>
      </c>
      <c r="H2007" s="3">
        <v>4967.1688000000004</v>
      </c>
      <c r="I2007" s="1">
        <v>45420</v>
      </c>
      <c r="J2007" t="s">
        <v>56</v>
      </c>
      <c r="K2007" t="s">
        <v>16</v>
      </c>
      <c r="L2007" s="3">
        <v>1986.8675200000002</v>
      </c>
      <c r="M2007" t="s">
        <v>11</v>
      </c>
    </row>
    <row r="2008" spans="1:13" x14ac:dyDescent="0.3">
      <c r="A2008">
        <v>3006</v>
      </c>
      <c r="B2008" t="s">
        <v>2033</v>
      </c>
      <c r="C2008" t="s">
        <v>25</v>
      </c>
      <c r="D2008" t="s">
        <v>26</v>
      </c>
      <c r="E2008">
        <v>2</v>
      </c>
      <c r="F2008" s="3">
        <v>2888.8714285714286</v>
      </c>
      <c r="G2008" s="4">
        <v>1.26</v>
      </c>
      <c r="H2008" s="3">
        <v>5777.7428571428572</v>
      </c>
      <c r="I2008" s="1">
        <v>45782</v>
      </c>
      <c r="J2008" t="s">
        <v>46</v>
      </c>
      <c r="K2008" t="s">
        <v>23</v>
      </c>
      <c r="L2008" s="3">
        <v>-1502.2131428571429</v>
      </c>
      <c r="M2008" t="s">
        <v>2518</v>
      </c>
    </row>
    <row r="2009" spans="1:13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 s="3">
        <v>3922.01</v>
      </c>
      <c r="G2009" s="4">
        <v>0.6</v>
      </c>
      <c r="H2009" s="3">
        <v>-7844.02</v>
      </c>
      <c r="I2009" s="1">
        <v>45726</v>
      </c>
      <c r="J2009" t="s">
        <v>40</v>
      </c>
      <c r="K2009" t="s">
        <v>23</v>
      </c>
      <c r="L2009" s="3">
        <v>-3137.6080000000002</v>
      </c>
      <c r="M2009" t="s">
        <v>2518</v>
      </c>
    </row>
    <row r="2010" spans="1:13" x14ac:dyDescent="0.3">
      <c r="A2010">
        <v>3008</v>
      </c>
      <c r="B2010" t="s">
        <v>2035</v>
      </c>
      <c r="C2010" t="s">
        <v>29</v>
      </c>
      <c r="D2010" t="s">
        <v>42</v>
      </c>
      <c r="E2010">
        <v>2</v>
      </c>
      <c r="F2010" s="3">
        <v>2880.85</v>
      </c>
      <c r="G2010" s="4">
        <v>0.6</v>
      </c>
      <c r="H2010" s="3">
        <v>5761.7</v>
      </c>
      <c r="I2010" s="1">
        <v>45798</v>
      </c>
      <c r="J2010" t="s">
        <v>15</v>
      </c>
      <c r="K2010" t="s">
        <v>16</v>
      </c>
      <c r="L2010" s="3">
        <v>2304.6799999999998</v>
      </c>
      <c r="M2010" t="s">
        <v>11</v>
      </c>
    </row>
    <row r="2011" spans="1:13" x14ac:dyDescent="0.3">
      <c r="A2011">
        <v>3009</v>
      </c>
      <c r="B2011" t="s">
        <v>2036</v>
      </c>
      <c r="C2011" t="s">
        <v>13</v>
      </c>
      <c r="D2011" t="s">
        <v>14</v>
      </c>
      <c r="E2011">
        <v>2</v>
      </c>
      <c r="F2011" s="3">
        <v>2381.2677586206896</v>
      </c>
      <c r="G2011" s="4">
        <v>0.6</v>
      </c>
      <c r="H2011" s="3">
        <v>4762.5355172413792</v>
      </c>
      <c r="I2011" s="1">
        <v>45730</v>
      </c>
      <c r="J2011" t="s">
        <v>40</v>
      </c>
      <c r="K2011" t="s">
        <v>16</v>
      </c>
      <c r="L2011" s="3">
        <v>1905.0142068965517</v>
      </c>
      <c r="M2011" t="s">
        <v>11</v>
      </c>
    </row>
    <row r="2012" spans="1:13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F2012" s="3">
        <v>2681.1743636363635</v>
      </c>
      <c r="G2012" s="4">
        <v>0.68</v>
      </c>
      <c r="H2012" s="3">
        <v>-5362.348727272727</v>
      </c>
      <c r="I2012" s="1">
        <v>45565</v>
      </c>
      <c r="J2012" t="s">
        <v>56</v>
      </c>
      <c r="K2012" t="s">
        <v>16</v>
      </c>
      <c r="L2012" s="3">
        <v>-1715.9515927272723</v>
      </c>
      <c r="M2012" t="s">
        <v>2518</v>
      </c>
    </row>
    <row r="2013" spans="1:13" x14ac:dyDescent="0.3">
      <c r="A2013">
        <v>3011</v>
      </c>
      <c r="B2013" t="s">
        <v>2038</v>
      </c>
      <c r="C2013" t="s">
        <v>29</v>
      </c>
      <c r="D2013" t="s">
        <v>30</v>
      </c>
      <c r="E2013">
        <v>2</v>
      </c>
      <c r="F2013" s="3">
        <v>4016.78</v>
      </c>
      <c r="G2013" s="4">
        <v>1.03</v>
      </c>
      <c r="H2013" s="3">
        <v>8033.56</v>
      </c>
      <c r="I2013" s="1">
        <v>45780</v>
      </c>
      <c r="J2013" t="s">
        <v>15</v>
      </c>
      <c r="K2013" t="s">
        <v>23</v>
      </c>
      <c r="L2013" s="3">
        <v>-241.00680000000023</v>
      </c>
      <c r="M2013" t="s">
        <v>2518</v>
      </c>
    </row>
    <row r="2014" spans="1:13" x14ac:dyDescent="0.3">
      <c r="A2014">
        <v>3012</v>
      </c>
      <c r="B2014" t="s">
        <v>2039</v>
      </c>
      <c r="C2014" t="s">
        <v>29</v>
      </c>
      <c r="D2014" t="s">
        <v>141</v>
      </c>
      <c r="E2014">
        <v>2</v>
      </c>
      <c r="F2014" s="3">
        <v>673.96</v>
      </c>
      <c r="G2014" s="4">
        <v>0.6</v>
      </c>
      <c r="H2014" s="3">
        <v>1347.92</v>
      </c>
      <c r="I2014" s="1">
        <v>45782</v>
      </c>
      <c r="J2014" t="s">
        <v>40</v>
      </c>
      <c r="K2014" t="s">
        <v>23</v>
      </c>
      <c r="L2014" s="3">
        <v>539.16800000000001</v>
      </c>
      <c r="M2014" t="s">
        <v>11</v>
      </c>
    </row>
    <row r="2015" spans="1:13" x14ac:dyDescent="0.3">
      <c r="A2015">
        <v>3013</v>
      </c>
      <c r="B2015" t="s">
        <v>2040</v>
      </c>
      <c r="C2015" t="s">
        <v>33</v>
      </c>
      <c r="D2015" t="s">
        <v>82</v>
      </c>
      <c r="E2015">
        <v>2</v>
      </c>
      <c r="F2015" s="3">
        <v>2776.2202000000002</v>
      </c>
      <c r="G2015" s="4">
        <v>0.66</v>
      </c>
      <c r="H2015" s="3">
        <v>5552.4404000000004</v>
      </c>
      <c r="I2015" s="1">
        <v>45689</v>
      </c>
      <c r="J2015" t="s">
        <v>40</v>
      </c>
      <c r="K2015" t="s">
        <v>23</v>
      </c>
      <c r="L2015" s="3">
        <v>1887.8297359999999</v>
      </c>
      <c r="M2015" t="s">
        <v>11</v>
      </c>
    </row>
    <row r="2016" spans="1:13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F2016" s="3">
        <v>2776.2202000000002</v>
      </c>
      <c r="G2016" s="4">
        <v>0.6</v>
      </c>
      <c r="H2016" s="3">
        <v>5552.4404000000004</v>
      </c>
      <c r="I2016" s="1">
        <v>45840</v>
      </c>
      <c r="J2016" t="s">
        <v>15</v>
      </c>
      <c r="K2016" t="s">
        <v>23</v>
      </c>
      <c r="L2016" s="3">
        <v>2220.9761600000002</v>
      </c>
      <c r="M2016" t="s">
        <v>11</v>
      </c>
    </row>
    <row r="2017" spans="1:13" x14ac:dyDescent="0.3">
      <c r="A2017">
        <v>3015</v>
      </c>
      <c r="B2017" t="s">
        <v>2042</v>
      </c>
      <c r="C2017" t="s">
        <v>13</v>
      </c>
      <c r="D2017" t="s">
        <v>102</v>
      </c>
      <c r="E2017">
        <v>2</v>
      </c>
      <c r="F2017" s="3">
        <v>3211</v>
      </c>
      <c r="G2017" s="4">
        <v>0.56000000000000005</v>
      </c>
      <c r="H2017" s="3">
        <v>6422</v>
      </c>
      <c r="I2017" s="1">
        <v>45601</v>
      </c>
      <c r="J2017" t="s">
        <v>15</v>
      </c>
      <c r="K2017" t="s">
        <v>16</v>
      </c>
      <c r="L2017" s="3">
        <v>2825.68</v>
      </c>
      <c r="M2017" t="s">
        <v>11</v>
      </c>
    </row>
    <row r="2018" spans="1:13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F2018" s="3">
        <v>2617.6390384615388</v>
      </c>
      <c r="G2018" s="4">
        <v>0.6</v>
      </c>
      <c r="H2018" s="3">
        <v>13088.195192307694</v>
      </c>
      <c r="I2018" s="1">
        <v>45642</v>
      </c>
      <c r="J2018" t="s">
        <v>56</v>
      </c>
      <c r="K2018" t="s">
        <v>16</v>
      </c>
      <c r="L2018" s="3">
        <v>5235.2780769230776</v>
      </c>
      <c r="M2018" t="s">
        <v>11</v>
      </c>
    </row>
    <row r="2019" spans="1:13" x14ac:dyDescent="0.3">
      <c r="A2019">
        <v>3017</v>
      </c>
      <c r="B2019" t="s">
        <v>2044</v>
      </c>
      <c r="C2019" t="s">
        <v>25</v>
      </c>
      <c r="D2019" t="s">
        <v>86</v>
      </c>
      <c r="E2019">
        <v>2</v>
      </c>
      <c r="F2019" s="3">
        <v>2501.5309999999999</v>
      </c>
      <c r="G2019" s="4">
        <v>0.6</v>
      </c>
      <c r="H2019" s="3">
        <v>5003.0619999999999</v>
      </c>
      <c r="I2019" s="1">
        <v>45641</v>
      </c>
      <c r="J2019" t="s">
        <v>18</v>
      </c>
      <c r="K2019" t="s">
        <v>16</v>
      </c>
      <c r="L2019" s="3">
        <v>2001.2248</v>
      </c>
      <c r="M2019" t="s">
        <v>11</v>
      </c>
    </row>
    <row r="2020" spans="1:13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 s="3">
        <v>4744.8599999999997</v>
      </c>
      <c r="G2020" s="4">
        <v>0.6</v>
      </c>
      <c r="H2020" s="3">
        <v>0</v>
      </c>
      <c r="I2020" s="1">
        <v>45623</v>
      </c>
      <c r="J2020" t="s">
        <v>56</v>
      </c>
      <c r="K2020" t="s">
        <v>23</v>
      </c>
      <c r="L2020" s="3">
        <v>0</v>
      </c>
      <c r="M2020" t="s">
        <v>2518</v>
      </c>
    </row>
    <row r="2021" spans="1:13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 s="3">
        <v>2705.09</v>
      </c>
      <c r="G2021" s="4">
        <v>0.6</v>
      </c>
      <c r="H2021" s="3">
        <v>0</v>
      </c>
      <c r="I2021" s="1">
        <v>45570</v>
      </c>
      <c r="J2021" t="s">
        <v>56</v>
      </c>
      <c r="K2021" t="s">
        <v>16</v>
      </c>
      <c r="L2021" s="3">
        <v>0</v>
      </c>
      <c r="M2021" t="s">
        <v>2518</v>
      </c>
    </row>
    <row r="2022" spans="1:13" x14ac:dyDescent="0.3">
      <c r="A2022">
        <v>3020</v>
      </c>
      <c r="B2022" t="s">
        <v>2047</v>
      </c>
      <c r="C2022" t="s">
        <v>25</v>
      </c>
      <c r="D2022" t="s">
        <v>86</v>
      </c>
      <c r="E2022">
        <v>2</v>
      </c>
      <c r="F2022" s="3">
        <v>2501.5309999999999</v>
      </c>
      <c r="G2022" s="4">
        <v>0.6</v>
      </c>
      <c r="H2022" s="3">
        <v>5003.0619999999999</v>
      </c>
      <c r="I2022" s="1">
        <v>45525</v>
      </c>
      <c r="J2022" t="s">
        <v>40</v>
      </c>
      <c r="K2022" t="s">
        <v>23</v>
      </c>
      <c r="L2022" s="3">
        <v>2001.2248</v>
      </c>
      <c r="M2022" t="s">
        <v>11</v>
      </c>
    </row>
    <row r="2023" spans="1:13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F2023" s="3">
        <v>2483.5844000000002</v>
      </c>
      <c r="G2023" s="4">
        <v>0.6</v>
      </c>
      <c r="H2023" s="3">
        <v>7450.753200000001</v>
      </c>
      <c r="I2023" s="1">
        <v>45692</v>
      </c>
      <c r="J2023" t="s">
        <v>22</v>
      </c>
      <c r="K2023" t="s">
        <v>23</v>
      </c>
      <c r="L2023" s="3">
        <v>2980.3012800000006</v>
      </c>
      <c r="M2023" t="s">
        <v>11</v>
      </c>
    </row>
    <row r="2024" spans="1:13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 s="3">
        <v>1695.61</v>
      </c>
      <c r="G2024" s="4">
        <v>0.6</v>
      </c>
      <c r="H2024" s="3">
        <v>5086.83</v>
      </c>
      <c r="I2024" s="1">
        <v>45512</v>
      </c>
      <c r="J2024" t="s">
        <v>15</v>
      </c>
      <c r="K2024" t="s">
        <v>16</v>
      </c>
      <c r="L2024" s="3">
        <v>2034.732</v>
      </c>
      <c r="M2024" t="s">
        <v>11</v>
      </c>
    </row>
    <row r="2025" spans="1:13" x14ac:dyDescent="0.3">
      <c r="A2025">
        <v>3023</v>
      </c>
      <c r="B2025" t="s">
        <v>2050</v>
      </c>
      <c r="C2025" t="s">
        <v>33</v>
      </c>
      <c r="D2025" t="s">
        <v>44</v>
      </c>
      <c r="E2025">
        <v>2</v>
      </c>
      <c r="F2025" s="3">
        <v>2841.7630612244907</v>
      </c>
      <c r="G2025" s="4">
        <v>0.6</v>
      </c>
      <c r="H2025" s="3">
        <v>5683.5261224489814</v>
      </c>
      <c r="I2025" s="1">
        <v>45166</v>
      </c>
      <c r="J2025" t="s">
        <v>15</v>
      </c>
      <c r="K2025" t="s">
        <v>16</v>
      </c>
      <c r="L2025" s="3">
        <v>2273.4104489795927</v>
      </c>
      <c r="M2025" t="s">
        <v>11</v>
      </c>
    </row>
    <row r="2026" spans="1:13" x14ac:dyDescent="0.3">
      <c r="A2026">
        <v>3024</v>
      </c>
      <c r="B2026" t="s">
        <v>2051</v>
      </c>
      <c r="C2026" t="s">
        <v>33</v>
      </c>
      <c r="D2026" t="s">
        <v>72</v>
      </c>
      <c r="E2026">
        <v>2</v>
      </c>
      <c r="F2026" s="3">
        <v>2715.5458490566025</v>
      </c>
      <c r="G2026" s="4">
        <v>0.18</v>
      </c>
      <c r="H2026" s="3">
        <v>5431.091698113205</v>
      </c>
      <c r="I2026" s="1">
        <v>45782</v>
      </c>
      <c r="J2026" t="s">
        <v>22</v>
      </c>
      <c r="K2026" t="s">
        <v>23</v>
      </c>
      <c r="L2026" s="3">
        <v>4453.4951924528286</v>
      </c>
      <c r="M2026" t="s">
        <v>11</v>
      </c>
    </row>
    <row r="2027" spans="1:13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F2027" s="3">
        <v>2617.6390384615388</v>
      </c>
      <c r="G2027" s="4">
        <v>0.6</v>
      </c>
      <c r="H2027" s="3">
        <v>5235.2780769230776</v>
      </c>
      <c r="I2027" s="1">
        <v>45284</v>
      </c>
      <c r="J2027" t="s">
        <v>40</v>
      </c>
      <c r="K2027" t="s">
        <v>16</v>
      </c>
      <c r="L2027" s="3">
        <v>2094.111230769231</v>
      </c>
      <c r="M2027" t="s">
        <v>11</v>
      </c>
    </row>
    <row r="2028" spans="1:13" x14ac:dyDescent="0.3">
      <c r="A2028">
        <v>3026</v>
      </c>
      <c r="B2028" t="s">
        <v>2053</v>
      </c>
      <c r="C2028" t="s">
        <v>13</v>
      </c>
      <c r="D2028" t="s">
        <v>49</v>
      </c>
      <c r="E2028">
        <v>2</v>
      </c>
      <c r="F2028" s="3">
        <v>3345.45</v>
      </c>
      <c r="G2028" s="4">
        <v>0.6</v>
      </c>
      <c r="H2028" s="3">
        <v>6690.9</v>
      </c>
      <c r="I2028" s="1">
        <v>45512</v>
      </c>
      <c r="J2028" t="s">
        <v>56</v>
      </c>
      <c r="K2028" t="s">
        <v>16</v>
      </c>
      <c r="L2028" s="3">
        <v>2676.36</v>
      </c>
      <c r="M2028" t="s">
        <v>11</v>
      </c>
    </row>
    <row r="2029" spans="1:13" x14ac:dyDescent="0.3">
      <c r="A2029">
        <v>3027</v>
      </c>
      <c r="B2029" t="s">
        <v>2054</v>
      </c>
      <c r="C2029" t="s">
        <v>29</v>
      </c>
      <c r="D2029" t="s">
        <v>120</v>
      </c>
      <c r="E2029">
        <v>2</v>
      </c>
      <c r="F2029" s="3">
        <v>2830.1325714285731</v>
      </c>
      <c r="G2029" s="4">
        <v>0.6</v>
      </c>
      <c r="H2029" s="3">
        <v>5660.2651428571462</v>
      </c>
      <c r="I2029" s="1">
        <v>45595</v>
      </c>
      <c r="J2029" t="s">
        <v>22</v>
      </c>
      <c r="K2029" t="s">
        <v>23</v>
      </c>
      <c r="L2029" s="3">
        <v>2264.1060571428584</v>
      </c>
      <c r="M2029" t="s">
        <v>11</v>
      </c>
    </row>
    <row r="2030" spans="1:13" x14ac:dyDescent="0.3">
      <c r="A2030">
        <v>3028</v>
      </c>
      <c r="B2030" t="s">
        <v>2055</v>
      </c>
      <c r="C2030" t="s">
        <v>25</v>
      </c>
      <c r="D2030" t="s">
        <v>66</v>
      </c>
      <c r="E2030">
        <v>2</v>
      </c>
      <c r="F2030" s="3">
        <v>2572.7764000000006</v>
      </c>
      <c r="G2030" s="4">
        <v>0.74</v>
      </c>
      <c r="H2030" s="3">
        <v>5145.5528000000013</v>
      </c>
      <c r="I2030" s="1">
        <v>45664</v>
      </c>
      <c r="J2030" t="s">
        <v>40</v>
      </c>
      <c r="K2030" t="s">
        <v>23</v>
      </c>
      <c r="L2030" s="3">
        <v>1337.8437280000003</v>
      </c>
      <c r="M2030" t="s">
        <v>11</v>
      </c>
    </row>
    <row r="2031" spans="1:13" x14ac:dyDescent="0.3">
      <c r="A2031">
        <v>1031</v>
      </c>
      <c r="B2031" t="s">
        <v>2056</v>
      </c>
      <c r="C2031" t="s">
        <v>13</v>
      </c>
      <c r="D2031" t="s">
        <v>14</v>
      </c>
      <c r="E2031">
        <v>2</v>
      </c>
      <c r="F2031" s="3">
        <v>2267.3000000000002</v>
      </c>
      <c r="G2031" s="4">
        <v>0.91</v>
      </c>
      <c r="H2031" s="3">
        <v>4534.6000000000004</v>
      </c>
      <c r="I2031" s="1">
        <v>45732</v>
      </c>
      <c r="J2031" t="s">
        <v>40</v>
      </c>
      <c r="K2031" t="s">
        <v>16</v>
      </c>
      <c r="L2031" s="3">
        <v>408.11399999999992</v>
      </c>
      <c r="M2031" t="s">
        <v>2518</v>
      </c>
    </row>
    <row r="2032" spans="1:13" x14ac:dyDescent="0.3">
      <c r="A2032">
        <v>3030</v>
      </c>
      <c r="B2032" t="s">
        <v>278</v>
      </c>
      <c r="C2032" t="s">
        <v>29</v>
      </c>
      <c r="D2032" t="s">
        <v>120</v>
      </c>
      <c r="E2032">
        <v>2</v>
      </c>
      <c r="F2032" s="3">
        <v>4101.8900000000003</v>
      </c>
      <c r="G2032" s="4">
        <v>0.6</v>
      </c>
      <c r="H2032" s="3">
        <v>8203.7800000000007</v>
      </c>
      <c r="I2032" s="1">
        <v>45646</v>
      </c>
      <c r="J2032" t="s">
        <v>15</v>
      </c>
      <c r="K2032" t="s">
        <v>16</v>
      </c>
      <c r="L2032" s="3">
        <v>3281.5120000000006</v>
      </c>
      <c r="M2032" t="s">
        <v>11</v>
      </c>
    </row>
    <row r="2033" spans="1:13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F2033" s="3">
        <v>2700.1263043478252</v>
      </c>
      <c r="G2033" s="4">
        <v>0.6</v>
      </c>
      <c r="H2033" s="3">
        <v>-2700.1263043478252</v>
      </c>
      <c r="I2033" s="1">
        <v>45501</v>
      </c>
      <c r="J2033" t="s">
        <v>56</v>
      </c>
      <c r="K2033" t="s">
        <v>16</v>
      </c>
      <c r="L2033" s="3">
        <v>-1080.0505217391301</v>
      </c>
      <c r="M2033" t="s">
        <v>2518</v>
      </c>
    </row>
    <row r="2034" spans="1:13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 s="3">
        <v>3654.9</v>
      </c>
      <c r="G2034" s="4">
        <v>0.6</v>
      </c>
      <c r="H2034" s="3">
        <v>18274.5</v>
      </c>
      <c r="I2034" s="1">
        <v>45782</v>
      </c>
      <c r="J2034" t="s">
        <v>18</v>
      </c>
      <c r="K2034" t="s">
        <v>23</v>
      </c>
      <c r="L2034" s="3">
        <v>7309.8</v>
      </c>
      <c r="M2034" t="s">
        <v>11</v>
      </c>
    </row>
    <row r="2035" spans="1:13" x14ac:dyDescent="0.3">
      <c r="A2035">
        <v>3033</v>
      </c>
      <c r="B2035" t="s">
        <v>2059</v>
      </c>
      <c r="C2035" t="s">
        <v>33</v>
      </c>
      <c r="D2035" t="s">
        <v>72</v>
      </c>
      <c r="E2035">
        <v>2</v>
      </c>
      <c r="F2035" s="3">
        <v>1787.52</v>
      </c>
      <c r="G2035" s="4">
        <v>0.6</v>
      </c>
      <c r="H2035" s="3">
        <v>3575.04</v>
      </c>
      <c r="I2035" s="1">
        <v>45702</v>
      </c>
      <c r="J2035" t="s">
        <v>56</v>
      </c>
      <c r="K2035" t="s">
        <v>23</v>
      </c>
      <c r="L2035" s="3">
        <v>1430.0160000000001</v>
      </c>
      <c r="M2035" t="s">
        <v>11</v>
      </c>
    </row>
    <row r="2036" spans="1:13" x14ac:dyDescent="0.3">
      <c r="A2036">
        <v>3034</v>
      </c>
      <c r="B2036" t="s">
        <v>2060</v>
      </c>
      <c r="C2036" t="s">
        <v>33</v>
      </c>
      <c r="D2036" t="s">
        <v>44</v>
      </c>
      <c r="E2036">
        <v>2</v>
      </c>
      <c r="F2036" s="3">
        <v>2841.7630612244907</v>
      </c>
      <c r="G2036" s="4">
        <v>0.6</v>
      </c>
      <c r="H2036" s="3">
        <v>5683.5261224489814</v>
      </c>
      <c r="I2036" s="1">
        <v>45782</v>
      </c>
      <c r="J2036" t="s">
        <v>18</v>
      </c>
      <c r="K2036" t="s">
        <v>23</v>
      </c>
      <c r="L2036" s="3">
        <v>2273.4104489795927</v>
      </c>
      <c r="M2036" t="s">
        <v>11</v>
      </c>
    </row>
    <row r="2037" spans="1:13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F2037" s="3">
        <v>3008.3844444444444</v>
      </c>
      <c r="G2037" s="4">
        <v>1</v>
      </c>
      <c r="H2037" s="3">
        <v>12033.537777777778</v>
      </c>
      <c r="I2037" s="1">
        <v>45782</v>
      </c>
      <c r="J2037" t="s">
        <v>40</v>
      </c>
      <c r="K2037" t="s">
        <v>23</v>
      </c>
      <c r="L2037" s="3">
        <v>0</v>
      </c>
      <c r="M2037" t="s">
        <v>2518</v>
      </c>
    </row>
    <row r="2038" spans="1:13" x14ac:dyDescent="0.3">
      <c r="A2038">
        <v>3036</v>
      </c>
      <c r="B2038" t="s">
        <v>2062</v>
      </c>
      <c r="C2038" t="s">
        <v>38</v>
      </c>
      <c r="D2038" t="s">
        <v>91</v>
      </c>
      <c r="E2038">
        <v>2</v>
      </c>
      <c r="F2038" s="3">
        <v>3997.83</v>
      </c>
      <c r="G2038" s="4">
        <v>0.6</v>
      </c>
      <c r="H2038" s="3">
        <v>7995.66</v>
      </c>
      <c r="I2038" s="1">
        <v>45784</v>
      </c>
      <c r="J2038" t="s">
        <v>15</v>
      </c>
      <c r="K2038" t="s">
        <v>23</v>
      </c>
      <c r="L2038" s="3">
        <v>3198.2640000000001</v>
      </c>
      <c r="M2038" t="s">
        <v>11</v>
      </c>
    </row>
    <row r="2039" spans="1:13" x14ac:dyDescent="0.3">
      <c r="A2039">
        <v>3037</v>
      </c>
      <c r="B2039" t="s">
        <v>2063</v>
      </c>
      <c r="C2039" t="s">
        <v>20</v>
      </c>
      <c r="D2039" t="s">
        <v>21</v>
      </c>
      <c r="E2039">
        <v>2</v>
      </c>
      <c r="F2039" s="3">
        <v>2681.1743636363635</v>
      </c>
      <c r="G2039" s="4">
        <v>0.85</v>
      </c>
      <c r="H2039" s="3">
        <v>5362.348727272727</v>
      </c>
      <c r="I2039" s="1">
        <v>45518</v>
      </c>
      <c r="J2039" t="s">
        <v>15</v>
      </c>
      <c r="K2039" t="s">
        <v>16</v>
      </c>
      <c r="L2039" s="3">
        <v>804.35230909090922</v>
      </c>
      <c r="M2039" t="s">
        <v>11</v>
      </c>
    </row>
    <row r="2040" spans="1:13" x14ac:dyDescent="0.3">
      <c r="A2040">
        <v>3038</v>
      </c>
      <c r="B2040" t="s">
        <v>2064</v>
      </c>
      <c r="C2040" t="s">
        <v>20</v>
      </c>
      <c r="D2040" t="s">
        <v>80</v>
      </c>
      <c r="E2040">
        <v>2</v>
      </c>
      <c r="F2040" s="3">
        <v>1318.04</v>
      </c>
      <c r="G2040" s="4">
        <v>0.6</v>
      </c>
      <c r="H2040" s="3">
        <v>2636.08</v>
      </c>
      <c r="I2040" s="1">
        <v>45696</v>
      </c>
      <c r="J2040" t="s">
        <v>18</v>
      </c>
      <c r="K2040" t="s">
        <v>16</v>
      </c>
      <c r="L2040" s="3">
        <v>1054.432</v>
      </c>
      <c r="M2040" t="s">
        <v>11</v>
      </c>
    </row>
    <row r="2041" spans="1:13" x14ac:dyDescent="0.3">
      <c r="A2041">
        <v>3039</v>
      </c>
      <c r="B2041" t="s">
        <v>2065</v>
      </c>
      <c r="C2041" t="s">
        <v>13</v>
      </c>
      <c r="D2041" t="s">
        <v>14</v>
      </c>
      <c r="E2041">
        <v>2</v>
      </c>
      <c r="F2041" s="3">
        <v>2381.2677586206896</v>
      </c>
      <c r="G2041" s="4">
        <v>0.6</v>
      </c>
      <c r="H2041" s="3">
        <v>4762.5355172413792</v>
      </c>
      <c r="I2041" s="1">
        <v>45782</v>
      </c>
      <c r="J2041" t="s">
        <v>46</v>
      </c>
      <c r="K2041" t="s">
        <v>23</v>
      </c>
      <c r="L2041" s="3">
        <v>1905.0142068965517</v>
      </c>
      <c r="M2041" t="s">
        <v>11</v>
      </c>
    </row>
    <row r="2042" spans="1:13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F2042" s="3">
        <v>2572.7764000000006</v>
      </c>
      <c r="G2042" s="4">
        <v>0.6</v>
      </c>
      <c r="H2042" s="3">
        <v>-5145.5528000000013</v>
      </c>
      <c r="I2042" s="1">
        <v>45735</v>
      </c>
      <c r="J2042" t="s">
        <v>56</v>
      </c>
      <c r="K2042" t="s">
        <v>23</v>
      </c>
      <c r="L2042" s="3">
        <v>-2058.2211200000006</v>
      </c>
      <c r="M2042" t="s">
        <v>2518</v>
      </c>
    </row>
    <row r="2043" spans="1:13" x14ac:dyDescent="0.3">
      <c r="A2043">
        <v>3041</v>
      </c>
      <c r="B2043" t="s">
        <v>2067</v>
      </c>
      <c r="C2043" t="s">
        <v>20</v>
      </c>
      <c r="D2043" t="s">
        <v>80</v>
      </c>
      <c r="E2043">
        <v>2</v>
      </c>
      <c r="F2043" s="3">
        <v>2483.5844000000002</v>
      </c>
      <c r="G2043" s="4">
        <v>0.6</v>
      </c>
      <c r="H2043" s="3">
        <v>4967.1688000000004</v>
      </c>
      <c r="I2043" s="1">
        <v>45631</v>
      </c>
      <c r="J2043" t="s">
        <v>56</v>
      </c>
      <c r="K2043" t="s">
        <v>23</v>
      </c>
      <c r="L2043" s="3">
        <v>1986.8675200000002</v>
      </c>
      <c r="M2043" t="s">
        <v>11</v>
      </c>
    </row>
    <row r="2044" spans="1:13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 s="3">
        <v>848.45</v>
      </c>
      <c r="G2044" s="4">
        <v>0.6</v>
      </c>
      <c r="H2044" s="3">
        <v>2545.3500000000004</v>
      </c>
      <c r="I2044" s="1">
        <v>45782</v>
      </c>
      <c r="J2044" t="s">
        <v>40</v>
      </c>
      <c r="K2044" t="s">
        <v>16</v>
      </c>
      <c r="L2044" s="3">
        <v>1018.1400000000002</v>
      </c>
      <c r="M2044" t="s">
        <v>11</v>
      </c>
    </row>
    <row r="2045" spans="1:13" x14ac:dyDescent="0.3">
      <c r="A2045">
        <v>3043</v>
      </c>
      <c r="B2045" t="s">
        <v>2069</v>
      </c>
      <c r="C2045" t="s">
        <v>29</v>
      </c>
      <c r="D2045" t="s">
        <v>141</v>
      </c>
      <c r="E2045">
        <v>2</v>
      </c>
      <c r="F2045" s="3">
        <v>1137.77</v>
      </c>
      <c r="G2045" s="4">
        <v>0.6</v>
      </c>
      <c r="H2045" s="3">
        <v>2275.54</v>
      </c>
      <c r="I2045" s="1">
        <v>45264</v>
      </c>
      <c r="J2045" t="s">
        <v>15</v>
      </c>
      <c r="K2045" t="s">
        <v>16</v>
      </c>
      <c r="L2045" s="3">
        <v>910.21600000000001</v>
      </c>
      <c r="M2045" t="s">
        <v>11</v>
      </c>
    </row>
    <row r="2046" spans="1:13" x14ac:dyDescent="0.3">
      <c r="A2046">
        <v>3044</v>
      </c>
      <c r="B2046" t="s">
        <v>2070</v>
      </c>
      <c r="C2046" t="s">
        <v>33</v>
      </c>
      <c r="D2046" t="s">
        <v>44</v>
      </c>
      <c r="E2046">
        <v>2</v>
      </c>
      <c r="F2046" s="3">
        <v>431.31</v>
      </c>
      <c r="G2046" s="4">
        <v>1.25</v>
      </c>
      <c r="H2046" s="3">
        <v>862.62</v>
      </c>
      <c r="I2046" s="1">
        <v>45811</v>
      </c>
      <c r="J2046" t="s">
        <v>22</v>
      </c>
      <c r="K2046" t="s">
        <v>16</v>
      </c>
      <c r="L2046" s="3">
        <v>-215.655</v>
      </c>
      <c r="M2046" t="s">
        <v>2518</v>
      </c>
    </row>
    <row r="2047" spans="1:13" x14ac:dyDescent="0.3">
      <c r="A2047">
        <v>3045</v>
      </c>
      <c r="B2047" t="s">
        <v>2071</v>
      </c>
      <c r="C2047" t="s">
        <v>38</v>
      </c>
      <c r="D2047" t="s">
        <v>39</v>
      </c>
      <c r="E2047">
        <v>2</v>
      </c>
      <c r="F2047" s="3">
        <v>3180.69</v>
      </c>
      <c r="G2047" s="4">
        <v>0.6</v>
      </c>
      <c r="H2047" s="3">
        <v>6361.38</v>
      </c>
      <c r="I2047" s="1">
        <v>45151</v>
      </c>
      <c r="J2047" t="s">
        <v>56</v>
      </c>
      <c r="K2047" t="s">
        <v>23</v>
      </c>
      <c r="L2047" s="3">
        <v>2544.5520000000001</v>
      </c>
      <c r="M2047" t="s">
        <v>11</v>
      </c>
    </row>
    <row r="2048" spans="1:13" x14ac:dyDescent="0.3">
      <c r="A2048">
        <v>3046</v>
      </c>
      <c r="B2048" t="s">
        <v>2072</v>
      </c>
      <c r="C2048" t="s">
        <v>13</v>
      </c>
      <c r="D2048" t="s">
        <v>49</v>
      </c>
      <c r="E2048">
        <v>2</v>
      </c>
      <c r="F2048" s="3">
        <v>2785.0877966101693</v>
      </c>
      <c r="G2048" s="4">
        <v>0.6</v>
      </c>
      <c r="H2048" s="3">
        <v>5570.1755932203387</v>
      </c>
      <c r="I2048" s="1">
        <v>45782</v>
      </c>
      <c r="J2048" t="s">
        <v>56</v>
      </c>
      <c r="K2048" t="s">
        <v>23</v>
      </c>
      <c r="L2048" s="3">
        <v>2228.0702372881356</v>
      </c>
      <c r="M2048" t="s">
        <v>11</v>
      </c>
    </row>
    <row r="2049" spans="1:13" x14ac:dyDescent="0.3">
      <c r="A2049">
        <v>1037</v>
      </c>
      <c r="B2049" t="s">
        <v>2073</v>
      </c>
      <c r="C2049" t="s">
        <v>33</v>
      </c>
      <c r="D2049" t="s">
        <v>44</v>
      </c>
      <c r="E2049">
        <v>2</v>
      </c>
      <c r="F2049" s="3">
        <v>2841.7630612244907</v>
      </c>
      <c r="G2049" s="4">
        <v>0.6</v>
      </c>
      <c r="H2049" s="3">
        <v>5683.5261224489814</v>
      </c>
      <c r="I2049" s="1">
        <v>45782</v>
      </c>
      <c r="J2049" t="s">
        <v>22</v>
      </c>
      <c r="K2049" t="s">
        <v>16</v>
      </c>
      <c r="L2049" s="3">
        <v>2273.4104489795927</v>
      </c>
      <c r="M2049" t="s">
        <v>11</v>
      </c>
    </row>
    <row r="2050" spans="1:13" x14ac:dyDescent="0.3">
      <c r="A2050">
        <v>3048</v>
      </c>
      <c r="B2050" t="s">
        <v>2074</v>
      </c>
      <c r="C2050" t="s">
        <v>20</v>
      </c>
      <c r="D2050" t="s">
        <v>21</v>
      </c>
      <c r="E2050">
        <v>2</v>
      </c>
      <c r="F2050" s="3">
        <v>1136.4100000000001</v>
      </c>
      <c r="G2050" s="4">
        <v>0.6</v>
      </c>
      <c r="H2050" s="3">
        <v>2272.8200000000002</v>
      </c>
      <c r="I2050" s="1">
        <v>45699</v>
      </c>
      <c r="J2050" t="s">
        <v>18</v>
      </c>
      <c r="K2050" t="s">
        <v>23</v>
      </c>
      <c r="L2050" s="3">
        <v>909.12800000000016</v>
      </c>
      <c r="M2050" t="s">
        <v>11</v>
      </c>
    </row>
    <row r="2051" spans="1:13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F2051" s="3">
        <v>2845.2419672131159</v>
      </c>
      <c r="G2051" s="4">
        <v>0.6</v>
      </c>
      <c r="H2051" s="3">
        <v>-5690.4839344262318</v>
      </c>
      <c r="I2051" s="1">
        <v>45794</v>
      </c>
      <c r="J2051" t="s">
        <v>22</v>
      </c>
      <c r="K2051" t="s">
        <v>23</v>
      </c>
      <c r="L2051" s="3">
        <v>-2276.193573770493</v>
      </c>
      <c r="M2051" t="s">
        <v>2518</v>
      </c>
    </row>
    <row r="2052" spans="1:13" x14ac:dyDescent="0.3">
      <c r="A2052">
        <v>3050</v>
      </c>
      <c r="B2052" t="s">
        <v>2076</v>
      </c>
      <c r="C2052" t="s">
        <v>13</v>
      </c>
      <c r="D2052" t="s">
        <v>102</v>
      </c>
      <c r="E2052">
        <v>2</v>
      </c>
      <c r="F2052" s="3">
        <v>3177.78</v>
      </c>
      <c r="G2052" s="4">
        <v>0.6</v>
      </c>
      <c r="H2052" s="3">
        <v>6355.56</v>
      </c>
      <c r="I2052" s="1">
        <v>45593</v>
      </c>
      <c r="J2052" t="s">
        <v>18</v>
      </c>
      <c r="K2052" t="s">
        <v>16</v>
      </c>
      <c r="L2052" s="3">
        <v>2542.2240000000002</v>
      </c>
      <c r="M2052" t="s">
        <v>11</v>
      </c>
    </row>
    <row r="2053" spans="1:13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F2053" s="3">
        <v>2888.8714285714286</v>
      </c>
      <c r="G2053" s="4">
        <v>0.6</v>
      </c>
      <c r="H2053" s="3">
        <v>0</v>
      </c>
      <c r="I2053" s="1">
        <v>45782</v>
      </c>
      <c r="J2053" t="s">
        <v>40</v>
      </c>
      <c r="K2053" t="s">
        <v>23</v>
      </c>
      <c r="L2053" s="3">
        <v>0</v>
      </c>
      <c r="M2053" t="s">
        <v>2518</v>
      </c>
    </row>
    <row r="2054" spans="1:13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 s="3">
        <v>1290.42</v>
      </c>
      <c r="G2054" s="4">
        <v>0.6</v>
      </c>
      <c r="H2054" s="3">
        <v>-1290.42</v>
      </c>
      <c r="I2054" s="1">
        <v>45403</v>
      </c>
      <c r="J2054" t="s">
        <v>18</v>
      </c>
      <c r="K2054" t="s">
        <v>23</v>
      </c>
      <c r="L2054" s="3">
        <v>-516.16800000000001</v>
      </c>
      <c r="M2054" t="s">
        <v>2518</v>
      </c>
    </row>
    <row r="2055" spans="1:13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F2055" s="3">
        <v>2530.3836538461546</v>
      </c>
      <c r="G2055" s="4">
        <v>0.6</v>
      </c>
      <c r="H2055" s="3">
        <v>12651.918269230773</v>
      </c>
      <c r="I2055" s="1">
        <v>45782</v>
      </c>
      <c r="J2055" t="s">
        <v>18</v>
      </c>
      <c r="K2055" t="s">
        <v>16</v>
      </c>
      <c r="L2055" s="3">
        <v>5060.7673076923093</v>
      </c>
      <c r="M2055" t="s">
        <v>11</v>
      </c>
    </row>
    <row r="2056" spans="1:13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 s="3">
        <v>1722.34</v>
      </c>
      <c r="G2056" s="4">
        <v>1.04</v>
      </c>
      <c r="H2056" s="3">
        <v>8611.6999999999989</v>
      </c>
      <c r="I2056" s="1">
        <v>45505</v>
      </c>
      <c r="J2056" t="s">
        <v>15</v>
      </c>
      <c r="K2056" t="s">
        <v>23</v>
      </c>
      <c r="L2056" s="3">
        <v>-344.46800000000025</v>
      </c>
      <c r="M2056" t="s">
        <v>2518</v>
      </c>
    </row>
    <row r="2057" spans="1:13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F2057" s="3">
        <v>3008.3844444444444</v>
      </c>
      <c r="G2057" s="4">
        <v>0.6</v>
      </c>
      <c r="H2057" s="3">
        <v>3008.3844444444444</v>
      </c>
      <c r="I2057" s="1">
        <v>45821</v>
      </c>
      <c r="J2057" t="s">
        <v>22</v>
      </c>
      <c r="K2057" t="s">
        <v>16</v>
      </c>
      <c r="L2057" s="3">
        <v>1203.3537777777779</v>
      </c>
      <c r="M2057" t="s">
        <v>11</v>
      </c>
    </row>
    <row r="2058" spans="1:13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F2058" s="3">
        <v>2530.3836538461546</v>
      </c>
      <c r="G2058" s="4">
        <v>0.6</v>
      </c>
      <c r="H2058" s="3">
        <v>10121.534615384619</v>
      </c>
      <c r="I2058" s="1">
        <v>45632</v>
      </c>
      <c r="J2058" t="s">
        <v>22</v>
      </c>
      <c r="K2058" t="s">
        <v>23</v>
      </c>
      <c r="L2058" s="3">
        <v>4048.6138461538476</v>
      </c>
      <c r="M2058" t="s">
        <v>11</v>
      </c>
    </row>
    <row r="2059" spans="1:13" x14ac:dyDescent="0.3">
      <c r="A2059">
        <v>3057</v>
      </c>
      <c r="B2059" t="s">
        <v>2083</v>
      </c>
      <c r="C2059" t="s">
        <v>20</v>
      </c>
      <c r="D2059" t="s">
        <v>80</v>
      </c>
      <c r="E2059">
        <v>2</v>
      </c>
      <c r="F2059" s="3">
        <v>2483.5844000000002</v>
      </c>
      <c r="G2059" s="4">
        <v>1.05</v>
      </c>
      <c r="H2059" s="3">
        <v>4967.1688000000004</v>
      </c>
      <c r="I2059" s="1">
        <v>45839</v>
      </c>
      <c r="J2059" t="s">
        <v>18</v>
      </c>
      <c r="K2059" t="s">
        <v>23</v>
      </c>
      <c r="L2059" s="3">
        <v>-248.35844000000023</v>
      </c>
      <c r="M2059" t="s">
        <v>2518</v>
      </c>
    </row>
    <row r="2060" spans="1:13" x14ac:dyDescent="0.3">
      <c r="A2060">
        <v>3058</v>
      </c>
      <c r="B2060" t="s">
        <v>2084</v>
      </c>
      <c r="C2060" t="s">
        <v>33</v>
      </c>
      <c r="D2060" t="s">
        <v>82</v>
      </c>
      <c r="E2060">
        <v>2</v>
      </c>
      <c r="F2060" s="3">
        <v>2948.36</v>
      </c>
      <c r="G2060" s="4">
        <v>0.6</v>
      </c>
      <c r="H2060" s="3">
        <v>5896.72</v>
      </c>
      <c r="I2060" s="1">
        <v>45782</v>
      </c>
      <c r="J2060" t="s">
        <v>46</v>
      </c>
      <c r="K2060" t="s">
        <v>23</v>
      </c>
      <c r="L2060" s="3">
        <v>2358.6880000000001</v>
      </c>
      <c r="M2060" t="s">
        <v>11</v>
      </c>
    </row>
    <row r="2061" spans="1:13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 s="3">
        <v>4949.17</v>
      </c>
      <c r="G2061" s="4">
        <v>0.6</v>
      </c>
      <c r="H2061" s="3">
        <v>-9898.34</v>
      </c>
      <c r="I2061" s="1">
        <v>45785</v>
      </c>
      <c r="J2061" t="s">
        <v>40</v>
      </c>
      <c r="K2061" t="s">
        <v>23</v>
      </c>
      <c r="L2061" s="3">
        <v>-3959.3360000000002</v>
      </c>
      <c r="M2061" t="s">
        <v>2518</v>
      </c>
    </row>
    <row r="2062" spans="1:13" x14ac:dyDescent="0.3">
      <c r="A2062">
        <v>3060</v>
      </c>
      <c r="B2062" t="s">
        <v>2086</v>
      </c>
      <c r="C2062" t="s">
        <v>29</v>
      </c>
      <c r="D2062" t="s">
        <v>120</v>
      </c>
      <c r="E2062">
        <v>2</v>
      </c>
      <c r="F2062" s="3">
        <v>2830.1325714285731</v>
      </c>
      <c r="G2062" s="4">
        <v>0.71</v>
      </c>
      <c r="H2062" s="3">
        <v>5660.2651428571462</v>
      </c>
      <c r="I2062" s="1">
        <v>45679</v>
      </c>
      <c r="J2062" t="s">
        <v>22</v>
      </c>
      <c r="K2062" t="s">
        <v>23</v>
      </c>
      <c r="L2062" s="3">
        <v>1641.4768914285726</v>
      </c>
      <c r="M2062" t="s">
        <v>11</v>
      </c>
    </row>
    <row r="2063" spans="1:13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 s="3">
        <v>1873.39</v>
      </c>
      <c r="G2063" s="4">
        <v>0.74</v>
      </c>
      <c r="H2063" s="3">
        <v>-1873.39</v>
      </c>
      <c r="I2063" s="1">
        <v>45646</v>
      </c>
      <c r="J2063" t="s">
        <v>56</v>
      </c>
      <c r="K2063" t="s">
        <v>23</v>
      </c>
      <c r="L2063" s="3">
        <v>-487.08140000000003</v>
      </c>
      <c r="M2063" t="s">
        <v>2518</v>
      </c>
    </row>
    <row r="2064" spans="1:13" x14ac:dyDescent="0.3">
      <c r="A2064">
        <v>3062</v>
      </c>
      <c r="B2064" t="s">
        <v>2088</v>
      </c>
      <c r="C2064" t="s">
        <v>33</v>
      </c>
      <c r="D2064" t="s">
        <v>72</v>
      </c>
      <c r="E2064">
        <v>2</v>
      </c>
      <c r="F2064" s="3">
        <v>4312.55</v>
      </c>
      <c r="G2064" s="4">
        <v>0.6</v>
      </c>
      <c r="H2064" s="3">
        <v>8625.1</v>
      </c>
      <c r="I2064" s="1">
        <v>45666</v>
      </c>
      <c r="J2064" t="s">
        <v>56</v>
      </c>
      <c r="K2064" t="s">
        <v>23</v>
      </c>
      <c r="L2064" s="3">
        <v>3450.0400000000004</v>
      </c>
      <c r="M2064" t="s">
        <v>11</v>
      </c>
    </row>
    <row r="2065" spans="1:13" x14ac:dyDescent="0.3">
      <c r="A2065">
        <v>3063</v>
      </c>
      <c r="B2065" t="s">
        <v>2089</v>
      </c>
      <c r="C2065" t="s">
        <v>33</v>
      </c>
      <c r="D2065" t="s">
        <v>82</v>
      </c>
      <c r="E2065">
        <v>2</v>
      </c>
      <c r="F2065" s="3">
        <v>4971.93</v>
      </c>
      <c r="G2065" s="4">
        <v>0.51</v>
      </c>
      <c r="H2065" s="3">
        <v>9943.86</v>
      </c>
      <c r="I2065" s="1">
        <v>45760</v>
      </c>
      <c r="J2065" t="s">
        <v>56</v>
      </c>
      <c r="K2065" t="s">
        <v>23</v>
      </c>
      <c r="L2065" s="3">
        <v>4872.4913999999999</v>
      </c>
      <c r="M2065" t="s">
        <v>11</v>
      </c>
    </row>
    <row r="2066" spans="1:13" x14ac:dyDescent="0.3">
      <c r="A2066">
        <v>3064</v>
      </c>
      <c r="B2066" t="s">
        <v>2090</v>
      </c>
      <c r="C2066" t="s">
        <v>20</v>
      </c>
      <c r="D2066" t="s">
        <v>21</v>
      </c>
      <c r="E2066">
        <v>2</v>
      </c>
      <c r="F2066" s="3">
        <v>2681.1743636363635</v>
      </c>
      <c r="G2066" s="4">
        <v>1.24</v>
      </c>
      <c r="H2066" s="3">
        <v>5362.348727272727</v>
      </c>
      <c r="I2066" s="1">
        <v>45779</v>
      </c>
      <c r="J2066" t="s">
        <v>56</v>
      </c>
      <c r="K2066" t="s">
        <v>23</v>
      </c>
      <c r="L2066" s="3">
        <v>-1286.9636945454545</v>
      </c>
      <c r="M2066" t="s">
        <v>2518</v>
      </c>
    </row>
    <row r="2067" spans="1:13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 s="3">
        <v>873.64</v>
      </c>
      <c r="G2067" s="4">
        <v>0.17</v>
      </c>
      <c r="H2067" s="3">
        <v>-873.64</v>
      </c>
      <c r="I2067" s="1">
        <v>45736</v>
      </c>
      <c r="J2067" t="s">
        <v>46</v>
      </c>
      <c r="K2067" t="s">
        <v>23</v>
      </c>
      <c r="L2067" s="3">
        <v>-725.12119999999993</v>
      </c>
      <c r="M2067" t="s">
        <v>2518</v>
      </c>
    </row>
    <row r="2068" spans="1:13" x14ac:dyDescent="0.3">
      <c r="A2068">
        <v>3066</v>
      </c>
      <c r="B2068" t="s">
        <v>2092</v>
      </c>
      <c r="C2068" t="s">
        <v>25</v>
      </c>
      <c r="D2068" t="s">
        <v>86</v>
      </c>
      <c r="E2068">
        <v>2</v>
      </c>
      <c r="F2068" s="3">
        <v>2501.5309999999999</v>
      </c>
      <c r="G2068" s="4">
        <v>1.28</v>
      </c>
      <c r="H2068" s="3">
        <v>5003.0619999999999</v>
      </c>
      <c r="I2068" s="1">
        <v>45806</v>
      </c>
      <c r="J2068" t="s">
        <v>22</v>
      </c>
      <c r="K2068" t="s">
        <v>16</v>
      </c>
      <c r="L2068" s="3">
        <v>-1400.8573600000002</v>
      </c>
      <c r="M2068" t="s">
        <v>2518</v>
      </c>
    </row>
    <row r="2069" spans="1:13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F2069" s="3">
        <v>2841.7630612244907</v>
      </c>
      <c r="G2069" s="4">
        <v>0.6</v>
      </c>
      <c r="H2069" s="3">
        <v>0</v>
      </c>
      <c r="I2069" s="1">
        <v>45575</v>
      </c>
      <c r="J2069" t="s">
        <v>40</v>
      </c>
      <c r="K2069" t="s">
        <v>23</v>
      </c>
      <c r="L2069" s="3">
        <v>0</v>
      </c>
      <c r="M2069" t="s">
        <v>2518</v>
      </c>
    </row>
    <row r="2070" spans="1:13" x14ac:dyDescent="0.3">
      <c r="A2070">
        <v>3068</v>
      </c>
      <c r="B2070" t="s">
        <v>2094</v>
      </c>
      <c r="C2070" t="s">
        <v>25</v>
      </c>
      <c r="D2070" t="s">
        <v>54</v>
      </c>
      <c r="E2070">
        <v>2</v>
      </c>
      <c r="F2070" s="3">
        <v>2530.3836538461546</v>
      </c>
      <c r="G2070" s="4">
        <v>0.99</v>
      </c>
      <c r="H2070" s="3">
        <v>5060.7673076923093</v>
      </c>
      <c r="I2070" s="1">
        <v>45782</v>
      </c>
      <c r="J2070" t="s">
        <v>46</v>
      </c>
      <c r="K2070" t="s">
        <v>16</v>
      </c>
      <c r="L2070" s="3">
        <v>50.607673076923135</v>
      </c>
      <c r="M2070" t="s">
        <v>2518</v>
      </c>
    </row>
    <row r="2071" spans="1:13" x14ac:dyDescent="0.3">
      <c r="A2071">
        <v>3069</v>
      </c>
      <c r="B2071" t="s">
        <v>2095</v>
      </c>
      <c r="C2071" t="s">
        <v>20</v>
      </c>
      <c r="D2071" t="s">
        <v>21</v>
      </c>
      <c r="E2071">
        <v>2</v>
      </c>
      <c r="F2071" s="3">
        <v>2681.1743636363635</v>
      </c>
      <c r="G2071" s="4">
        <v>0.6</v>
      </c>
      <c r="H2071" s="3">
        <v>5362.348727272727</v>
      </c>
      <c r="I2071" s="1">
        <v>45591</v>
      </c>
      <c r="J2071" t="s">
        <v>40</v>
      </c>
      <c r="K2071" t="s">
        <v>23</v>
      </c>
      <c r="L2071" s="3">
        <v>2144.9394909090911</v>
      </c>
      <c r="M2071" t="s">
        <v>11</v>
      </c>
    </row>
    <row r="2072" spans="1:13" x14ac:dyDescent="0.3">
      <c r="A2072">
        <v>3070</v>
      </c>
      <c r="B2072" t="s">
        <v>2096</v>
      </c>
      <c r="C2072" t="s">
        <v>20</v>
      </c>
      <c r="D2072" t="s">
        <v>122</v>
      </c>
      <c r="E2072">
        <v>2</v>
      </c>
      <c r="F2072" s="3">
        <v>2700.1263043478252</v>
      </c>
      <c r="G2072" s="4">
        <v>0.6</v>
      </c>
      <c r="H2072" s="3">
        <v>5400.2526086956505</v>
      </c>
      <c r="I2072" s="1">
        <v>45525</v>
      </c>
      <c r="J2072" t="s">
        <v>15</v>
      </c>
      <c r="K2072" t="s">
        <v>23</v>
      </c>
      <c r="L2072" s="3">
        <v>2160.1010434782602</v>
      </c>
      <c r="M2072" t="s">
        <v>11</v>
      </c>
    </row>
    <row r="2073" spans="1:13" x14ac:dyDescent="0.3">
      <c r="A2073">
        <v>3071</v>
      </c>
      <c r="B2073" t="s">
        <v>2097</v>
      </c>
      <c r="C2073" t="s">
        <v>25</v>
      </c>
      <c r="D2073" t="s">
        <v>54</v>
      </c>
      <c r="E2073">
        <v>2</v>
      </c>
      <c r="F2073" s="3">
        <v>4617.8500000000004</v>
      </c>
      <c r="G2073" s="4">
        <v>1.02</v>
      </c>
      <c r="H2073" s="3">
        <v>9235.7000000000007</v>
      </c>
      <c r="I2073" s="1">
        <v>45229</v>
      </c>
      <c r="J2073" t="s">
        <v>15</v>
      </c>
      <c r="K2073" t="s">
        <v>16</v>
      </c>
      <c r="L2073" s="3">
        <v>-184.71400000000017</v>
      </c>
      <c r="M2073" t="s">
        <v>2518</v>
      </c>
    </row>
    <row r="2074" spans="1:13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F2074" s="3">
        <v>2501.5309999999999</v>
      </c>
      <c r="G2074" s="4">
        <v>0.6</v>
      </c>
      <c r="H2074" s="3">
        <v>15009.186</v>
      </c>
      <c r="I2074" s="1">
        <v>45664</v>
      </c>
      <c r="J2074" t="s">
        <v>18</v>
      </c>
      <c r="K2074" t="s">
        <v>16</v>
      </c>
      <c r="L2074" s="3">
        <v>6003.6743999999999</v>
      </c>
      <c r="M2074" t="s">
        <v>11</v>
      </c>
    </row>
    <row r="2075" spans="1:13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 s="3">
        <v>478.6</v>
      </c>
      <c r="G2075" s="4">
        <v>1.18</v>
      </c>
      <c r="H2075" s="3">
        <v>478.6</v>
      </c>
      <c r="I2075" s="1">
        <v>45753</v>
      </c>
      <c r="J2075" t="s">
        <v>40</v>
      </c>
      <c r="K2075" t="s">
        <v>23</v>
      </c>
      <c r="L2075" s="3">
        <v>-86.147999999999968</v>
      </c>
      <c r="M2075" t="s">
        <v>2518</v>
      </c>
    </row>
    <row r="2076" spans="1:13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F2076" s="3">
        <v>2462.79</v>
      </c>
      <c r="G2076" s="4">
        <v>0.6</v>
      </c>
      <c r="H2076" s="3">
        <v>4925.58</v>
      </c>
      <c r="I2076" s="1">
        <v>45327</v>
      </c>
      <c r="J2076" t="s">
        <v>22</v>
      </c>
      <c r="K2076" t="s">
        <v>23</v>
      </c>
      <c r="L2076" s="3">
        <v>1970.232</v>
      </c>
      <c r="M2076" t="s">
        <v>11</v>
      </c>
    </row>
    <row r="2077" spans="1:13" x14ac:dyDescent="0.3">
      <c r="A2077">
        <v>3075</v>
      </c>
      <c r="B2077" t="s">
        <v>2101</v>
      </c>
      <c r="C2077" t="s">
        <v>29</v>
      </c>
      <c r="D2077" t="s">
        <v>120</v>
      </c>
      <c r="E2077">
        <v>2</v>
      </c>
      <c r="F2077" s="3">
        <v>1501.49</v>
      </c>
      <c r="G2077" s="4">
        <v>0.43</v>
      </c>
      <c r="H2077" s="3">
        <v>3002.98</v>
      </c>
      <c r="I2077" s="1">
        <v>45524</v>
      </c>
      <c r="J2077" t="s">
        <v>56</v>
      </c>
      <c r="K2077" t="s">
        <v>16</v>
      </c>
      <c r="L2077" s="3">
        <v>1711.6986000000002</v>
      </c>
      <c r="M2077" t="s">
        <v>11</v>
      </c>
    </row>
    <row r="2078" spans="1:13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F2078" s="3">
        <v>2487.039615384615</v>
      </c>
      <c r="G2078" s="4">
        <v>0.6</v>
      </c>
      <c r="H2078" s="3">
        <v>0</v>
      </c>
      <c r="I2078" s="1">
        <v>45538</v>
      </c>
      <c r="J2078" t="s">
        <v>46</v>
      </c>
      <c r="K2078" t="s">
        <v>23</v>
      </c>
      <c r="L2078" s="3">
        <v>0</v>
      </c>
      <c r="M2078" t="s">
        <v>2518</v>
      </c>
    </row>
    <row r="2079" spans="1:13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F2079" s="3">
        <v>3008.3844444444444</v>
      </c>
      <c r="G2079" s="4">
        <v>0.92</v>
      </c>
      <c r="H2079" s="3">
        <v>12033.537777777778</v>
      </c>
      <c r="I2079" s="1">
        <v>45766</v>
      </c>
      <c r="J2079" t="s">
        <v>18</v>
      </c>
      <c r="K2079" t="s">
        <v>16</v>
      </c>
      <c r="L2079" s="3">
        <v>962.68302222222178</v>
      </c>
      <c r="M2079" t="s">
        <v>11</v>
      </c>
    </row>
    <row r="2080" spans="1:13" x14ac:dyDescent="0.3">
      <c r="A2080">
        <v>3078</v>
      </c>
      <c r="B2080" t="s">
        <v>2104</v>
      </c>
      <c r="C2080" t="s">
        <v>20</v>
      </c>
      <c r="D2080" t="s">
        <v>21</v>
      </c>
      <c r="E2080">
        <v>2</v>
      </c>
      <c r="F2080" s="3">
        <v>2563.2399999999998</v>
      </c>
      <c r="G2080" s="4">
        <v>0.6</v>
      </c>
      <c r="H2080" s="3">
        <v>5126.4799999999996</v>
      </c>
      <c r="I2080" s="1">
        <v>45782</v>
      </c>
      <c r="J2080" t="s">
        <v>18</v>
      </c>
      <c r="K2080" t="s">
        <v>23</v>
      </c>
      <c r="L2080" s="3">
        <v>2050.5920000000001</v>
      </c>
      <c r="M2080" t="s">
        <v>11</v>
      </c>
    </row>
    <row r="2081" spans="1:13" x14ac:dyDescent="0.3">
      <c r="A2081">
        <v>3079</v>
      </c>
      <c r="B2081" t="s">
        <v>2105</v>
      </c>
      <c r="C2081" t="s">
        <v>25</v>
      </c>
      <c r="D2081" t="s">
        <v>86</v>
      </c>
      <c r="E2081">
        <v>2</v>
      </c>
      <c r="F2081" s="3">
        <v>2839.98</v>
      </c>
      <c r="G2081" s="4">
        <v>0.6</v>
      </c>
      <c r="H2081" s="3">
        <v>5679.96</v>
      </c>
      <c r="I2081" s="1">
        <v>45519</v>
      </c>
      <c r="J2081" t="s">
        <v>22</v>
      </c>
      <c r="K2081" t="s">
        <v>23</v>
      </c>
      <c r="L2081" s="3">
        <v>2271.9839999999999</v>
      </c>
      <c r="M2081" t="s">
        <v>11</v>
      </c>
    </row>
    <row r="2082" spans="1:13" x14ac:dyDescent="0.3">
      <c r="A2082">
        <v>3080</v>
      </c>
      <c r="B2082" t="s">
        <v>2106</v>
      </c>
      <c r="C2082" t="s">
        <v>33</v>
      </c>
      <c r="D2082" t="s">
        <v>34</v>
      </c>
      <c r="E2082">
        <v>2</v>
      </c>
      <c r="F2082" s="3">
        <v>2487.039615384615</v>
      </c>
      <c r="G2082" s="4">
        <v>0.6</v>
      </c>
      <c r="H2082" s="3">
        <v>4974.07923076923</v>
      </c>
      <c r="I2082" s="1">
        <v>45777</v>
      </c>
      <c r="J2082" t="s">
        <v>40</v>
      </c>
      <c r="K2082" t="s">
        <v>23</v>
      </c>
      <c r="L2082" s="3">
        <v>1989.631692307692</v>
      </c>
      <c r="M2082" t="s">
        <v>11</v>
      </c>
    </row>
    <row r="2083" spans="1:13" x14ac:dyDescent="0.3">
      <c r="A2083">
        <v>3081</v>
      </c>
      <c r="B2083" t="s">
        <v>2107</v>
      </c>
      <c r="C2083" t="s">
        <v>33</v>
      </c>
      <c r="D2083" t="s">
        <v>44</v>
      </c>
      <c r="E2083">
        <v>2</v>
      </c>
      <c r="F2083" s="3">
        <v>2841.7630612244907</v>
      </c>
      <c r="G2083" s="4">
        <v>0.6</v>
      </c>
      <c r="H2083" s="3">
        <v>5683.5261224489814</v>
      </c>
      <c r="I2083" s="1">
        <v>45782</v>
      </c>
      <c r="J2083" t="s">
        <v>18</v>
      </c>
      <c r="K2083" t="s">
        <v>23</v>
      </c>
      <c r="L2083" s="3">
        <v>2273.4104489795927</v>
      </c>
      <c r="M2083" t="s">
        <v>11</v>
      </c>
    </row>
    <row r="2084" spans="1:13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F2084" s="3">
        <v>2804.2651923076919</v>
      </c>
      <c r="G2084" s="4">
        <v>0.6</v>
      </c>
      <c r="H2084" s="3">
        <v>14021.32596153846</v>
      </c>
      <c r="I2084" s="1">
        <v>45797</v>
      </c>
      <c r="J2084" t="s">
        <v>46</v>
      </c>
      <c r="K2084" t="s">
        <v>23</v>
      </c>
      <c r="L2084" s="3">
        <v>5608.5303846153838</v>
      </c>
      <c r="M2084" t="s">
        <v>11</v>
      </c>
    </row>
    <row r="2085" spans="1:13" x14ac:dyDescent="0.3">
      <c r="A2085">
        <v>3083</v>
      </c>
      <c r="B2085" t="s">
        <v>2109</v>
      </c>
      <c r="C2085" t="s">
        <v>33</v>
      </c>
      <c r="D2085" t="s">
        <v>34</v>
      </c>
      <c r="E2085">
        <v>2</v>
      </c>
      <c r="F2085" s="3">
        <v>1573.64</v>
      </c>
      <c r="G2085" s="4">
        <v>0.6</v>
      </c>
      <c r="H2085" s="3">
        <v>3147.28</v>
      </c>
      <c r="I2085" s="1">
        <v>45846</v>
      </c>
      <c r="J2085" t="s">
        <v>15</v>
      </c>
      <c r="K2085" t="s">
        <v>23</v>
      </c>
      <c r="L2085" s="3">
        <v>1258.9120000000003</v>
      </c>
      <c r="M2085" t="s">
        <v>11</v>
      </c>
    </row>
    <row r="2086" spans="1:13" x14ac:dyDescent="0.3">
      <c r="A2086">
        <v>3084</v>
      </c>
      <c r="B2086" t="s">
        <v>2110</v>
      </c>
      <c r="C2086" t="s">
        <v>33</v>
      </c>
      <c r="D2086" t="s">
        <v>44</v>
      </c>
      <c r="E2086">
        <v>2</v>
      </c>
      <c r="F2086" s="3">
        <v>2316.64</v>
      </c>
      <c r="G2086" s="4">
        <v>0.7</v>
      </c>
      <c r="H2086" s="3">
        <v>4633.28</v>
      </c>
      <c r="I2086" s="1">
        <v>45553</v>
      </c>
      <c r="J2086" t="s">
        <v>18</v>
      </c>
      <c r="K2086" t="s">
        <v>23</v>
      </c>
      <c r="L2086" s="3">
        <v>1389.9840000000002</v>
      </c>
      <c r="M2086" t="s">
        <v>11</v>
      </c>
    </row>
    <row r="2087" spans="1:13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F2087" s="3">
        <v>2487.039615384615</v>
      </c>
      <c r="G2087" s="4">
        <v>0.6</v>
      </c>
      <c r="H2087" s="3">
        <v>9948.15846153846</v>
      </c>
      <c r="I2087" s="1">
        <v>45532</v>
      </c>
      <c r="J2087" t="s">
        <v>22</v>
      </c>
      <c r="K2087" t="s">
        <v>16</v>
      </c>
      <c r="L2087" s="3">
        <v>3979.263384615384</v>
      </c>
      <c r="M2087" t="s">
        <v>11</v>
      </c>
    </row>
    <row r="2088" spans="1:13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F2088" s="3">
        <v>2830.1325714285731</v>
      </c>
      <c r="G2088" s="4">
        <v>0.6</v>
      </c>
      <c r="H2088" s="3">
        <v>-2830.1325714285731</v>
      </c>
      <c r="I2088" s="1">
        <v>45253</v>
      </c>
      <c r="J2088" t="s">
        <v>15</v>
      </c>
      <c r="K2088" t="s">
        <v>23</v>
      </c>
      <c r="L2088" s="3">
        <v>-1132.0530285714292</v>
      </c>
      <c r="M2088" t="s">
        <v>2518</v>
      </c>
    </row>
    <row r="2089" spans="1:13" x14ac:dyDescent="0.3">
      <c r="A2089">
        <v>3087</v>
      </c>
      <c r="B2089" t="s">
        <v>2113</v>
      </c>
      <c r="C2089" t="s">
        <v>13</v>
      </c>
      <c r="D2089" t="s">
        <v>14</v>
      </c>
      <c r="E2089">
        <v>2</v>
      </c>
      <c r="F2089" s="3">
        <v>692.46</v>
      </c>
      <c r="G2089" s="4">
        <v>1.2</v>
      </c>
      <c r="H2089" s="3">
        <v>1384.92</v>
      </c>
      <c r="I2089" s="1">
        <v>45542</v>
      </c>
      <c r="J2089" t="s">
        <v>40</v>
      </c>
      <c r="K2089" t="s">
        <v>23</v>
      </c>
      <c r="L2089" s="3">
        <v>-276.98399999999998</v>
      </c>
      <c r="M2089" t="s">
        <v>2518</v>
      </c>
    </row>
    <row r="2090" spans="1:13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 s="3">
        <v>3344.74</v>
      </c>
      <c r="G2090" s="4">
        <v>1.1000000000000001</v>
      </c>
      <c r="H2090" s="3">
        <v>-6689.48</v>
      </c>
      <c r="I2090" s="1">
        <v>45692</v>
      </c>
      <c r="J2090" t="s">
        <v>18</v>
      </c>
      <c r="K2090" t="s">
        <v>23</v>
      </c>
      <c r="L2090" s="3">
        <v>668.94800000000055</v>
      </c>
      <c r="M2090" t="s">
        <v>11</v>
      </c>
    </row>
    <row r="2091" spans="1:13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 s="3">
        <v>3153.72</v>
      </c>
      <c r="G2091" s="4">
        <v>0.6</v>
      </c>
      <c r="H2091" s="3">
        <v>-6307.44</v>
      </c>
      <c r="I2091" s="1">
        <v>45692</v>
      </c>
      <c r="J2091" t="s">
        <v>56</v>
      </c>
      <c r="K2091" t="s">
        <v>23</v>
      </c>
      <c r="L2091" s="3">
        <v>-2522.9760000000001</v>
      </c>
      <c r="M2091" t="s">
        <v>2518</v>
      </c>
    </row>
    <row r="2092" spans="1:13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 s="3">
        <v>3033.2</v>
      </c>
      <c r="G2092" s="4">
        <v>0.6</v>
      </c>
      <c r="H2092" s="3">
        <v>-6066.4</v>
      </c>
      <c r="I2092" s="1">
        <v>45537</v>
      </c>
      <c r="J2092" t="s">
        <v>46</v>
      </c>
      <c r="K2092" t="s">
        <v>23</v>
      </c>
      <c r="L2092" s="3">
        <v>-2426.56</v>
      </c>
      <c r="M2092" t="s">
        <v>2518</v>
      </c>
    </row>
    <row r="2093" spans="1:13" x14ac:dyDescent="0.3">
      <c r="A2093">
        <v>3091</v>
      </c>
      <c r="B2093" t="s">
        <v>2117</v>
      </c>
      <c r="C2093" t="s">
        <v>29</v>
      </c>
      <c r="D2093" t="s">
        <v>120</v>
      </c>
      <c r="E2093">
        <v>2</v>
      </c>
      <c r="F2093" s="3">
        <v>1091.76</v>
      </c>
      <c r="G2093" s="4">
        <v>0.54</v>
      </c>
      <c r="H2093" s="3">
        <v>2183.52</v>
      </c>
      <c r="I2093" s="1">
        <v>45613</v>
      </c>
      <c r="J2093" t="s">
        <v>56</v>
      </c>
      <c r="K2093" t="s">
        <v>23</v>
      </c>
      <c r="L2093" s="3">
        <v>1004.4191999999999</v>
      </c>
      <c r="M2093" t="s">
        <v>11</v>
      </c>
    </row>
    <row r="2094" spans="1:13" x14ac:dyDescent="0.3">
      <c r="A2094">
        <v>3092</v>
      </c>
      <c r="B2094" t="s">
        <v>2118</v>
      </c>
      <c r="C2094" t="s">
        <v>20</v>
      </c>
      <c r="D2094" t="s">
        <v>21</v>
      </c>
      <c r="E2094">
        <v>2</v>
      </c>
      <c r="F2094" s="3">
        <v>2681.1743636363635</v>
      </c>
      <c r="G2094" s="4">
        <v>0.6</v>
      </c>
      <c r="H2094" s="3">
        <v>5362.348727272727</v>
      </c>
      <c r="I2094" s="1">
        <v>45714</v>
      </c>
      <c r="J2094" t="s">
        <v>40</v>
      </c>
      <c r="K2094" t="s">
        <v>23</v>
      </c>
      <c r="L2094" s="3">
        <v>2144.9394909090911</v>
      </c>
      <c r="M2094" t="s">
        <v>11</v>
      </c>
    </row>
    <row r="2095" spans="1:13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 s="3">
        <v>1551.41</v>
      </c>
      <c r="G2095" s="4">
        <v>0.54</v>
      </c>
      <c r="H2095" s="3">
        <v>3102.82</v>
      </c>
      <c r="I2095" s="1">
        <v>45646</v>
      </c>
      <c r="J2095" t="s">
        <v>15</v>
      </c>
      <c r="K2095" t="s">
        <v>16</v>
      </c>
      <c r="L2095" s="3">
        <v>1427.2972</v>
      </c>
      <c r="M2095" t="s">
        <v>11</v>
      </c>
    </row>
    <row r="2096" spans="1:13" x14ac:dyDescent="0.3">
      <c r="A2096">
        <v>3094</v>
      </c>
      <c r="B2096" t="s">
        <v>2120</v>
      </c>
      <c r="C2096" t="s">
        <v>38</v>
      </c>
      <c r="D2096" t="s">
        <v>63</v>
      </c>
      <c r="E2096">
        <v>2</v>
      </c>
      <c r="F2096" s="3">
        <v>4382.8599999999997</v>
      </c>
      <c r="G2096" s="4">
        <v>0.6</v>
      </c>
      <c r="H2096" s="3">
        <v>8765.7199999999993</v>
      </c>
      <c r="I2096" s="1">
        <v>45772</v>
      </c>
      <c r="J2096" t="s">
        <v>46</v>
      </c>
      <c r="K2096" t="s">
        <v>23</v>
      </c>
      <c r="L2096" s="3">
        <v>3506.288</v>
      </c>
      <c r="M2096" t="s">
        <v>11</v>
      </c>
    </row>
    <row r="2097" spans="1:13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F2097" s="3">
        <v>2830.1325714285731</v>
      </c>
      <c r="G2097" s="4">
        <v>0.6</v>
      </c>
      <c r="H2097" s="3">
        <v>2830.1325714285731</v>
      </c>
      <c r="I2097" s="1">
        <v>45839</v>
      </c>
      <c r="J2097" t="s">
        <v>46</v>
      </c>
      <c r="K2097" t="s">
        <v>23</v>
      </c>
      <c r="L2097" s="3">
        <v>1132.0530285714292</v>
      </c>
      <c r="M2097" t="s">
        <v>11</v>
      </c>
    </row>
    <row r="2098" spans="1:13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 s="3">
        <v>2312.09</v>
      </c>
      <c r="G2098" s="4">
        <v>0.6</v>
      </c>
      <c r="H2098" s="3">
        <v>4624.18</v>
      </c>
      <c r="I2098" s="1">
        <v>45821</v>
      </c>
      <c r="J2098" t="s">
        <v>40</v>
      </c>
      <c r="K2098" t="s">
        <v>23</v>
      </c>
      <c r="L2098" s="3">
        <v>1849.6720000000003</v>
      </c>
      <c r="M2098" t="s">
        <v>11</v>
      </c>
    </row>
    <row r="2099" spans="1:13" x14ac:dyDescent="0.3">
      <c r="A2099">
        <v>3097</v>
      </c>
      <c r="B2099" t="s">
        <v>2123</v>
      </c>
      <c r="C2099" t="s">
        <v>25</v>
      </c>
      <c r="D2099" t="s">
        <v>86</v>
      </c>
      <c r="E2099">
        <v>2</v>
      </c>
      <c r="F2099" s="3">
        <v>3111.65</v>
      </c>
      <c r="G2099" s="4">
        <v>0.6</v>
      </c>
      <c r="H2099" s="3">
        <v>6223.3</v>
      </c>
      <c r="I2099" s="1">
        <v>45538</v>
      </c>
      <c r="J2099" t="s">
        <v>56</v>
      </c>
      <c r="K2099" t="s">
        <v>23</v>
      </c>
      <c r="L2099" s="3">
        <v>2489.3200000000002</v>
      </c>
      <c r="M2099" t="s">
        <v>11</v>
      </c>
    </row>
    <row r="2100" spans="1:13" x14ac:dyDescent="0.3">
      <c r="A2100">
        <v>1028</v>
      </c>
      <c r="B2100" t="s">
        <v>2124</v>
      </c>
      <c r="C2100" t="s">
        <v>38</v>
      </c>
      <c r="D2100" t="s">
        <v>59</v>
      </c>
      <c r="E2100">
        <v>2</v>
      </c>
      <c r="F2100" s="3">
        <v>2996.43</v>
      </c>
      <c r="G2100" s="4">
        <v>0.6</v>
      </c>
      <c r="H2100" s="3">
        <v>5992.86</v>
      </c>
      <c r="I2100" s="1">
        <v>45782</v>
      </c>
      <c r="J2100" t="s">
        <v>46</v>
      </c>
      <c r="K2100" t="s">
        <v>16</v>
      </c>
      <c r="L2100" s="3">
        <v>2397.1439999999998</v>
      </c>
      <c r="M2100" t="s">
        <v>11</v>
      </c>
    </row>
    <row r="2101" spans="1:13" x14ac:dyDescent="0.3">
      <c r="A2101">
        <v>3099</v>
      </c>
      <c r="B2101" t="s">
        <v>2125</v>
      </c>
      <c r="C2101" t="s">
        <v>29</v>
      </c>
      <c r="D2101" t="s">
        <v>120</v>
      </c>
      <c r="E2101">
        <v>2</v>
      </c>
      <c r="F2101" s="3">
        <v>4426.87</v>
      </c>
      <c r="G2101" s="4">
        <v>0.6</v>
      </c>
      <c r="H2101" s="3">
        <v>8853.74</v>
      </c>
      <c r="I2101" s="1">
        <v>45647</v>
      </c>
      <c r="J2101" t="s">
        <v>46</v>
      </c>
      <c r="K2101" t="s">
        <v>23</v>
      </c>
      <c r="L2101" s="3">
        <v>3541.4960000000001</v>
      </c>
      <c r="M2101" t="s">
        <v>11</v>
      </c>
    </row>
    <row r="2102" spans="1:13" x14ac:dyDescent="0.3">
      <c r="A2102">
        <v>3100</v>
      </c>
      <c r="B2102" t="s">
        <v>2126</v>
      </c>
      <c r="C2102" t="s">
        <v>20</v>
      </c>
      <c r="D2102" t="s">
        <v>122</v>
      </c>
      <c r="E2102">
        <v>2</v>
      </c>
      <c r="F2102" s="3">
        <v>2700.1263043478252</v>
      </c>
      <c r="G2102" s="4">
        <v>0.6</v>
      </c>
      <c r="H2102" s="3">
        <v>5400.2526086956505</v>
      </c>
      <c r="I2102" s="1">
        <v>45533</v>
      </c>
      <c r="J2102" t="s">
        <v>18</v>
      </c>
      <c r="K2102" t="s">
        <v>23</v>
      </c>
      <c r="L2102" s="3">
        <v>2160.1010434782602</v>
      </c>
      <c r="M2102" t="s">
        <v>11</v>
      </c>
    </row>
    <row r="2103" spans="1:13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F2103" s="3">
        <v>2617.6390384615388</v>
      </c>
      <c r="G2103" s="4">
        <v>0.6</v>
      </c>
      <c r="H2103" s="3">
        <v>2617.6390384615388</v>
      </c>
      <c r="I2103" s="1">
        <v>45856</v>
      </c>
      <c r="J2103" t="s">
        <v>22</v>
      </c>
      <c r="K2103" t="s">
        <v>23</v>
      </c>
      <c r="L2103" s="3">
        <v>1047.0556153846155</v>
      </c>
      <c r="M2103" t="s">
        <v>11</v>
      </c>
    </row>
    <row r="2104" spans="1:13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F2104" s="3">
        <v>2804.2651923076919</v>
      </c>
      <c r="G2104" s="4">
        <v>0.6</v>
      </c>
      <c r="H2104" s="3">
        <v>0</v>
      </c>
      <c r="I2104" s="1">
        <v>45607</v>
      </c>
      <c r="J2104" t="s">
        <v>18</v>
      </c>
      <c r="K2104" t="s">
        <v>23</v>
      </c>
      <c r="L2104" s="3">
        <v>0</v>
      </c>
      <c r="M2104" t="s">
        <v>2518</v>
      </c>
    </row>
    <row r="2105" spans="1:13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F2105" s="3">
        <v>2776.2202000000002</v>
      </c>
      <c r="G2105" s="4">
        <v>0.6</v>
      </c>
      <c r="H2105" s="3">
        <v>13881.101000000001</v>
      </c>
      <c r="I2105" s="1">
        <v>45614</v>
      </c>
      <c r="J2105" t="s">
        <v>40</v>
      </c>
      <c r="K2105" t="s">
        <v>16</v>
      </c>
      <c r="L2105" s="3">
        <v>5552.4404000000004</v>
      </c>
      <c r="M2105" t="s">
        <v>11</v>
      </c>
    </row>
    <row r="2106" spans="1:13" x14ac:dyDescent="0.3">
      <c r="A2106">
        <v>3104</v>
      </c>
      <c r="B2106" t="s">
        <v>2130</v>
      </c>
      <c r="C2106" t="s">
        <v>38</v>
      </c>
      <c r="D2106" t="s">
        <v>39</v>
      </c>
      <c r="E2106">
        <v>2</v>
      </c>
      <c r="F2106" s="3">
        <v>4274.01</v>
      </c>
      <c r="G2106" s="4">
        <v>0.28000000000000003</v>
      </c>
      <c r="H2106" s="3">
        <v>8548.02</v>
      </c>
      <c r="I2106" s="1">
        <v>45637</v>
      </c>
      <c r="J2106" t="s">
        <v>18</v>
      </c>
      <c r="K2106" t="s">
        <v>23</v>
      </c>
      <c r="L2106" s="3">
        <v>6154.5744000000004</v>
      </c>
      <c r="M2106" t="s">
        <v>11</v>
      </c>
    </row>
    <row r="2107" spans="1:13" x14ac:dyDescent="0.3">
      <c r="A2107">
        <v>3105</v>
      </c>
      <c r="B2107" t="s">
        <v>2131</v>
      </c>
      <c r="C2107" t="s">
        <v>29</v>
      </c>
      <c r="D2107" t="s">
        <v>30</v>
      </c>
      <c r="E2107">
        <v>2</v>
      </c>
      <c r="F2107" s="3">
        <v>2617.6390384615388</v>
      </c>
      <c r="G2107" s="4">
        <v>0.6</v>
      </c>
      <c r="H2107" s="3">
        <v>5235.2780769230776</v>
      </c>
      <c r="I2107" s="1">
        <v>45786</v>
      </c>
      <c r="J2107" t="s">
        <v>56</v>
      </c>
      <c r="K2107" t="s">
        <v>16</v>
      </c>
      <c r="L2107" s="3">
        <v>2094.111230769231</v>
      </c>
      <c r="M2107" t="s">
        <v>11</v>
      </c>
    </row>
    <row r="2108" spans="1:13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F2108" s="3">
        <v>2559.6667307692314</v>
      </c>
      <c r="G2108" s="4">
        <v>0.6</v>
      </c>
      <c r="H2108" s="3">
        <v>15358.000384615389</v>
      </c>
      <c r="I2108" s="1">
        <v>45832</v>
      </c>
      <c r="J2108" t="s">
        <v>15</v>
      </c>
      <c r="K2108" t="s">
        <v>23</v>
      </c>
      <c r="L2108" s="3">
        <v>6143.2001538461554</v>
      </c>
      <c r="M2108" t="s">
        <v>11</v>
      </c>
    </row>
    <row r="2109" spans="1:13" x14ac:dyDescent="0.3">
      <c r="A2109">
        <v>3107</v>
      </c>
      <c r="B2109" t="s">
        <v>2133</v>
      </c>
      <c r="C2109" t="s">
        <v>13</v>
      </c>
      <c r="D2109" t="s">
        <v>14</v>
      </c>
      <c r="E2109">
        <v>2</v>
      </c>
      <c r="F2109" s="3">
        <v>2068.64</v>
      </c>
      <c r="G2109" s="4">
        <v>0.6</v>
      </c>
      <c r="H2109" s="3">
        <v>4137.28</v>
      </c>
      <c r="I2109" s="1">
        <v>45782</v>
      </c>
      <c r="J2109" t="s">
        <v>22</v>
      </c>
      <c r="K2109" t="s">
        <v>16</v>
      </c>
      <c r="L2109" s="3">
        <v>1654.912</v>
      </c>
      <c r="M2109" t="s">
        <v>11</v>
      </c>
    </row>
    <row r="2110" spans="1:13" x14ac:dyDescent="0.3">
      <c r="A2110">
        <v>3108</v>
      </c>
      <c r="B2110" t="s">
        <v>2134</v>
      </c>
      <c r="C2110" t="s">
        <v>38</v>
      </c>
      <c r="D2110" t="s">
        <v>63</v>
      </c>
      <c r="E2110">
        <v>2</v>
      </c>
      <c r="F2110" s="3">
        <v>2845.2419672131159</v>
      </c>
      <c r="G2110" s="4">
        <v>0.6</v>
      </c>
      <c r="H2110" s="3">
        <v>5690.4839344262318</v>
      </c>
      <c r="I2110" s="1">
        <v>45847</v>
      </c>
      <c r="J2110" t="s">
        <v>22</v>
      </c>
      <c r="K2110" t="s">
        <v>23</v>
      </c>
      <c r="L2110" s="3">
        <v>2276.193573770493</v>
      </c>
      <c r="M2110" t="s">
        <v>11</v>
      </c>
    </row>
    <row r="2111" spans="1:13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F2111" s="3">
        <v>2487.039615384615</v>
      </c>
      <c r="G2111" s="4">
        <v>0.35</v>
      </c>
      <c r="H2111" s="3">
        <v>12435.198076923076</v>
      </c>
      <c r="I2111" s="1">
        <v>45782</v>
      </c>
      <c r="J2111" t="s">
        <v>18</v>
      </c>
      <c r="K2111" t="s">
        <v>23</v>
      </c>
      <c r="L2111" s="3">
        <v>8082.8787499999999</v>
      </c>
      <c r="M2111" t="s">
        <v>11</v>
      </c>
    </row>
    <row r="2112" spans="1:13" x14ac:dyDescent="0.3">
      <c r="A2112">
        <v>3110</v>
      </c>
      <c r="B2112" t="s">
        <v>2136</v>
      </c>
      <c r="C2112" t="s">
        <v>13</v>
      </c>
      <c r="D2112" t="s">
        <v>36</v>
      </c>
      <c r="E2112">
        <v>2</v>
      </c>
      <c r="F2112" s="3">
        <v>4103.32</v>
      </c>
      <c r="G2112" s="4">
        <v>0.6</v>
      </c>
      <c r="H2112" s="3">
        <v>8206.64</v>
      </c>
      <c r="I2112" s="1">
        <v>45709</v>
      </c>
      <c r="J2112" t="s">
        <v>15</v>
      </c>
      <c r="K2112" t="s">
        <v>23</v>
      </c>
      <c r="L2112" s="3">
        <v>3282.6559999999999</v>
      </c>
      <c r="M2112" t="s">
        <v>11</v>
      </c>
    </row>
    <row r="2113" spans="1:13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 s="3">
        <v>839.87</v>
      </c>
      <c r="G2113" s="4">
        <v>0.6</v>
      </c>
      <c r="H2113" s="3">
        <v>-839.87</v>
      </c>
      <c r="I2113" s="1">
        <v>45782</v>
      </c>
      <c r="J2113" t="s">
        <v>40</v>
      </c>
      <c r="K2113" t="s">
        <v>16</v>
      </c>
      <c r="L2113" s="3">
        <v>-335.94800000000004</v>
      </c>
      <c r="M2113" t="s">
        <v>2518</v>
      </c>
    </row>
    <row r="2114" spans="1:13" x14ac:dyDescent="0.3">
      <c r="A2114">
        <v>3112</v>
      </c>
      <c r="B2114" t="s">
        <v>2138</v>
      </c>
      <c r="C2114" t="s">
        <v>25</v>
      </c>
      <c r="D2114" t="s">
        <v>26</v>
      </c>
      <c r="E2114">
        <v>2</v>
      </c>
      <c r="F2114" s="3">
        <v>3026.75</v>
      </c>
      <c r="G2114" s="4">
        <v>0.6</v>
      </c>
      <c r="H2114" s="3">
        <v>6053.5</v>
      </c>
      <c r="I2114" s="1">
        <v>45532</v>
      </c>
      <c r="J2114" t="s">
        <v>15</v>
      </c>
      <c r="K2114" t="s">
        <v>23</v>
      </c>
      <c r="L2114" s="3">
        <v>2421.4</v>
      </c>
      <c r="M2114" t="s">
        <v>11</v>
      </c>
    </row>
    <row r="2115" spans="1:13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 s="3">
        <v>3256.86</v>
      </c>
      <c r="G2115" s="4">
        <v>0.77</v>
      </c>
      <c r="H2115" s="3">
        <v>13027.44</v>
      </c>
      <c r="I2115" s="1">
        <v>45548</v>
      </c>
      <c r="J2115" t="s">
        <v>40</v>
      </c>
      <c r="K2115" t="s">
        <v>23</v>
      </c>
      <c r="L2115" s="3">
        <v>2996.3112000000001</v>
      </c>
      <c r="M2115" t="s">
        <v>11</v>
      </c>
    </row>
    <row r="2116" spans="1:13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 s="3">
        <v>4082.61</v>
      </c>
      <c r="G2116" s="4">
        <v>0.6</v>
      </c>
      <c r="H2116" s="3">
        <v>8165.22</v>
      </c>
      <c r="I2116" s="1">
        <v>45782</v>
      </c>
      <c r="J2116" t="s">
        <v>46</v>
      </c>
      <c r="K2116" t="s">
        <v>23</v>
      </c>
      <c r="L2116" s="3">
        <v>3266.0880000000002</v>
      </c>
      <c r="M2116" t="s">
        <v>11</v>
      </c>
    </row>
    <row r="2117" spans="1:13" x14ac:dyDescent="0.3">
      <c r="A2117">
        <v>3115</v>
      </c>
      <c r="B2117" t="s">
        <v>2141</v>
      </c>
      <c r="C2117" t="s">
        <v>29</v>
      </c>
      <c r="D2117" t="s">
        <v>141</v>
      </c>
      <c r="E2117">
        <v>2</v>
      </c>
      <c r="F2117" s="3">
        <v>2462.79</v>
      </c>
      <c r="G2117" s="4">
        <v>0.6</v>
      </c>
      <c r="H2117" s="3">
        <v>4925.58</v>
      </c>
      <c r="I2117" s="1">
        <v>45527</v>
      </c>
      <c r="J2117" t="s">
        <v>56</v>
      </c>
      <c r="K2117" t="s">
        <v>23</v>
      </c>
      <c r="L2117" s="3">
        <v>1970.232</v>
      </c>
      <c r="M2117" t="s">
        <v>11</v>
      </c>
    </row>
    <row r="2118" spans="1:13" x14ac:dyDescent="0.3">
      <c r="A2118">
        <v>3116</v>
      </c>
      <c r="B2118" t="s">
        <v>2142</v>
      </c>
      <c r="C2118" t="s">
        <v>38</v>
      </c>
      <c r="D2118" t="s">
        <v>63</v>
      </c>
      <c r="E2118">
        <v>2</v>
      </c>
      <c r="F2118" s="3">
        <v>1237.1500000000001</v>
      </c>
      <c r="G2118" s="4">
        <v>0.6</v>
      </c>
      <c r="H2118" s="3">
        <v>2474.3000000000002</v>
      </c>
      <c r="I2118" s="1">
        <v>45740</v>
      </c>
      <c r="J2118" t="s">
        <v>40</v>
      </c>
      <c r="K2118" t="s">
        <v>23</v>
      </c>
      <c r="L2118" s="3">
        <v>989.72000000000014</v>
      </c>
      <c r="M2118" t="s">
        <v>11</v>
      </c>
    </row>
    <row r="2119" spans="1:13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F2119" s="3">
        <v>2725.8557142857148</v>
      </c>
      <c r="G2119" s="4">
        <v>0.28999999999999998</v>
      </c>
      <c r="H2119" s="3">
        <v>10903.422857142859</v>
      </c>
      <c r="I2119" s="1">
        <v>45563</v>
      </c>
      <c r="J2119" t="s">
        <v>40</v>
      </c>
      <c r="K2119" t="s">
        <v>23</v>
      </c>
      <c r="L2119" s="3">
        <v>7741.4302285714293</v>
      </c>
      <c r="M2119" t="s">
        <v>11</v>
      </c>
    </row>
    <row r="2120" spans="1:13" x14ac:dyDescent="0.3">
      <c r="A2120">
        <v>3118</v>
      </c>
      <c r="B2120" t="s">
        <v>2144</v>
      </c>
      <c r="C2120" t="s">
        <v>20</v>
      </c>
      <c r="D2120" t="s">
        <v>21</v>
      </c>
      <c r="E2120">
        <v>2</v>
      </c>
      <c r="F2120" s="3">
        <v>948.06</v>
      </c>
      <c r="G2120" s="4">
        <v>0.6</v>
      </c>
      <c r="H2120" s="3">
        <v>1896.12</v>
      </c>
      <c r="I2120" s="1">
        <v>45611</v>
      </c>
      <c r="J2120" t="s">
        <v>46</v>
      </c>
      <c r="K2120" t="s">
        <v>23</v>
      </c>
      <c r="L2120" s="3">
        <v>758.44799999999998</v>
      </c>
      <c r="M2120" t="s">
        <v>11</v>
      </c>
    </row>
    <row r="2121" spans="1:13" x14ac:dyDescent="0.3">
      <c r="A2121">
        <v>3119</v>
      </c>
      <c r="B2121" t="s">
        <v>2145</v>
      </c>
      <c r="C2121" t="s">
        <v>13</v>
      </c>
      <c r="D2121" t="s">
        <v>14</v>
      </c>
      <c r="E2121">
        <v>2</v>
      </c>
      <c r="F2121" s="3">
        <v>722.74</v>
      </c>
      <c r="G2121" s="4">
        <v>0.6</v>
      </c>
      <c r="H2121" s="3">
        <v>1445.48</v>
      </c>
      <c r="I2121" s="1">
        <v>45637</v>
      </c>
      <c r="J2121" t="s">
        <v>46</v>
      </c>
      <c r="K2121" t="s">
        <v>16</v>
      </c>
      <c r="L2121" s="3">
        <v>578.19200000000001</v>
      </c>
      <c r="M2121" t="s">
        <v>11</v>
      </c>
    </row>
    <row r="2122" spans="1:13" x14ac:dyDescent="0.3">
      <c r="A2122">
        <v>3120</v>
      </c>
      <c r="B2122" t="s">
        <v>2146</v>
      </c>
      <c r="C2122" t="s">
        <v>29</v>
      </c>
      <c r="D2122" t="s">
        <v>42</v>
      </c>
      <c r="E2122">
        <v>2</v>
      </c>
      <c r="F2122" s="3">
        <v>824.59</v>
      </c>
      <c r="G2122" s="4">
        <v>0.13</v>
      </c>
      <c r="H2122" s="3">
        <v>1649.18</v>
      </c>
      <c r="I2122" s="1">
        <v>45818</v>
      </c>
      <c r="J2122" t="s">
        <v>56</v>
      </c>
      <c r="K2122" t="s">
        <v>23</v>
      </c>
      <c r="L2122" s="3">
        <v>1434.7866000000001</v>
      </c>
      <c r="M2122" t="s">
        <v>11</v>
      </c>
    </row>
    <row r="2123" spans="1:13" x14ac:dyDescent="0.3">
      <c r="A2123">
        <v>3121</v>
      </c>
      <c r="B2123" t="s">
        <v>2147</v>
      </c>
      <c r="C2123" t="s">
        <v>20</v>
      </c>
      <c r="D2123" t="s">
        <v>80</v>
      </c>
      <c r="E2123">
        <v>2</v>
      </c>
      <c r="F2123" s="3">
        <v>1049.27</v>
      </c>
      <c r="G2123" s="4">
        <v>0.6</v>
      </c>
      <c r="H2123" s="3">
        <v>2098.54</v>
      </c>
      <c r="I2123" s="1">
        <v>45717</v>
      </c>
      <c r="J2123" t="s">
        <v>56</v>
      </c>
      <c r="K2123" t="s">
        <v>16</v>
      </c>
      <c r="L2123" s="3">
        <v>839.41600000000005</v>
      </c>
      <c r="M2123" t="s">
        <v>11</v>
      </c>
    </row>
    <row r="2124" spans="1:13" x14ac:dyDescent="0.3">
      <c r="A2124">
        <v>3122</v>
      </c>
      <c r="B2124" t="s">
        <v>2148</v>
      </c>
      <c r="C2124" t="s">
        <v>29</v>
      </c>
      <c r="D2124" t="s">
        <v>30</v>
      </c>
      <c r="E2124">
        <v>2</v>
      </c>
      <c r="F2124" s="3">
        <v>2617.6390384615388</v>
      </c>
      <c r="G2124" s="4">
        <v>1.19</v>
      </c>
      <c r="H2124" s="3">
        <v>5235.2780769230776</v>
      </c>
      <c r="I2124" s="1">
        <v>45649</v>
      </c>
      <c r="J2124" t="s">
        <v>46</v>
      </c>
      <c r="K2124" t="s">
        <v>16</v>
      </c>
      <c r="L2124" s="3">
        <v>-994.70283461538452</v>
      </c>
      <c r="M2124" t="s">
        <v>2518</v>
      </c>
    </row>
    <row r="2125" spans="1:13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F2125" s="3">
        <v>2483.5844000000002</v>
      </c>
      <c r="G2125" s="4">
        <v>0.6</v>
      </c>
      <c r="H2125" s="3">
        <v>12417.922</v>
      </c>
      <c r="I2125" s="1">
        <v>45722</v>
      </c>
      <c r="J2125" t="s">
        <v>56</v>
      </c>
      <c r="K2125" t="s">
        <v>16</v>
      </c>
      <c r="L2125" s="3">
        <v>4967.1688000000004</v>
      </c>
      <c r="M2125" t="s">
        <v>11</v>
      </c>
    </row>
    <row r="2126" spans="1:13" x14ac:dyDescent="0.3">
      <c r="A2126">
        <v>3124</v>
      </c>
      <c r="B2126" t="s">
        <v>2150</v>
      </c>
      <c r="C2126" t="s">
        <v>33</v>
      </c>
      <c r="D2126" t="s">
        <v>34</v>
      </c>
      <c r="E2126">
        <v>2</v>
      </c>
      <c r="F2126" s="3">
        <v>2487.039615384615</v>
      </c>
      <c r="G2126" s="4">
        <v>0.87</v>
      </c>
      <c r="H2126" s="3">
        <v>4974.07923076923</v>
      </c>
      <c r="I2126" s="1">
        <v>45155</v>
      </c>
      <c r="J2126" t="s">
        <v>46</v>
      </c>
      <c r="K2126" t="s">
        <v>23</v>
      </c>
      <c r="L2126" s="3">
        <v>646.63029999999992</v>
      </c>
      <c r="M2126" t="s">
        <v>11</v>
      </c>
    </row>
    <row r="2127" spans="1:13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 s="3">
        <v>4264.79</v>
      </c>
      <c r="G2127" s="4">
        <v>0.6</v>
      </c>
      <c r="H2127" s="3">
        <v>21323.95</v>
      </c>
      <c r="I2127" s="1">
        <v>45568</v>
      </c>
      <c r="J2127" t="s">
        <v>18</v>
      </c>
      <c r="K2127" t="s">
        <v>16</v>
      </c>
      <c r="L2127" s="3">
        <v>8529.58</v>
      </c>
      <c r="M2127" t="s">
        <v>11</v>
      </c>
    </row>
    <row r="2128" spans="1:13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F2128" s="3">
        <v>2776.2202000000002</v>
      </c>
      <c r="G2128" s="4">
        <v>0.6</v>
      </c>
      <c r="H2128" s="3">
        <v>11104.880800000001</v>
      </c>
      <c r="I2128" s="1">
        <v>45609</v>
      </c>
      <c r="J2128" t="s">
        <v>22</v>
      </c>
      <c r="K2128" t="s">
        <v>23</v>
      </c>
      <c r="L2128" s="3">
        <v>4441.9523200000003</v>
      </c>
      <c r="M2128" t="s">
        <v>11</v>
      </c>
    </row>
    <row r="2129" spans="1:13" x14ac:dyDescent="0.3">
      <c r="A2129">
        <v>3127</v>
      </c>
      <c r="B2129" t="s">
        <v>2153</v>
      </c>
      <c r="C2129" t="s">
        <v>25</v>
      </c>
      <c r="D2129" t="s">
        <v>86</v>
      </c>
      <c r="E2129">
        <v>2</v>
      </c>
      <c r="F2129" s="3">
        <v>491.77</v>
      </c>
      <c r="G2129" s="4">
        <v>0.9</v>
      </c>
      <c r="H2129" s="3">
        <v>983.54</v>
      </c>
      <c r="I2129" s="1">
        <v>45663</v>
      </c>
      <c r="J2129" t="s">
        <v>46</v>
      </c>
      <c r="K2129" t="s">
        <v>23</v>
      </c>
      <c r="L2129" s="3">
        <v>98.353999999999971</v>
      </c>
      <c r="M2129" t="s">
        <v>2518</v>
      </c>
    </row>
    <row r="2130" spans="1:13" x14ac:dyDescent="0.3">
      <c r="A2130">
        <v>3128</v>
      </c>
      <c r="B2130" t="s">
        <v>2154</v>
      </c>
      <c r="C2130" t="s">
        <v>38</v>
      </c>
      <c r="D2130" t="s">
        <v>39</v>
      </c>
      <c r="E2130">
        <v>2</v>
      </c>
      <c r="F2130" s="3">
        <v>3216.9</v>
      </c>
      <c r="G2130" s="4">
        <v>0.6</v>
      </c>
      <c r="H2130" s="3">
        <v>6433.8</v>
      </c>
      <c r="I2130" s="1">
        <v>45811</v>
      </c>
      <c r="J2130" t="s">
        <v>56</v>
      </c>
      <c r="K2130" t="s">
        <v>23</v>
      </c>
      <c r="L2130" s="3">
        <v>2573.5200000000004</v>
      </c>
      <c r="M2130" t="s">
        <v>11</v>
      </c>
    </row>
    <row r="2131" spans="1:13" x14ac:dyDescent="0.3">
      <c r="A2131">
        <v>3129</v>
      </c>
      <c r="B2131" t="s">
        <v>2155</v>
      </c>
      <c r="C2131" t="s">
        <v>13</v>
      </c>
      <c r="D2131" t="s">
        <v>49</v>
      </c>
      <c r="E2131">
        <v>2</v>
      </c>
      <c r="F2131" s="3">
        <v>3201.09</v>
      </c>
      <c r="G2131" s="4">
        <v>0.6</v>
      </c>
      <c r="H2131" s="3">
        <v>6402.18</v>
      </c>
      <c r="I2131" s="1">
        <v>45801</v>
      </c>
      <c r="J2131" t="s">
        <v>46</v>
      </c>
      <c r="K2131" t="s">
        <v>16</v>
      </c>
      <c r="L2131" s="3">
        <v>2560.8720000000003</v>
      </c>
      <c r="M2131" t="s">
        <v>11</v>
      </c>
    </row>
    <row r="2132" spans="1:13" x14ac:dyDescent="0.3">
      <c r="A2132">
        <v>3130</v>
      </c>
      <c r="B2132" t="s">
        <v>2156</v>
      </c>
      <c r="C2132" t="s">
        <v>38</v>
      </c>
      <c r="D2132" t="s">
        <v>39</v>
      </c>
      <c r="E2132">
        <v>2</v>
      </c>
      <c r="F2132" s="3">
        <v>3742.62</v>
      </c>
      <c r="G2132" s="4">
        <v>0.6</v>
      </c>
      <c r="H2132" s="3">
        <v>7485.24</v>
      </c>
      <c r="I2132" s="1">
        <v>45765</v>
      </c>
      <c r="J2132" t="s">
        <v>22</v>
      </c>
      <c r="K2132" t="s">
        <v>16</v>
      </c>
      <c r="L2132" s="3">
        <v>2994.096</v>
      </c>
      <c r="M2132" t="s">
        <v>11</v>
      </c>
    </row>
    <row r="2133" spans="1:13" x14ac:dyDescent="0.3">
      <c r="A2133">
        <v>3131</v>
      </c>
      <c r="B2133" t="s">
        <v>2157</v>
      </c>
      <c r="C2133" t="s">
        <v>29</v>
      </c>
      <c r="D2133" t="s">
        <v>30</v>
      </c>
      <c r="E2133">
        <v>2</v>
      </c>
      <c r="F2133" s="3">
        <v>4938.03</v>
      </c>
      <c r="G2133" s="4">
        <v>0.6</v>
      </c>
      <c r="H2133" s="3">
        <v>9876.06</v>
      </c>
      <c r="I2133" s="1">
        <v>45278</v>
      </c>
      <c r="J2133" t="s">
        <v>15</v>
      </c>
      <c r="K2133" t="s">
        <v>23</v>
      </c>
      <c r="L2133" s="3">
        <v>3950.424</v>
      </c>
      <c r="M2133" t="s">
        <v>11</v>
      </c>
    </row>
    <row r="2134" spans="1:13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 s="3">
        <v>2940.45</v>
      </c>
      <c r="G2134" s="4">
        <v>0.6</v>
      </c>
      <c r="H2134" s="3">
        <v>17642.699999999997</v>
      </c>
      <c r="I2134" s="1">
        <v>45782</v>
      </c>
      <c r="J2134" t="s">
        <v>56</v>
      </c>
      <c r="K2134" t="s">
        <v>16</v>
      </c>
      <c r="L2134" s="3">
        <v>7057.079999999999</v>
      </c>
      <c r="M2134" t="s">
        <v>11</v>
      </c>
    </row>
    <row r="2135" spans="1:13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 s="3">
        <v>974.54</v>
      </c>
      <c r="G2135" s="4">
        <v>0.44</v>
      </c>
      <c r="H2135" s="3">
        <v>974.54</v>
      </c>
      <c r="I2135" s="1">
        <v>45570</v>
      </c>
      <c r="J2135" t="s">
        <v>56</v>
      </c>
      <c r="K2135" t="s">
        <v>23</v>
      </c>
      <c r="L2135" s="3">
        <v>545.74239999999998</v>
      </c>
      <c r="M2135" t="s">
        <v>11</v>
      </c>
    </row>
    <row r="2136" spans="1:13" x14ac:dyDescent="0.3">
      <c r="A2136">
        <v>3134</v>
      </c>
      <c r="B2136" t="s">
        <v>2160</v>
      </c>
      <c r="C2136" t="s">
        <v>20</v>
      </c>
      <c r="D2136" t="s">
        <v>80</v>
      </c>
      <c r="E2136">
        <v>2</v>
      </c>
      <c r="F2136" s="3">
        <v>2483.5844000000002</v>
      </c>
      <c r="G2136" s="4">
        <v>0.53</v>
      </c>
      <c r="H2136" s="3">
        <v>4967.1688000000004</v>
      </c>
      <c r="I2136" s="1">
        <v>45782</v>
      </c>
      <c r="J2136" t="s">
        <v>18</v>
      </c>
      <c r="K2136" t="s">
        <v>23</v>
      </c>
      <c r="L2136" s="3">
        <v>2334.569336</v>
      </c>
      <c r="M2136" t="s">
        <v>11</v>
      </c>
    </row>
    <row r="2137" spans="1:13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F2137" s="3">
        <v>2681.1743636363635</v>
      </c>
      <c r="G2137" s="4">
        <v>0.67</v>
      </c>
      <c r="H2137" s="3">
        <v>2681.1743636363635</v>
      </c>
      <c r="I2137" s="1">
        <v>45782</v>
      </c>
      <c r="J2137" t="s">
        <v>56</v>
      </c>
      <c r="K2137" t="s">
        <v>23</v>
      </c>
      <c r="L2137" s="3">
        <v>884.78753999999981</v>
      </c>
      <c r="M2137" t="s">
        <v>11</v>
      </c>
    </row>
    <row r="2138" spans="1:13" x14ac:dyDescent="0.3">
      <c r="A2138">
        <v>3136</v>
      </c>
      <c r="B2138" t="s">
        <v>2162</v>
      </c>
      <c r="C2138" t="s">
        <v>33</v>
      </c>
      <c r="D2138" t="s">
        <v>82</v>
      </c>
      <c r="E2138">
        <v>2</v>
      </c>
      <c r="F2138" s="3">
        <v>3622.93</v>
      </c>
      <c r="G2138" s="4">
        <v>0.6</v>
      </c>
      <c r="H2138" s="3">
        <v>7245.86</v>
      </c>
      <c r="I2138" s="1">
        <v>45313</v>
      </c>
      <c r="J2138" t="s">
        <v>15</v>
      </c>
      <c r="K2138" t="s">
        <v>16</v>
      </c>
      <c r="L2138" s="3">
        <v>2898.3440000000001</v>
      </c>
      <c r="M2138" t="s">
        <v>11</v>
      </c>
    </row>
    <row r="2139" spans="1:13" x14ac:dyDescent="0.3">
      <c r="A2139">
        <v>3137</v>
      </c>
      <c r="B2139" t="s">
        <v>2163</v>
      </c>
      <c r="C2139" t="s">
        <v>20</v>
      </c>
      <c r="D2139" t="s">
        <v>21</v>
      </c>
      <c r="E2139">
        <v>2</v>
      </c>
      <c r="F2139" s="3">
        <v>2681.1743636363635</v>
      </c>
      <c r="G2139" s="4">
        <v>0.6</v>
      </c>
      <c r="H2139" s="3">
        <v>5362.348727272727</v>
      </c>
      <c r="I2139" s="1">
        <v>45613</v>
      </c>
      <c r="J2139" t="s">
        <v>40</v>
      </c>
      <c r="K2139" t="s">
        <v>23</v>
      </c>
      <c r="L2139" s="3">
        <v>2144.9394909090911</v>
      </c>
      <c r="M2139" t="s">
        <v>11</v>
      </c>
    </row>
    <row r="2140" spans="1:13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 s="3">
        <v>855.81</v>
      </c>
      <c r="G2140" s="4">
        <v>0.31</v>
      </c>
      <c r="H2140" s="3">
        <v>0</v>
      </c>
      <c r="I2140" s="1">
        <v>45842</v>
      </c>
      <c r="J2140" t="s">
        <v>15</v>
      </c>
      <c r="K2140" t="s">
        <v>16</v>
      </c>
      <c r="L2140" s="3">
        <v>0</v>
      </c>
      <c r="M2140" t="s">
        <v>2518</v>
      </c>
    </row>
    <row r="2141" spans="1:13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F2141" s="3">
        <v>2841.7630612244907</v>
      </c>
      <c r="G2141" s="4">
        <v>0.6</v>
      </c>
      <c r="H2141" s="3">
        <v>17050.578367346945</v>
      </c>
      <c r="I2141" s="1">
        <v>45782</v>
      </c>
      <c r="J2141" t="s">
        <v>56</v>
      </c>
      <c r="K2141" t="s">
        <v>23</v>
      </c>
      <c r="L2141" s="3">
        <v>6820.2313469387782</v>
      </c>
      <c r="M2141" t="s">
        <v>11</v>
      </c>
    </row>
    <row r="2142" spans="1:13" x14ac:dyDescent="0.3">
      <c r="A2142">
        <v>3140</v>
      </c>
      <c r="B2142" t="s">
        <v>2166</v>
      </c>
      <c r="C2142" t="s">
        <v>13</v>
      </c>
      <c r="D2142" t="s">
        <v>102</v>
      </c>
      <c r="E2142">
        <v>2</v>
      </c>
      <c r="F2142" s="3">
        <v>2576.3056896551716</v>
      </c>
      <c r="G2142" s="4">
        <v>0.6</v>
      </c>
      <c r="H2142" s="3">
        <v>5152.6113793103432</v>
      </c>
      <c r="I2142" s="1">
        <v>45782</v>
      </c>
      <c r="J2142" t="s">
        <v>18</v>
      </c>
      <c r="K2142" t="s">
        <v>23</v>
      </c>
      <c r="L2142" s="3">
        <v>2061.0445517241374</v>
      </c>
      <c r="M2142" t="s">
        <v>11</v>
      </c>
    </row>
    <row r="2143" spans="1:13" x14ac:dyDescent="0.3">
      <c r="A2143">
        <v>3141</v>
      </c>
      <c r="B2143" t="s">
        <v>2167</v>
      </c>
      <c r="C2143" t="s">
        <v>20</v>
      </c>
      <c r="D2143" t="s">
        <v>88</v>
      </c>
      <c r="E2143">
        <v>2</v>
      </c>
      <c r="F2143" s="3">
        <v>2725.8557142857148</v>
      </c>
      <c r="G2143" s="4">
        <v>0.6</v>
      </c>
      <c r="H2143" s="3">
        <v>5451.7114285714297</v>
      </c>
      <c r="I2143" s="1">
        <v>45430</v>
      </c>
      <c r="J2143" t="s">
        <v>22</v>
      </c>
      <c r="K2143" t="s">
        <v>16</v>
      </c>
      <c r="L2143" s="3">
        <v>2180.6845714285719</v>
      </c>
      <c r="M2143" t="s">
        <v>11</v>
      </c>
    </row>
    <row r="2144" spans="1:13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 s="3">
        <v>4887.3599999999997</v>
      </c>
      <c r="G2144" s="4">
        <v>0.6</v>
      </c>
      <c r="H2144" s="3">
        <v>4887.3599999999997</v>
      </c>
      <c r="I2144" s="1">
        <v>45594</v>
      </c>
      <c r="J2144" t="s">
        <v>56</v>
      </c>
      <c r="K2144" t="s">
        <v>23</v>
      </c>
      <c r="L2144" s="3">
        <v>1954.944</v>
      </c>
      <c r="M2144" t="s">
        <v>11</v>
      </c>
    </row>
    <row r="2145" spans="1:13" x14ac:dyDescent="0.3">
      <c r="A2145">
        <v>3143</v>
      </c>
      <c r="B2145" t="s">
        <v>2169</v>
      </c>
      <c r="C2145" t="s">
        <v>33</v>
      </c>
      <c r="D2145" t="s">
        <v>44</v>
      </c>
      <c r="E2145">
        <v>2</v>
      </c>
      <c r="F2145" s="3">
        <v>2841.7630612244907</v>
      </c>
      <c r="G2145" s="4">
        <v>0.6</v>
      </c>
      <c r="H2145" s="3">
        <v>5683.5261224489814</v>
      </c>
      <c r="I2145" s="1">
        <v>45782</v>
      </c>
      <c r="J2145" t="s">
        <v>56</v>
      </c>
      <c r="K2145" t="s">
        <v>23</v>
      </c>
      <c r="L2145" s="3">
        <v>2273.4104489795927</v>
      </c>
      <c r="M2145" t="s">
        <v>11</v>
      </c>
    </row>
    <row r="2146" spans="1:13" x14ac:dyDescent="0.3">
      <c r="A2146">
        <v>3144</v>
      </c>
      <c r="B2146" t="s">
        <v>2170</v>
      </c>
      <c r="C2146" t="s">
        <v>38</v>
      </c>
      <c r="D2146" t="s">
        <v>39</v>
      </c>
      <c r="E2146">
        <v>2</v>
      </c>
      <c r="F2146" s="3">
        <v>2664.43</v>
      </c>
      <c r="G2146" s="4">
        <v>0.6</v>
      </c>
      <c r="H2146" s="3">
        <v>5328.86</v>
      </c>
      <c r="I2146" s="1">
        <v>45774</v>
      </c>
      <c r="J2146" t="s">
        <v>56</v>
      </c>
      <c r="K2146" t="s">
        <v>23</v>
      </c>
      <c r="L2146" s="3">
        <v>2131.5439999999999</v>
      </c>
      <c r="M2146" t="s">
        <v>11</v>
      </c>
    </row>
    <row r="2147" spans="1:13" x14ac:dyDescent="0.3">
      <c r="A2147">
        <v>3145</v>
      </c>
      <c r="B2147" t="s">
        <v>2171</v>
      </c>
      <c r="C2147" t="s">
        <v>20</v>
      </c>
      <c r="D2147" t="s">
        <v>80</v>
      </c>
      <c r="E2147">
        <v>2</v>
      </c>
      <c r="F2147" s="3">
        <v>4414.97</v>
      </c>
      <c r="G2147" s="4">
        <v>0.6</v>
      </c>
      <c r="H2147" s="3">
        <v>8829.94</v>
      </c>
      <c r="I2147" s="1">
        <v>45782</v>
      </c>
      <c r="J2147" t="s">
        <v>56</v>
      </c>
      <c r="K2147" t="s">
        <v>23</v>
      </c>
      <c r="L2147" s="3">
        <v>3531.9760000000006</v>
      </c>
      <c r="M2147" t="s">
        <v>11</v>
      </c>
    </row>
    <row r="2148" spans="1:13" x14ac:dyDescent="0.3">
      <c r="A2148">
        <v>3146</v>
      </c>
      <c r="B2148" t="s">
        <v>2172</v>
      </c>
      <c r="C2148" t="s">
        <v>20</v>
      </c>
      <c r="D2148" t="s">
        <v>80</v>
      </c>
      <c r="E2148">
        <v>2</v>
      </c>
      <c r="F2148" s="3">
        <v>2483.5844000000002</v>
      </c>
      <c r="G2148" s="4">
        <v>0.6</v>
      </c>
      <c r="H2148" s="3">
        <v>4967.1688000000004</v>
      </c>
      <c r="I2148" s="1">
        <v>45782</v>
      </c>
      <c r="J2148" t="s">
        <v>56</v>
      </c>
      <c r="K2148" t="s">
        <v>23</v>
      </c>
      <c r="L2148" s="3">
        <v>1986.8675200000002</v>
      </c>
      <c r="M2148" t="s">
        <v>11</v>
      </c>
    </row>
    <row r="2149" spans="1:13" x14ac:dyDescent="0.3">
      <c r="A2149">
        <v>3147</v>
      </c>
      <c r="B2149" t="s">
        <v>570</v>
      </c>
      <c r="C2149" t="s">
        <v>38</v>
      </c>
      <c r="D2149" t="s">
        <v>39</v>
      </c>
      <c r="E2149">
        <v>2</v>
      </c>
      <c r="F2149" s="3">
        <v>3008.3844444444444</v>
      </c>
      <c r="G2149" s="4">
        <v>0.6</v>
      </c>
      <c r="H2149" s="3">
        <v>6016.7688888888888</v>
      </c>
      <c r="I2149" s="1">
        <v>45853</v>
      </c>
      <c r="J2149" t="s">
        <v>40</v>
      </c>
      <c r="K2149" t="s">
        <v>23</v>
      </c>
      <c r="L2149" s="3">
        <v>2406.7075555555557</v>
      </c>
      <c r="M2149" t="s">
        <v>11</v>
      </c>
    </row>
    <row r="2150" spans="1:13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F2150" s="3">
        <v>3008.3844444444444</v>
      </c>
      <c r="G2150" s="4">
        <v>0.5</v>
      </c>
      <c r="H2150" s="3">
        <v>18050.306666666667</v>
      </c>
      <c r="I2150" s="1">
        <v>45378</v>
      </c>
      <c r="J2150" t="s">
        <v>18</v>
      </c>
      <c r="K2150" t="s">
        <v>16</v>
      </c>
      <c r="L2150" s="3">
        <v>9025.1533333333336</v>
      </c>
      <c r="M2150" t="s">
        <v>11</v>
      </c>
    </row>
    <row r="2151" spans="1:13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F2151" s="3">
        <v>2888.8714285714286</v>
      </c>
      <c r="G2151" s="4">
        <v>0.6</v>
      </c>
      <c r="H2151" s="3">
        <v>14444.357142857143</v>
      </c>
      <c r="I2151" s="1">
        <v>45782</v>
      </c>
      <c r="J2151" t="s">
        <v>40</v>
      </c>
      <c r="K2151" t="s">
        <v>16</v>
      </c>
      <c r="L2151" s="3">
        <v>5777.7428571428572</v>
      </c>
      <c r="M2151" t="s">
        <v>11</v>
      </c>
    </row>
    <row r="2152" spans="1:13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 s="3">
        <v>850.69</v>
      </c>
      <c r="G2152" s="4">
        <v>0.41</v>
      </c>
      <c r="H2152" s="3">
        <v>0</v>
      </c>
      <c r="I2152" s="1">
        <v>45545</v>
      </c>
      <c r="J2152" t="s">
        <v>40</v>
      </c>
      <c r="K2152" t="s">
        <v>23</v>
      </c>
      <c r="L2152" s="3">
        <v>0</v>
      </c>
      <c r="M2152" t="s">
        <v>2518</v>
      </c>
    </row>
    <row r="2153" spans="1:13" x14ac:dyDescent="0.3">
      <c r="A2153">
        <v>3151</v>
      </c>
      <c r="B2153" t="s">
        <v>2176</v>
      </c>
      <c r="C2153" t="s">
        <v>13</v>
      </c>
      <c r="D2153" t="s">
        <v>14</v>
      </c>
      <c r="E2153">
        <v>2</v>
      </c>
      <c r="F2153" s="3">
        <v>2381.2677586206896</v>
      </c>
      <c r="G2153" s="4">
        <v>0.19</v>
      </c>
      <c r="H2153" s="3">
        <v>4762.5355172413792</v>
      </c>
      <c r="I2153" s="1">
        <v>45836</v>
      </c>
      <c r="J2153" t="s">
        <v>22</v>
      </c>
      <c r="K2153" t="s">
        <v>23</v>
      </c>
      <c r="L2153" s="3">
        <v>3857.6537689655174</v>
      </c>
      <c r="M2153" t="s">
        <v>11</v>
      </c>
    </row>
    <row r="2154" spans="1:13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 s="3">
        <v>2116.65</v>
      </c>
      <c r="G2154" s="4">
        <v>0.21</v>
      </c>
      <c r="H2154" s="3">
        <v>-4233.3</v>
      </c>
      <c r="I2154" s="1">
        <v>45563</v>
      </c>
      <c r="J2154" t="s">
        <v>22</v>
      </c>
      <c r="K2154" t="s">
        <v>23</v>
      </c>
      <c r="L2154" s="3">
        <v>-3344.3070000000002</v>
      </c>
      <c r="M2154" t="s">
        <v>2518</v>
      </c>
    </row>
    <row r="2155" spans="1:13" x14ac:dyDescent="0.3">
      <c r="A2155">
        <v>3153</v>
      </c>
      <c r="B2155" t="s">
        <v>2178</v>
      </c>
      <c r="C2155" t="s">
        <v>38</v>
      </c>
      <c r="D2155" t="s">
        <v>39</v>
      </c>
      <c r="E2155">
        <v>2</v>
      </c>
      <c r="F2155" s="3">
        <v>4723.0200000000004</v>
      </c>
      <c r="G2155" s="4">
        <v>0.52</v>
      </c>
      <c r="H2155" s="3">
        <v>9446.0400000000009</v>
      </c>
      <c r="I2155" s="1">
        <v>45782</v>
      </c>
      <c r="J2155" t="s">
        <v>18</v>
      </c>
      <c r="K2155" t="s">
        <v>23</v>
      </c>
      <c r="L2155" s="3">
        <v>4534.0992000000006</v>
      </c>
      <c r="M2155" t="s">
        <v>11</v>
      </c>
    </row>
    <row r="2156" spans="1:13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 s="3">
        <v>3154.48</v>
      </c>
      <c r="G2156" s="4">
        <v>0.6</v>
      </c>
      <c r="H2156" s="3">
        <v>3154.48</v>
      </c>
      <c r="I2156" s="1">
        <v>45501</v>
      </c>
      <c r="J2156" t="s">
        <v>18</v>
      </c>
      <c r="K2156" t="s">
        <v>16</v>
      </c>
      <c r="L2156" s="3">
        <v>1261.7920000000001</v>
      </c>
      <c r="M2156" t="s">
        <v>11</v>
      </c>
    </row>
    <row r="2157" spans="1:13" x14ac:dyDescent="0.3">
      <c r="A2157">
        <v>3155</v>
      </c>
      <c r="B2157" t="s">
        <v>2180</v>
      </c>
      <c r="C2157" t="s">
        <v>29</v>
      </c>
      <c r="D2157" t="s">
        <v>141</v>
      </c>
      <c r="E2157">
        <v>2</v>
      </c>
      <c r="F2157" s="3">
        <v>2462.79</v>
      </c>
      <c r="G2157" s="4">
        <v>0.27</v>
      </c>
      <c r="H2157" s="3">
        <v>4925.58</v>
      </c>
      <c r="I2157" s="1">
        <v>45782</v>
      </c>
      <c r="J2157" t="s">
        <v>22</v>
      </c>
      <c r="K2157" t="s">
        <v>16</v>
      </c>
      <c r="L2157" s="3">
        <v>3595.6733999999997</v>
      </c>
      <c r="M2157" t="s">
        <v>11</v>
      </c>
    </row>
    <row r="2158" spans="1:13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F2158" s="3">
        <v>2888.8714285714286</v>
      </c>
      <c r="G2158" s="4">
        <v>0.52</v>
      </c>
      <c r="H2158" s="3">
        <v>2888.8714285714286</v>
      </c>
      <c r="I2158" s="1">
        <v>45782</v>
      </c>
      <c r="J2158" t="s">
        <v>18</v>
      </c>
      <c r="K2158" t="s">
        <v>16</v>
      </c>
      <c r="L2158" s="3">
        <v>1386.6582857142857</v>
      </c>
      <c r="M2158" t="s">
        <v>11</v>
      </c>
    </row>
    <row r="2159" spans="1:13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 s="3">
        <v>1768.88</v>
      </c>
      <c r="G2159" s="4">
        <v>0.6</v>
      </c>
      <c r="H2159" s="3">
        <v>10613.28</v>
      </c>
      <c r="I2159" s="1">
        <v>45310</v>
      </c>
      <c r="J2159" t="s">
        <v>46</v>
      </c>
      <c r="K2159" t="s">
        <v>23</v>
      </c>
      <c r="L2159" s="3">
        <v>4245.3120000000008</v>
      </c>
      <c r="M2159" t="s">
        <v>11</v>
      </c>
    </row>
    <row r="2160" spans="1:13" x14ac:dyDescent="0.3">
      <c r="A2160">
        <v>3158</v>
      </c>
      <c r="B2160" t="s">
        <v>2183</v>
      </c>
      <c r="C2160" t="s">
        <v>25</v>
      </c>
      <c r="D2160" t="s">
        <v>86</v>
      </c>
      <c r="E2160">
        <v>2</v>
      </c>
      <c r="F2160" s="3">
        <v>2501.5309999999999</v>
      </c>
      <c r="G2160" s="4">
        <v>0.6</v>
      </c>
      <c r="H2160" s="3">
        <v>5003.0619999999999</v>
      </c>
      <c r="I2160" s="1">
        <v>45500</v>
      </c>
      <c r="J2160" t="s">
        <v>46</v>
      </c>
      <c r="K2160" t="s">
        <v>23</v>
      </c>
      <c r="L2160" s="3">
        <v>2001.2248</v>
      </c>
      <c r="M2160" t="s">
        <v>11</v>
      </c>
    </row>
    <row r="2161" spans="1:13" x14ac:dyDescent="0.3">
      <c r="A2161">
        <v>3159</v>
      </c>
      <c r="B2161" t="s">
        <v>2184</v>
      </c>
      <c r="C2161" t="s">
        <v>33</v>
      </c>
      <c r="D2161" t="s">
        <v>82</v>
      </c>
      <c r="E2161">
        <v>2</v>
      </c>
      <c r="F2161" s="3">
        <v>2776.2202000000002</v>
      </c>
      <c r="G2161" s="4">
        <v>0.6</v>
      </c>
      <c r="H2161" s="3">
        <v>5552.4404000000004</v>
      </c>
      <c r="I2161" s="1">
        <v>45728</v>
      </c>
      <c r="J2161" t="s">
        <v>15</v>
      </c>
      <c r="K2161" t="s">
        <v>23</v>
      </c>
      <c r="L2161" s="3">
        <v>2220.9761600000002</v>
      </c>
      <c r="M2161" t="s">
        <v>11</v>
      </c>
    </row>
    <row r="2162" spans="1:13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 s="3">
        <v>4976.8100000000004</v>
      </c>
      <c r="G2162" s="4">
        <v>0.6</v>
      </c>
      <c r="H2162" s="3">
        <v>29860.86</v>
      </c>
      <c r="I2162" s="1">
        <v>45794</v>
      </c>
      <c r="J2162" t="s">
        <v>18</v>
      </c>
      <c r="K2162" t="s">
        <v>16</v>
      </c>
      <c r="L2162" s="3">
        <v>11944.344000000001</v>
      </c>
      <c r="M2162" t="s">
        <v>11</v>
      </c>
    </row>
    <row r="2163" spans="1:13" x14ac:dyDescent="0.3">
      <c r="A2163">
        <v>3161</v>
      </c>
      <c r="B2163" t="s">
        <v>2186</v>
      </c>
      <c r="C2163" t="s">
        <v>29</v>
      </c>
      <c r="D2163" t="s">
        <v>30</v>
      </c>
      <c r="E2163">
        <v>2</v>
      </c>
      <c r="F2163" s="3">
        <v>2617.6390384615388</v>
      </c>
      <c r="G2163" s="4">
        <v>0.6</v>
      </c>
      <c r="H2163" s="3">
        <v>5235.2780769230776</v>
      </c>
      <c r="I2163" s="1">
        <v>45422</v>
      </c>
      <c r="J2163" t="s">
        <v>22</v>
      </c>
      <c r="K2163" t="s">
        <v>16</v>
      </c>
      <c r="L2163" s="3">
        <v>2094.111230769231</v>
      </c>
      <c r="M2163" t="s">
        <v>11</v>
      </c>
    </row>
    <row r="2164" spans="1:13" x14ac:dyDescent="0.3">
      <c r="A2164">
        <v>3162</v>
      </c>
      <c r="B2164" t="s">
        <v>2187</v>
      </c>
      <c r="C2164" t="s">
        <v>29</v>
      </c>
      <c r="D2164" t="s">
        <v>42</v>
      </c>
      <c r="E2164">
        <v>2</v>
      </c>
      <c r="F2164" s="3">
        <v>2559.6667307692314</v>
      </c>
      <c r="G2164" s="4">
        <v>0.6</v>
      </c>
      <c r="H2164" s="3">
        <v>5119.3334615384629</v>
      </c>
      <c r="I2164" s="1">
        <v>45655</v>
      </c>
      <c r="J2164" t="s">
        <v>40</v>
      </c>
      <c r="K2164" t="s">
        <v>23</v>
      </c>
      <c r="L2164" s="3">
        <v>2047.7333846153851</v>
      </c>
      <c r="M2164" t="s">
        <v>11</v>
      </c>
    </row>
    <row r="2165" spans="1:13" x14ac:dyDescent="0.3">
      <c r="A2165">
        <v>3163</v>
      </c>
      <c r="B2165" t="s">
        <v>2188</v>
      </c>
      <c r="C2165" t="s">
        <v>13</v>
      </c>
      <c r="D2165" t="s">
        <v>102</v>
      </c>
      <c r="E2165">
        <v>2</v>
      </c>
      <c r="F2165" s="3">
        <v>2576.3056896551716</v>
      </c>
      <c r="G2165" s="4">
        <v>0.6</v>
      </c>
      <c r="H2165" s="3">
        <v>5152.6113793103432</v>
      </c>
      <c r="I2165" s="1">
        <v>45816</v>
      </c>
      <c r="J2165" t="s">
        <v>18</v>
      </c>
      <c r="K2165" t="s">
        <v>16</v>
      </c>
      <c r="L2165" s="3">
        <v>2061.0445517241374</v>
      </c>
      <c r="M2165" t="s">
        <v>11</v>
      </c>
    </row>
    <row r="2166" spans="1:13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F2166" s="3">
        <v>2483.5844000000002</v>
      </c>
      <c r="G2166" s="4">
        <v>0.09</v>
      </c>
      <c r="H2166" s="3">
        <v>7450.753200000001</v>
      </c>
      <c r="I2166" s="1">
        <v>45749</v>
      </c>
      <c r="J2166" t="s">
        <v>40</v>
      </c>
      <c r="K2166" t="s">
        <v>16</v>
      </c>
      <c r="L2166" s="3">
        <v>6780.1854120000007</v>
      </c>
      <c r="M2166" t="s">
        <v>11</v>
      </c>
    </row>
    <row r="2167" spans="1:13" x14ac:dyDescent="0.3">
      <c r="A2167">
        <v>3165</v>
      </c>
      <c r="B2167" t="s">
        <v>2190</v>
      </c>
      <c r="C2167" t="s">
        <v>38</v>
      </c>
      <c r="D2167" t="s">
        <v>91</v>
      </c>
      <c r="E2167">
        <v>2</v>
      </c>
      <c r="F2167" s="3">
        <v>2994.31</v>
      </c>
      <c r="G2167" s="4">
        <v>0.6</v>
      </c>
      <c r="H2167" s="3">
        <v>5988.62</v>
      </c>
      <c r="I2167" s="1">
        <v>45782</v>
      </c>
      <c r="J2167" t="s">
        <v>40</v>
      </c>
      <c r="K2167" t="s">
        <v>16</v>
      </c>
      <c r="L2167" s="3">
        <v>2395.4479999999999</v>
      </c>
      <c r="M2167" t="s">
        <v>11</v>
      </c>
    </row>
    <row r="2168" spans="1:13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F2168" s="3">
        <v>2868.7768181818178</v>
      </c>
      <c r="G2168" s="4">
        <v>0.6</v>
      </c>
      <c r="H2168" s="3">
        <v>-5737.5536363636356</v>
      </c>
      <c r="I2168" s="1">
        <v>45674</v>
      </c>
      <c r="J2168" t="s">
        <v>46</v>
      </c>
      <c r="K2168" t="s">
        <v>23</v>
      </c>
      <c r="L2168" s="3">
        <v>-2295.0214545454542</v>
      </c>
      <c r="M2168" t="s">
        <v>2518</v>
      </c>
    </row>
    <row r="2169" spans="1:13" x14ac:dyDescent="0.3">
      <c r="A2169">
        <v>3167</v>
      </c>
      <c r="B2169" t="s">
        <v>2192</v>
      </c>
      <c r="C2169" t="s">
        <v>13</v>
      </c>
      <c r="D2169" t="s">
        <v>102</v>
      </c>
      <c r="E2169">
        <v>2</v>
      </c>
      <c r="F2169" s="3">
        <v>2576.3056896551716</v>
      </c>
      <c r="G2169" s="4">
        <v>0.6</v>
      </c>
      <c r="H2169" s="3">
        <v>5152.6113793103432</v>
      </c>
      <c r="I2169" s="1">
        <v>45558</v>
      </c>
      <c r="J2169" t="s">
        <v>22</v>
      </c>
      <c r="K2169" t="s">
        <v>23</v>
      </c>
      <c r="L2169" s="3">
        <v>2061.0445517241374</v>
      </c>
      <c r="M2169" t="s">
        <v>11</v>
      </c>
    </row>
    <row r="2170" spans="1:13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 s="3">
        <v>1845.75</v>
      </c>
      <c r="G2170" s="4">
        <v>0.6</v>
      </c>
      <c r="H2170" s="3">
        <v>-1845.75</v>
      </c>
      <c r="I2170" s="1">
        <v>45814</v>
      </c>
      <c r="J2170" t="s">
        <v>40</v>
      </c>
      <c r="K2170" t="s">
        <v>23</v>
      </c>
      <c r="L2170" s="3">
        <v>-738.30000000000007</v>
      </c>
      <c r="M2170" t="s">
        <v>2518</v>
      </c>
    </row>
    <row r="2171" spans="1:13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F2171" s="3">
        <v>2681.1743636363635</v>
      </c>
      <c r="G2171" s="4">
        <v>0.6</v>
      </c>
      <c r="H2171" s="3">
        <v>-5362.348727272727</v>
      </c>
      <c r="I2171" s="1">
        <v>45380</v>
      </c>
      <c r="J2171" t="s">
        <v>56</v>
      </c>
      <c r="K2171" t="s">
        <v>16</v>
      </c>
      <c r="L2171" s="3">
        <v>-2144.9394909090911</v>
      </c>
      <c r="M2171" t="s">
        <v>2518</v>
      </c>
    </row>
    <row r="2172" spans="1:13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 s="3">
        <v>2229.77</v>
      </c>
      <c r="G2172" s="4">
        <v>0.6</v>
      </c>
      <c r="H2172" s="3">
        <v>4459.54</v>
      </c>
      <c r="I2172" s="1">
        <v>45782</v>
      </c>
      <c r="J2172" t="s">
        <v>18</v>
      </c>
      <c r="K2172" t="s">
        <v>16</v>
      </c>
      <c r="L2172" s="3">
        <v>1783.816</v>
      </c>
      <c r="M2172" t="s">
        <v>11</v>
      </c>
    </row>
    <row r="2173" spans="1:13" x14ac:dyDescent="0.3">
      <c r="A2173">
        <v>3171</v>
      </c>
      <c r="B2173" t="s">
        <v>2196</v>
      </c>
      <c r="C2173" t="s">
        <v>33</v>
      </c>
      <c r="D2173" t="s">
        <v>72</v>
      </c>
      <c r="E2173">
        <v>2</v>
      </c>
      <c r="F2173" s="3">
        <v>3618.17</v>
      </c>
      <c r="G2173" s="4">
        <v>0.6</v>
      </c>
      <c r="H2173" s="3">
        <v>7236.34</v>
      </c>
      <c r="I2173" s="1">
        <v>45816</v>
      </c>
      <c r="J2173" t="s">
        <v>18</v>
      </c>
      <c r="K2173" t="s">
        <v>23</v>
      </c>
      <c r="L2173" s="3">
        <v>2894.5360000000001</v>
      </c>
      <c r="M2173" t="s">
        <v>11</v>
      </c>
    </row>
    <row r="2174" spans="1:13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 s="3">
        <v>4433.3500000000004</v>
      </c>
      <c r="G2174" s="4">
        <v>0.6</v>
      </c>
      <c r="H2174" s="3">
        <v>13300.050000000001</v>
      </c>
      <c r="I2174" s="1">
        <v>45624</v>
      </c>
      <c r="J2174" t="s">
        <v>46</v>
      </c>
      <c r="K2174" t="s">
        <v>23</v>
      </c>
      <c r="L2174" s="3">
        <v>5320.02</v>
      </c>
      <c r="M2174" t="s">
        <v>11</v>
      </c>
    </row>
    <row r="2175" spans="1:13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 s="3">
        <v>1205.98</v>
      </c>
      <c r="G2175" s="4">
        <v>0.6</v>
      </c>
      <c r="H2175" s="3">
        <v>4823.92</v>
      </c>
      <c r="I2175" s="1">
        <v>45782</v>
      </c>
      <c r="J2175" t="s">
        <v>15</v>
      </c>
      <c r="K2175" t="s">
        <v>16</v>
      </c>
      <c r="L2175" s="3">
        <v>1929.5680000000002</v>
      </c>
      <c r="M2175" t="s">
        <v>11</v>
      </c>
    </row>
    <row r="2176" spans="1:13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 s="3">
        <v>4345.79</v>
      </c>
      <c r="G2176" s="4">
        <v>1.1399999999999999</v>
      </c>
      <c r="H2176" s="3">
        <v>17383.16</v>
      </c>
      <c r="I2176" s="1">
        <v>45705</v>
      </c>
      <c r="J2176" t="s">
        <v>46</v>
      </c>
      <c r="K2176" t="s">
        <v>23</v>
      </c>
      <c r="L2176" s="3">
        <v>-2433.6423999999984</v>
      </c>
      <c r="M2176" t="s">
        <v>2518</v>
      </c>
    </row>
    <row r="2177" spans="1:13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 s="3">
        <v>2937.09</v>
      </c>
      <c r="G2177" s="4">
        <v>0.6</v>
      </c>
      <c r="H2177" s="3">
        <v>8811.27</v>
      </c>
      <c r="I2177" s="1">
        <v>45378</v>
      </c>
      <c r="J2177" t="s">
        <v>46</v>
      </c>
      <c r="K2177" t="s">
        <v>16</v>
      </c>
      <c r="L2177" s="3">
        <v>3524.5080000000003</v>
      </c>
      <c r="M2177" t="s">
        <v>11</v>
      </c>
    </row>
    <row r="2178" spans="1:13" x14ac:dyDescent="0.3">
      <c r="A2178">
        <v>3176</v>
      </c>
      <c r="B2178" t="s">
        <v>2201</v>
      </c>
      <c r="C2178" t="s">
        <v>38</v>
      </c>
      <c r="D2178" t="s">
        <v>63</v>
      </c>
      <c r="E2178">
        <v>2</v>
      </c>
      <c r="F2178" s="3">
        <v>4473.84</v>
      </c>
      <c r="G2178" s="4">
        <v>0.3</v>
      </c>
      <c r="H2178" s="3">
        <v>8947.68</v>
      </c>
      <c r="I2178" s="1">
        <v>45515</v>
      </c>
      <c r="J2178" t="s">
        <v>46</v>
      </c>
      <c r="K2178" t="s">
        <v>23</v>
      </c>
      <c r="L2178" s="3">
        <v>6263.3760000000002</v>
      </c>
      <c r="M2178" t="s">
        <v>11</v>
      </c>
    </row>
    <row r="2179" spans="1:13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F2179" s="3">
        <v>2381.2677586206896</v>
      </c>
      <c r="G2179" s="4">
        <v>0.6</v>
      </c>
      <c r="H2179" s="3">
        <v>-2381.2677586206896</v>
      </c>
      <c r="I2179" s="1">
        <v>45697</v>
      </c>
      <c r="J2179" t="s">
        <v>18</v>
      </c>
      <c r="K2179" t="s">
        <v>16</v>
      </c>
      <c r="L2179" s="3">
        <v>-952.50710344827587</v>
      </c>
      <c r="M2179" t="s">
        <v>2518</v>
      </c>
    </row>
    <row r="2180" spans="1:13" x14ac:dyDescent="0.3">
      <c r="A2180">
        <v>3178</v>
      </c>
      <c r="B2180" t="s">
        <v>2203</v>
      </c>
      <c r="C2180" t="s">
        <v>20</v>
      </c>
      <c r="D2180" t="s">
        <v>88</v>
      </c>
      <c r="E2180">
        <v>2</v>
      </c>
      <c r="F2180" s="3">
        <v>2725.8557142857148</v>
      </c>
      <c r="G2180" s="4">
        <v>0.66</v>
      </c>
      <c r="H2180" s="3">
        <v>5451.7114285714297</v>
      </c>
      <c r="I2180" s="1">
        <v>45782</v>
      </c>
      <c r="J2180" t="s">
        <v>56</v>
      </c>
      <c r="K2180" t="s">
        <v>16</v>
      </c>
      <c r="L2180" s="3">
        <v>1853.5818857142858</v>
      </c>
      <c r="M2180" t="s">
        <v>11</v>
      </c>
    </row>
    <row r="2181" spans="1:13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 s="3">
        <v>2057.88</v>
      </c>
      <c r="G2181" s="4">
        <v>0.6</v>
      </c>
      <c r="H2181" s="3">
        <v>2057.88</v>
      </c>
      <c r="I2181" s="1">
        <v>45588</v>
      </c>
      <c r="J2181" t="s">
        <v>18</v>
      </c>
      <c r="K2181" t="s">
        <v>16</v>
      </c>
      <c r="L2181" s="3">
        <v>823.15200000000004</v>
      </c>
      <c r="M2181" t="s">
        <v>11</v>
      </c>
    </row>
    <row r="2182" spans="1:13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 s="3">
        <v>1981.32</v>
      </c>
      <c r="G2182" s="4">
        <v>0.6</v>
      </c>
      <c r="H2182" s="3">
        <v>9906.6</v>
      </c>
      <c r="I2182" s="1">
        <v>45519</v>
      </c>
      <c r="J2182" t="s">
        <v>40</v>
      </c>
      <c r="K2182" t="s">
        <v>23</v>
      </c>
      <c r="L2182" s="3">
        <v>3962.6400000000003</v>
      </c>
      <c r="M2182" t="s">
        <v>11</v>
      </c>
    </row>
    <row r="2183" spans="1:13" x14ac:dyDescent="0.3">
      <c r="A2183">
        <v>3181</v>
      </c>
      <c r="B2183" t="s">
        <v>2205</v>
      </c>
      <c r="C2183" t="s">
        <v>25</v>
      </c>
      <c r="D2183" t="s">
        <v>26</v>
      </c>
      <c r="E2183">
        <v>2</v>
      </c>
      <c r="F2183" s="3">
        <v>2888.8714285714286</v>
      </c>
      <c r="G2183" s="4">
        <v>0.6</v>
      </c>
      <c r="H2183" s="3">
        <v>5777.7428571428572</v>
      </c>
      <c r="I2183" s="1">
        <v>45441</v>
      </c>
      <c r="J2183" t="s">
        <v>18</v>
      </c>
      <c r="K2183" t="s">
        <v>23</v>
      </c>
      <c r="L2183" s="3">
        <v>2311.0971428571429</v>
      </c>
      <c r="M2183" t="s">
        <v>11</v>
      </c>
    </row>
    <row r="2184" spans="1:13" x14ac:dyDescent="0.3">
      <c r="A2184">
        <v>3182</v>
      </c>
      <c r="B2184" t="s">
        <v>1078</v>
      </c>
      <c r="C2184" t="s">
        <v>38</v>
      </c>
      <c r="D2184" t="s">
        <v>63</v>
      </c>
      <c r="E2184">
        <v>2</v>
      </c>
      <c r="F2184" s="3">
        <v>3078.92</v>
      </c>
      <c r="G2184" s="4">
        <v>0.6</v>
      </c>
      <c r="H2184" s="3">
        <v>6157.84</v>
      </c>
      <c r="I2184" s="1">
        <v>45782</v>
      </c>
      <c r="J2184" t="s">
        <v>56</v>
      </c>
      <c r="K2184" t="s">
        <v>23</v>
      </c>
      <c r="L2184" s="3">
        <v>2463.1360000000004</v>
      </c>
      <c r="M2184" t="s">
        <v>11</v>
      </c>
    </row>
    <row r="2185" spans="1:13" x14ac:dyDescent="0.3">
      <c r="A2185">
        <v>3183</v>
      </c>
      <c r="B2185" t="s">
        <v>2206</v>
      </c>
      <c r="C2185" t="s">
        <v>29</v>
      </c>
      <c r="D2185" t="s">
        <v>120</v>
      </c>
      <c r="E2185">
        <v>2</v>
      </c>
      <c r="F2185" s="3">
        <v>2830.1325714285731</v>
      </c>
      <c r="G2185" s="4">
        <v>0.6</v>
      </c>
      <c r="H2185" s="3">
        <v>5660.2651428571462</v>
      </c>
      <c r="I2185" s="1">
        <v>45444</v>
      </c>
      <c r="J2185" t="s">
        <v>40</v>
      </c>
      <c r="K2185" t="s">
        <v>23</v>
      </c>
      <c r="L2185" s="3">
        <v>2264.1060571428584</v>
      </c>
      <c r="M2185" t="s">
        <v>11</v>
      </c>
    </row>
    <row r="2186" spans="1:13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F2186" s="3">
        <v>2572.7764000000006</v>
      </c>
      <c r="G2186" s="4">
        <v>1</v>
      </c>
      <c r="H2186" s="3">
        <v>7718.3292000000019</v>
      </c>
      <c r="I2186" s="1">
        <v>45135</v>
      </c>
      <c r="J2186" t="s">
        <v>46</v>
      </c>
      <c r="K2186" t="s">
        <v>23</v>
      </c>
      <c r="L2186" s="3">
        <v>0</v>
      </c>
      <c r="M2186" t="s">
        <v>2518</v>
      </c>
    </row>
    <row r="2187" spans="1:13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F2187" s="3">
        <v>2576.3056896551716</v>
      </c>
      <c r="G2187" s="4">
        <v>0.6</v>
      </c>
      <c r="H2187" s="3">
        <v>5152.6113793103432</v>
      </c>
      <c r="I2187" s="1">
        <v>45601</v>
      </c>
      <c r="J2187" t="s">
        <v>18</v>
      </c>
      <c r="K2187" t="s">
        <v>23</v>
      </c>
      <c r="L2187" s="3">
        <v>2061.0445517241374</v>
      </c>
      <c r="M2187" t="s">
        <v>11</v>
      </c>
    </row>
    <row r="2188" spans="1:13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F2188" s="3">
        <v>2576.3056896551716</v>
      </c>
      <c r="G2188" s="4">
        <v>0.6</v>
      </c>
      <c r="H2188" s="3">
        <v>12881.528448275858</v>
      </c>
      <c r="I2188" s="1">
        <v>45782</v>
      </c>
      <c r="J2188" t="s">
        <v>56</v>
      </c>
      <c r="K2188" t="s">
        <v>23</v>
      </c>
      <c r="L2188" s="3">
        <v>5152.6113793103432</v>
      </c>
      <c r="M2188" t="s">
        <v>11</v>
      </c>
    </row>
    <row r="2189" spans="1:13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 s="3">
        <v>3998.97</v>
      </c>
      <c r="G2189" s="4">
        <v>0.6</v>
      </c>
      <c r="H2189" s="3">
        <v>23993.82</v>
      </c>
      <c r="I2189" s="1">
        <v>45321</v>
      </c>
      <c r="J2189" t="s">
        <v>22</v>
      </c>
      <c r="K2189" t="s">
        <v>16</v>
      </c>
      <c r="L2189" s="3">
        <v>9597.5280000000002</v>
      </c>
      <c r="M2189" t="s">
        <v>11</v>
      </c>
    </row>
    <row r="2190" spans="1:13" x14ac:dyDescent="0.3">
      <c r="A2190">
        <v>3188</v>
      </c>
      <c r="B2190" t="s">
        <v>2211</v>
      </c>
      <c r="C2190" t="s">
        <v>29</v>
      </c>
      <c r="D2190" t="s">
        <v>30</v>
      </c>
      <c r="E2190">
        <v>2</v>
      </c>
      <c r="F2190" s="3">
        <v>936.76</v>
      </c>
      <c r="G2190" s="4">
        <v>0.6</v>
      </c>
      <c r="H2190" s="3">
        <v>1873.52</v>
      </c>
      <c r="I2190" s="1">
        <v>45782</v>
      </c>
      <c r="J2190" t="s">
        <v>56</v>
      </c>
      <c r="K2190" t="s">
        <v>23</v>
      </c>
      <c r="L2190" s="3">
        <v>749.40800000000002</v>
      </c>
      <c r="M2190" t="s">
        <v>11</v>
      </c>
    </row>
    <row r="2191" spans="1:13" x14ac:dyDescent="0.3">
      <c r="A2191">
        <v>3189</v>
      </c>
      <c r="B2191" t="s">
        <v>2212</v>
      </c>
      <c r="C2191" t="s">
        <v>25</v>
      </c>
      <c r="D2191" t="s">
        <v>86</v>
      </c>
      <c r="E2191">
        <v>2</v>
      </c>
      <c r="F2191" s="3">
        <v>1299.74</v>
      </c>
      <c r="G2191" s="4">
        <v>0.09</v>
      </c>
      <c r="H2191" s="3">
        <v>2599.48</v>
      </c>
      <c r="I2191" s="1">
        <v>45644</v>
      </c>
      <c r="J2191" t="s">
        <v>40</v>
      </c>
      <c r="K2191" t="s">
        <v>16</v>
      </c>
      <c r="L2191" s="3">
        <v>2365.5268000000001</v>
      </c>
      <c r="M2191" t="s">
        <v>11</v>
      </c>
    </row>
    <row r="2192" spans="1:13" x14ac:dyDescent="0.3">
      <c r="A2192">
        <v>3190</v>
      </c>
      <c r="B2192" t="s">
        <v>2213</v>
      </c>
      <c r="C2192" t="s">
        <v>25</v>
      </c>
      <c r="D2192" t="s">
        <v>54</v>
      </c>
      <c r="E2192">
        <v>2</v>
      </c>
      <c r="F2192" s="3">
        <v>2530.3836538461546</v>
      </c>
      <c r="G2192" s="4">
        <v>0.44</v>
      </c>
      <c r="H2192" s="3">
        <v>5060.7673076923093</v>
      </c>
      <c r="I2192" s="1">
        <v>45782</v>
      </c>
      <c r="J2192" t="s">
        <v>56</v>
      </c>
      <c r="K2192" t="s">
        <v>23</v>
      </c>
      <c r="L2192" s="3">
        <v>2834.0296923076935</v>
      </c>
      <c r="M2192" t="s">
        <v>11</v>
      </c>
    </row>
    <row r="2193" spans="1:13" x14ac:dyDescent="0.3">
      <c r="A2193">
        <v>3191</v>
      </c>
      <c r="B2193" t="s">
        <v>2214</v>
      </c>
      <c r="C2193" t="s">
        <v>20</v>
      </c>
      <c r="D2193" t="s">
        <v>88</v>
      </c>
      <c r="E2193">
        <v>2</v>
      </c>
      <c r="F2193" s="3">
        <v>2725.8557142857148</v>
      </c>
      <c r="G2193" s="4">
        <v>0.6</v>
      </c>
      <c r="H2193" s="3">
        <v>5451.7114285714297</v>
      </c>
      <c r="I2193" s="1">
        <v>45687</v>
      </c>
      <c r="J2193" t="s">
        <v>15</v>
      </c>
      <c r="K2193" t="s">
        <v>23</v>
      </c>
      <c r="L2193" s="3">
        <v>2180.6845714285719</v>
      </c>
      <c r="M2193" t="s">
        <v>11</v>
      </c>
    </row>
    <row r="2194" spans="1:13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 s="3">
        <v>3568.45</v>
      </c>
      <c r="G2194" s="4">
        <v>0.37</v>
      </c>
      <c r="H2194" s="3">
        <v>-7136.9</v>
      </c>
      <c r="I2194" s="1">
        <v>45136</v>
      </c>
      <c r="J2194" t="s">
        <v>15</v>
      </c>
      <c r="K2194" t="s">
        <v>16</v>
      </c>
      <c r="L2194" s="3">
        <v>-4496.2469999999994</v>
      </c>
      <c r="M2194" t="s">
        <v>2518</v>
      </c>
    </row>
    <row r="2195" spans="1:13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F2195" s="3">
        <v>2882.5046551724135</v>
      </c>
      <c r="G2195" s="4">
        <v>0.6</v>
      </c>
      <c r="H2195" s="3">
        <v>8647.5139655172406</v>
      </c>
      <c r="I2195" s="1">
        <v>45465</v>
      </c>
      <c r="J2195" t="s">
        <v>18</v>
      </c>
      <c r="K2195" t="s">
        <v>16</v>
      </c>
      <c r="L2195" s="3">
        <v>3459.0055862068966</v>
      </c>
      <c r="M2195" t="s">
        <v>11</v>
      </c>
    </row>
    <row r="2196" spans="1:13" x14ac:dyDescent="0.3">
      <c r="A2196">
        <v>1022</v>
      </c>
      <c r="B2196" t="s">
        <v>2217</v>
      </c>
      <c r="C2196" t="s">
        <v>25</v>
      </c>
      <c r="D2196" t="s">
        <v>54</v>
      </c>
      <c r="E2196">
        <v>2</v>
      </c>
      <c r="F2196" s="3">
        <v>3611.35</v>
      </c>
      <c r="G2196" s="4">
        <v>0.6</v>
      </c>
      <c r="H2196" s="3">
        <v>7222.7</v>
      </c>
      <c r="I2196" s="1">
        <v>45848</v>
      </c>
      <c r="J2196" t="s">
        <v>18</v>
      </c>
      <c r="K2196" t="s">
        <v>23</v>
      </c>
      <c r="L2196" s="3">
        <v>2889.08</v>
      </c>
      <c r="M2196" t="s">
        <v>11</v>
      </c>
    </row>
    <row r="2197" spans="1:13" x14ac:dyDescent="0.3">
      <c r="A2197">
        <v>3195</v>
      </c>
      <c r="B2197" t="s">
        <v>2218</v>
      </c>
      <c r="C2197" t="s">
        <v>20</v>
      </c>
      <c r="D2197" t="s">
        <v>88</v>
      </c>
      <c r="E2197">
        <v>2</v>
      </c>
      <c r="F2197" s="3">
        <v>958.16</v>
      </c>
      <c r="G2197" s="4">
        <v>0.6</v>
      </c>
      <c r="H2197" s="3">
        <v>1916.32</v>
      </c>
      <c r="I2197" s="1">
        <v>45302</v>
      </c>
      <c r="J2197" t="s">
        <v>15</v>
      </c>
      <c r="K2197" t="s">
        <v>16</v>
      </c>
      <c r="L2197" s="3">
        <v>766.52800000000002</v>
      </c>
      <c r="M2197" t="s">
        <v>11</v>
      </c>
    </row>
    <row r="2198" spans="1:13" x14ac:dyDescent="0.3">
      <c r="A2198">
        <v>3196</v>
      </c>
      <c r="B2198" t="s">
        <v>2219</v>
      </c>
      <c r="C2198" t="s">
        <v>38</v>
      </c>
      <c r="D2198" t="s">
        <v>63</v>
      </c>
      <c r="E2198">
        <v>2</v>
      </c>
      <c r="F2198" s="3">
        <v>4897.24</v>
      </c>
      <c r="G2198" s="4">
        <v>0.6</v>
      </c>
      <c r="H2198" s="3">
        <v>9794.48</v>
      </c>
      <c r="I2198" s="1">
        <v>45518</v>
      </c>
      <c r="J2198" t="s">
        <v>46</v>
      </c>
      <c r="K2198" t="s">
        <v>23</v>
      </c>
      <c r="L2198" s="3">
        <v>3917.7919999999999</v>
      </c>
      <c r="M2198" t="s">
        <v>11</v>
      </c>
    </row>
    <row r="2199" spans="1:13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F2199" s="3">
        <v>2462.79</v>
      </c>
      <c r="G2199" s="4">
        <v>1.1200000000000001</v>
      </c>
      <c r="H2199" s="3">
        <v>12313.95</v>
      </c>
      <c r="I2199" s="1">
        <v>45540</v>
      </c>
      <c r="J2199" t="s">
        <v>56</v>
      </c>
      <c r="K2199" t="s">
        <v>16</v>
      </c>
      <c r="L2199" s="3">
        <v>-1477.6740000000013</v>
      </c>
      <c r="M2199" t="s">
        <v>2518</v>
      </c>
    </row>
    <row r="2200" spans="1:13" x14ac:dyDescent="0.3">
      <c r="A2200">
        <v>3198</v>
      </c>
      <c r="B2200" t="s">
        <v>2221</v>
      </c>
      <c r="C2200" t="s">
        <v>20</v>
      </c>
      <c r="D2200" t="s">
        <v>21</v>
      </c>
      <c r="E2200">
        <v>2</v>
      </c>
      <c r="F2200" s="3">
        <v>2681.1743636363635</v>
      </c>
      <c r="G2200" s="4">
        <v>0.6</v>
      </c>
      <c r="H2200" s="3">
        <v>5362.348727272727</v>
      </c>
      <c r="I2200" s="1">
        <v>45748</v>
      </c>
      <c r="J2200" t="s">
        <v>46</v>
      </c>
      <c r="K2200" t="s">
        <v>16</v>
      </c>
      <c r="L2200" s="3">
        <v>2144.9394909090911</v>
      </c>
      <c r="M2200" t="s">
        <v>11</v>
      </c>
    </row>
    <row r="2201" spans="1:13" x14ac:dyDescent="0.3">
      <c r="A2201">
        <v>1003</v>
      </c>
      <c r="B2201" t="s">
        <v>2222</v>
      </c>
      <c r="C2201" t="s">
        <v>13</v>
      </c>
      <c r="D2201" t="s">
        <v>14</v>
      </c>
      <c r="E2201">
        <v>2</v>
      </c>
      <c r="F2201" s="3">
        <v>2381.2677586206896</v>
      </c>
      <c r="G2201" s="4">
        <v>0.6</v>
      </c>
      <c r="H2201" s="3">
        <v>4762.5355172413792</v>
      </c>
      <c r="I2201" s="1">
        <v>45396</v>
      </c>
      <c r="J2201" t="s">
        <v>22</v>
      </c>
      <c r="K2201" t="s">
        <v>16</v>
      </c>
      <c r="L2201" s="3">
        <v>1905.0142068965517</v>
      </c>
      <c r="M2201" t="s">
        <v>11</v>
      </c>
    </row>
    <row r="2202" spans="1:13" x14ac:dyDescent="0.3">
      <c r="A2202">
        <v>3200</v>
      </c>
      <c r="B2202" t="s">
        <v>2223</v>
      </c>
      <c r="C2202" t="s">
        <v>29</v>
      </c>
      <c r="D2202" t="s">
        <v>141</v>
      </c>
      <c r="E2202">
        <v>2</v>
      </c>
      <c r="F2202" s="3">
        <v>2462.79</v>
      </c>
      <c r="G2202" s="4">
        <v>0.6</v>
      </c>
      <c r="H2202" s="3">
        <v>4925.58</v>
      </c>
      <c r="I2202" s="1">
        <v>45522</v>
      </c>
      <c r="J2202" t="s">
        <v>22</v>
      </c>
      <c r="K2202" t="s">
        <v>23</v>
      </c>
      <c r="L2202" s="3">
        <v>1970.232</v>
      </c>
      <c r="M2202" t="s">
        <v>11</v>
      </c>
    </row>
    <row r="2203" spans="1:13" x14ac:dyDescent="0.3">
      <c r="A2203">
        <v>3201</v>
      </c>
      <c r="B2203" t="s">
        <v>2224</v>
      </c>
      <c r="C2203" t="s">
        <v>25</v>
      </c>
      <c r="D2203" t="s">
        <v>54</v>
      </c>
      <c r="E2203">
        <v>2</v>
      </c>
      <c r="F2203" s="3">
        <v>3494.89</v>
      </c>
      <c r="G2203" s="4">
        <v>0.6</v>
      </c>
      <c r="H2203" s="3">
        <v>6989.78</v>
      </c>
      <c r="I2203" s="1">
        <v>45546</v>
      </c>
      <c r="J2203" t="s">
        <v>56</v>
      </c>
      <c r="K2203" t="s">
        <v>16</v>
      </c>
      <c r="L2203" s="3">
        <v>2795.9120000000003</v>
      </c>
      <c r="M2203" t="s">
        <v>11</v>
      </c>
    </row>
    <row r="2204" spans="1:13" x14ac:dyDescent="0.3">
      <c r="A2204">
        <v>1006</v>
      </c>
      <c r="B2204" t="s">
        <v>2225</v>
      </c>
      <c r="C2204" t="s">
        <v>25</v>
      </c>
      <c r="D2204" t="s">
        <v>26</v>
      </c>
      <c r="E2204">
        <v>2</v>
      </c>
      <c r="F2204" s="3">
        <v>2520.44</v>
      </c>
      <c r="G2204" s="4">
        <v>0.15</v>
      </c>
      <c r="H2204" s="3">
        <v>5040.88</v>
      </c>
      <c r="I2204" s="1">
        <v>45698</v>
      </c>
      <c r="J2204" t="s">
        <v>40</v>
      </c>
      <c r="K2204" t="s">
        <v>16</v>
      </c>
      <c r="L2204" s="3">
        <v>4284.7479999999996</v>
      </c>
      <c r="M2204" t="s">
        <v>11</v>
      </c>
    </row>
    <row r="2205" spans="1:13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 s="3">
        <v>4883.5200000000004</v>
      </c>
      <c r="G2205" s="4">
        <v>0.6</v>
      </c>
      <c r="H2205" s="3">
        <v>-4883.5200000000004</v>
      </c>
      <c r="I2205" s="1">
        <v>45782</v>
      </c>
      <c r="J2205" t="s">
        <v>46</v>
      </c>
      <c r="K2205" t="s">
        <v>23</v>
      </c>
      <c r="L2205" s="3">
        <v>-1953.4080000000004</v>
      </c>
      <c r="M2205" t="s">
        <v>2518</v>
      </c>
    </row>
    <row r="2206" spans="1:13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 s="3">
        <v>781.13</v>
      </c>
      <c r="G2206" s="4">
        <v>0.6</v>
      </c>
      <c r="H2206" s="3">
        <v>0</v>
      </c>
      <c r="I2206" s="1">
        <v>45501</v>
      </c>
      <c r="J2206" t="s">
        <v>22</v>
      </c>
      <c r="K2206" t="s">
        <v>16</v>
      </c>
      <c r="L2206" s="3">
        <v>0</v>
      </c>
      <c r="M2206" t="s">
        <v>2518</v>
      </c>
    </row>
    <row r="2207" spans="1:13" x14ac:dyDescent="0.3">
      <c r="A2207">
        <v>3205</v>
      </c>
      <c r="B2207" t="s">
        <v>2228</v>
      </c>
      <c r="C2207" t="s">
        <v>25</v>
      </c>
      <c r="D2207" t="s">
        <v>54</v>
      </c>
      <c r="E2207">
        <v>2</v>
      </c>
      <c r="F2207" s="3">
        <v>2530.3836538461546</v>
      </c>
      <c r="G2207" s="4">
        <v>0.6</v>
      </c>
      <c r="H2207" s="3">
        <v>5060.7673076923093</v>
      </c>
      <c r="I2207" s="1">
        <v>45646</v>
      </c>
      <c r="J2207" t="s">
        <v>56</v>
      </c>
      <c r="K2207" t="s">
        <v>23</v>
      </c>
      <c r="L2207" s="3">
        <v>2024.3069230769238</v>
      </c>
      <c r="M2207" t="s">
        <v>11</v>
      </c>
    </row>
    <row r="2208" spans="1:13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F2208" s="3">
        <v>2868.7768181818178</v>
      </c>
      <c r="G2208" s="4">
        <v>0.54</v>
      </c>
      <c r="H2208" s="3">
        <v>-2868.7768181818178</v>
      </c>
      <c r="I2208" s="1">
        <v>45634</v>
      </c>
      <c r="J2208" t="s">
        <v>15</v>
      </c>
      <c r="K2208" t="s">
        <v>16</v>
      </c>
      <c r="L2208" s="3">
        <v>-1319.637336363636</v>
      </c>
      <c r="M2208" t="s">
        <v>2518</v>
      </c>
    </row>
    <row r="2209" spans="1:13" x14ac:dyDescent="0.3">
      <c r="A2209">
        <v>3207</v>
      </c>
      <c r="B2209" t="s">
        <v>2230</v>
      </c>
      <c r="C2209" t="s">
        <v>13</v>
      </c>
      <c r="D2209" t="s">
        <v>49</v>
      </c>
      <c r="E2209">
        <v>2</v>
      </c>
      <c r="F2209" s="3">
        <v>2785.0877966101693</v>
      </c>
      <c r="G2209" s="4">
        <v>0.6</v>
      </c>
      <c r="H2209" s="3">
        <v>5570.1755932203387</v>
      </c>
      <c r="I2209" s="1">
        <v>45782</v>
      </c>
      <c r="J2209" t="s">
        <v>18</v>
      </c>
      <c r="K2209" t="s">
        <v>16</v>
      </c>
      <c r="L2209" s="3">
        <v>2228.0702372881356</v>
      </c>
      <c r="M2209" t="s">
        <v>11</v>
      </c>
    </row>
    <row r="2210" spans="1:13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 s="3">
        <v>4280.7</v>
      </c>
      <c r="G2210" s="4">
        <v>0.6</v>
      </c>
      <c r="H2210" s="3">
        <v>17122.8</v>
      </c>
      <c r="I2210" s="1">
        <v>45554</v>
      </c>
      <c r="J2210" t="s">
        <v>46</v>
      </c>
      <c r="K2210" t="s">
        <v>23</v>
      </c>
      <c r="L2210" s="3">
        <v>6849.12</v>
      </c>
      <c r="M2210" t="s">
        <v>11</v>
      </c>
    </row>
    <row r="2211" spans="1:13" x14ac:dyDescent="0.3">
      <c r="A2211">
        <v>3209</v>
      </c>
      <c r="B2211" t="s">
        <v>2232</v>
      </c>
      <c r="C2211" t="s">
        <v>25</v>
      </c>
      <c r="D2211" t="s">
        <v>86</v>
      </c>
      <c r="E2211">
        <v>2</v>
      </c>
      <c r="F2211" s="3">
        <v>3221.55</v>
      </c>
      <c r="G2211" s="4">
        <v>0.6</v>
      </c>
      <c r="H2211" s="3">
        <v>6443.1</v>
      </c>
      <c r="I2211" s="1">
        <v>45279</v>
      </c>
      <c r="J2211" t="s">
        <v>18</v>
      </c>
      <c r="K2211" t="s">
        <v>23</v>
      </c>
      <c r="L2211" s="3">
        <v>2577.2400000000002</v>
      </c>
      <c r="M2211" t="s">
        <v>11</v>
      </c>
    </row>
    <row r="2212" spans="1:13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F2212" s="3">
        <v>2576.3056896551716</v>
      </c>
      <c r="G2212" s="4">
        <v>0.6</v>
      </c>
      <c r="H2212" s="3">
        <v>0</v>
      </c>
      <c r="I2212" s="1">
        <v>45676</v>
      </c>
      <c r="J2212" t="s">
        <v>22</v>
      </c>
      <c r="K2212" t="s">
        <v>23</v>
      </c>
      <c r="L2212" s="3">
        <v>0</v>
      </c>
      <c r="M2212" t="s">
        <v>2518</v>
      </c>
    </row>
    <row r="2213" spans="1:13" x14ac:dyDescent="0.3">
      <c r="A2213">
        <v>3211</v>
      </c>
      <c r="B2213" t="s">
        <v>2234</v>
      </c>
      <c r="C2213" t="s">
        <v>33</v>
      </c>
      <c r="D2213" t="s">
        <v>34</v>
      </c>
      <c r="E2213">
        <v>2</v>
      </c>
      <c r="F2213" s="3">
        <v>1624.28</v>
      </c>
      <c r="G2213" s="4">
        <v>1.29</v>
      </c>
      <c r="H2213" s="3">
        <v>3248.56</v>
      </c>
      <c r="I2213" s="1">
        <v>45697</v>
      </c>
      <c r="J2213" t="s">
        <v>40</v>
      </c>
      <c r="K2213" t="s">
        <v>23</v>
      </c>
      <c r="L2213" s="3">
        <v>-942.08240000000012</v>
      </c>
      <c r="M2213" t="s">
        <v>2518</v>
      </c>
    </row>
    <row r="2214" spans="1:13" x14ac:dyDescent="0.3">
      <c r="A2214">
        <v>3212</v>
      </c>
      <c r="B2214" t="s">
        <v>1935</v>
      </c>
      <c r="C2214" t="s">
        <v>20</v>
      </c>
      <c r="D2214" t="s">
        <v>21</v>
      </c>
      <c r="E2214">
        <v>2</v>
      </c>
      <c r="F2214" s="3">
        <v>4606.8500000000004</v>
      </c>
      <c r="G2214" s="4">
        <v>0.28000000000000003</v>
      </c>
      <c r="H2214" s="3">
        <v>9213.7000000000007</v>
      </c>
      <c r="I2214" s="1">
        <v>45530</v>
      </c>
      <c r="J2214" t="s">
        <v>18</v>
      </c>
      <c r="K2214" t="s">
        <v>16</v>
      </c>
      <c r="L2214" s="3">
        <v>6633.8640000000005</v>
      </c>
      <c r="M2214" t="s">
        <v>11</v>
      </c>
    </row>
    <row r="2215" spans="1:13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 s="3">
        <v>1213.25</v>
      </c>
      <c r="G2215" s="4">
        <v>1.1100000000000001</v>
      </c>
      <c r="H2215" s="3">
        <v>7279.5</v>
      </c>
      <c r="I2215" s="1">
        <v>45592</v>
      </c>
      <c r="J2215" t="s">
        <v>18</v>
      </c>
      <c r="K2215" t="s">
        <v>16</v>
      </c>
      <c r="L2215" s="3">
        <v>-800.74500000000069</v>
      </c>
      <c r="M2215" t="s">
        <v>2518</v>
      </c>
    </row>
    <row r="2216" spans="1:13" x14ac:dyDescent="0.3">
      <c r="A2216">
        <v>3214</v>
      </c>
      <c r="B2216" t="s">
        <v>1120</v>
      </c>
      <c r="C2216" t="s">
        <v>13</v>
      </c>
      <c r="D2216" t="s">
        <v>102</v>
      </c>
      <c r="E2216">
        <v>2</v>
      </c>
      <c r="F2216" s="3">
        <v>2576.3056896551716</v>
      </c>
      <c r="G2216" s="4">
        <v>0.6</v>
      </c>
      <c r="H2216" s="3">
        <v>5152.6113793103432</v>
      </c>
      <c r="I2216" s="1">
        <v>45774</v>
      </c>
      <c r="J2216" t="s">
        <v>22</v>
      </c>
      <c r="K2216" t="s">
        <v>16</v>
      </c>
      <c r="L2216" s="3">
        <v>2061.0445517241374</v>
      </c>
      <c r="M2216" t="s">
        <v>11</v>
      </c>
    </row>
    <row r="2217" spans="1:13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 s="3">
        <v>552.80999999999995</v>
      </c>
      <c r="G2217" s="4">
        <v>0.56999999999999995</v>
      </c>
      <c r="H2217" s="3">
        <v>552.80999999999995</v>
      </c>
      <c r="I2217" s="1">
        <v>45782</v>
      </c>
      <c r="J2217" t="s">
        <v>15</v>
      </c>
      <c r="K2217" t="s">
        <v>23</v>
      </c>
      <c r="L2217" s="3">
        <v>237.70830000000001</v>
      </c>
      <c r="M2217" t="s">
        <v>2518</v>
      </c>
    </row>
    <row r="2218" spans="1:13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F2218" s="3">
        <v>2530.3836538461546</v>
      </c>
      <c r="G2218" s="4">
        <v>7.0000000000000007E-2</v>
      </c>
      <c r="H2218" s="3">
        <v>0</v>
      </c>
      <c r="I2218" s="1">
        <v>45596</v>
      </c>
      <c r="J2218" t="s">
        <v>46</v>
      </c>
      <c r="K2218" t="s">
        <v>23</v>
      </c>
      <c r="L2218" s="3">
        <v>0</v>
      </c>
      <c r="M2218" t="s">
        <v>2518</v>
      </c>
    </row>
    <row r="2219" spans="1:13" x14ac:dyDescent="0.3">
      <c r="A2219">
        <v>3217</v>
      </c>
      <c r="B2219" t="s">
        <v>2238</v>
      </c>
      <c r="C2219" t="s">
        <v>38</v>
      </c>
      <c r="D2219" t="s">
        <v>63</v>
      </c>
      <c r="E2219">
        <v>2</v>
      </c>
      <c r="F2219" s="3">
        <v>1039.75</v>
      </c>
      <c r="G2219" s="4">
        <v>0.6</v>
      </c>
      <c r="H2219" s="3">
        <v>2079.5</v>
      </c>
      <c r="I2219" s="1">
        <v>45136</v>
      </c>
      <c r="J2219" t="s">
        <v>46</v>
      </c>
      <c r="K2219" t="s">
        <v>16</v>
      </c>
      <c r="L2219" s="3">
        <v>831.80000000000007</v>
      </c>
      <c r="M2219" t="s">
        <v>11</v>
      </c>
    </row>
    <row r="2220" spans="1:13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F2220" s="3">
        <v>2487.039615384615</v>
      </c>
      <c r="G2220" s="4">
        <v>0.16</v>
      </c>
      <c r="H2220" s="3">
        <v>0</v>
      </c>
      <c r="I2220" s="1">
        <v>45520</v>
      </c>
      <c r="J2220" t="s">
        <v>46</v>
      </c>
      <c r="K2220" t="s">
        <v>23</v>
      </c>
      <c r="L2220" s="3">
        <v>0</v>
      </c>
      <c r="M2220" t="s">
        <v>2518</v>
      </c>
    </row>
    <row r="2221" spans="1:13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F2221" s="3">
        <v>2501.5309999999999</v>
      </c>
      <c r="G2221" s="4">
        <v>0.6</v>
      </c>
      <c r="H2221" s="3">
        <v>12507.654999999999</v>
      </c>
      <c r="I2221" s="1">
        <v>45375</v>
      </c>
      <c r="J2221" t="s">
        <v>40</v>
      </c>
      <c r="K2221" t="s">
        <v>16</v>
      </c>
      <c r="L2221" s="3">
        <v>5003.0619999999999</v>
      </c>
      <c r="M2221" t="s">
        <v>11</v>
      </c>
    </row>
    <row r="2222" spans="1:13" x14ac:dyDescent="0.3">
      <c r="A2222">
        <v>1006</v>
      </c>
      <c r="B2222" t="s">
        <v>1592</v>
      </c>
      <c r="C2222" t="s">
        <v>13</v>
      </c>
      <c r="D2222" t="s">
        <v>102</v>
      </c>
      <c r="E2222">
        <v>2</v>
      </c>
      <c r="F2222" s="3">
        <v>732.96</v>
      </c>
      <c r="G2222" s="4">
        <v>0.21</v>
      </c>
      <c r="H2222" s="3">
        <v>1465.92</v>
      </c>
      <c r="I2222" s="1">
        <v>45782</v>
      </c>
      <c r="J2222" t="s">
        <v>56</v>
      </c>
      <c r="K2222" t="s">
        <v>23</v>
      </c>
      <c r="L2222" s="3">
        <v>1158.0768</v>
      </c>
      <c r="M2222" t="s">
        <v>11</v>
      </c>
    </row>
    <row r="2223" spans="1:13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F2223" s="3">
        <v>2617.6390384615388</v>
      </c>
      <c r="G2223" s="4">
        <v>0.6</v>
      </c>
      <c r="H2223" s="3">
        <v>-5235.2780769230776</v>
      </c>
      <c r="I2223" s="1">
        <v>45855</v>
      </c>
      <c r="J2223" t="s">
        <v>46</v>
      </c>
      <c r="K2223" t="s">
        <v>23</v>
      </c>
      <c r="L2223" s="3">
        <v>-2094.111230769231</v>
      </c>
      <c r="M2223" t="s">
        <v>2518</v>
      </c>
    </row>
    <row r="2224" spans="1:13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F2224" s="3">
        <v>2868.7768181818178</v>
      </c>
      <c r="G2224" s="4">
        <v>0.6</v>
      </c>
      <c r="H2224" s="3">
        <v>-5737.5536363636356</v>
      </c>
      <c r="I2224" s="1">
        <v>45703</v>
      </c>
      <c r="J2224" t="s">
        <v>46</v>
      </c>
      <c r="K2224" t="s">
        <v>23</v>
      </c>
      <c r="L2224" s="3">
        <v>-2295.0214545454542</v>
      </c>
      <c r="M2224" t="s">
        <v>2518</v>
      </c>
    </row>
    <row r="2225" spans="1:13" x14ac:dyDescent="0.3">
      <c r="A2225">
        <v>3223</v>
      </c>
      <c r="B2225" t="s">
        <v>2243</v>
      </c>
      <c r="C2225" t="s">
        <v>33</v>
      </c>
      <c r="D2225" t="s">
        <v>82</v>
      </c>
      <c r="E2225">
        <v>2</v>
      </c>
      <c r="F2225" s="3">
        <v>2776.2202000000002</v>
      </c>
      <c r="G2225" s="4">
        <v>0.6</v>
      </c>
      <c r="H2225" s="3">
        <v>5552.4404000000004</v>
      </c>
      <c r="I2225" s="1">
        <v>45356</v>
      </c>
      <c r="J2225" t="s">
        <v>22</v>
      </c>
      <c r="K2225" t="s">
        <v>16</v>
      </c>
      <c r="L2225" s="3">
        <v>2220.9761600000002</v>
      </c>
      <c r="M2225" t="s">
        <v>11</v>
      </c>
    </row>
    <row r="2226" spans="1:13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 s="3">
        <v>878.95</v>
      </c>
      <c r="G2226" s="4">
        <v>0.01</v>
      </c>
      <c r="H2226" s="3">
        <v>5273.7000000000007</v>
      </c>
      <c r="I2226" s="1">
        <v>45769</v>
      </c>
      <c r="J2226" t="s">
        <v>22</v>
      </c>
      <c r="K2226" t="s">
        <v>23</v>
      </c>
      <c r="L2226" s="3">
        <v>5220.9630000000006</v>
      </c>
      <c r="M2226" t="s">
        <v>11</v>
      </c>
    </row>
    <row r="2227" spans="1:13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F2227" s="3">
        <v>3008.3844444444444</v>
      </c>
      <c r="G2227" s="4">
        <v>0.6</v>
      </c>
      <c r="H2227" s="3">
        <v>18050.306666666667</v>
      </c>
      <c r="I2227" s="1">
        <v>45782</v>
      </c>
      <c r="J2227" t="s">
        <v>46</v>
      </c>
      <c r="K2227" t="s">
        <v>23</v>
      </c>
      <c r="L2227" s="3">
        <v>7220.1226666666671</v>
      </c>
      <c r="M2227" t="s">
        <v>11</v>
      </c>
    </row>
    <row r="2228" spans="1:13" x14ac:dyDescent="0.3">
      <c r="A2228">
        <v>3226</v>
      </c>
      <c r="B2228" t="s">
        <v>2246</v>
      </c>
      <c r="C2228" t="s">
        <v>38</v>
      </c>
      <c r="D2228" t="s">
        <v>63</v>
      </c>
      <c r="E2228">
        <v>2</v>
      </c>
      <c r="F2228" s="3">
        <v>2845.2419672131159</v>
      </c>
      <c r="G2228" s="4">
        <v>0.6</v>
      </c>
      <c r="H2228" s="3">
        <v>5690.4839344262318</v>
      </c>
      <c r="I2228" s="1">
        <v>45146</v>
      </c>
      <c r="J2228" t="s">
        <v>40</v>
      </c>
      <c r="K2228" t="s">
        <v>16</v>
      </c>
      <c r="L2228" s="3">
        <v>2276.193573770493</v>
      </c>
      <c r="M2228" t="s">
        <v>11</v>
      </c>
    </row>
    <row r="2229" spans="1:13" x14ac:dyDescent="0.3">
      <c r="A2229">
        <v>3227</v>
      </c>
      <c r="B2229" t="s">
        <v>2247</v>
      </c>
      <c r="C2229" t="s">
        <v>29</v>
      </c>
      <c r="D2229" t="s">
        <v>30</v>
      </c>
      <c r="E2229">
        <v>2</v>
      </c>
      <c r="F2229" s="3">
        <v>2617.6390384615388</v>
      </c>
      <c r="G2229" s="4">
        <v>0.6</v>
      </c>
      <c r="H2229" s="3">
        <v>5235.2780769230776</v>
      </c>
      <c r="I2229" s="1">
        <v>45505</v>
      </c>
      <c r="J2229" t="s">
        <v>22</v>
      </c>
      <c r="K2229" t="s">
        <v>16</v>
      </c>
      <c r="L2229" s="3">
        <v>2094.111230769231</v>
      </c>
      <c r="M2229" t="s">
        <v>11</v>
      </c>
    </row>
    <row r="2230" spans="1:13" x14ac:dyDescent="0.3">
      <c r="A2230">
        <v>3228</v>
      </c>
      <c r="B2230" t="s">
        <v>2248</v>
      </c>
      <c r="C2230" t="s">
        <v>33</v>
      </c>
      <c r="D2230" t="s">
        <v>82</v>
      </c>
      <c r="E2230">
        <v>2</v>
      </c>
      <c r="F2230" s="3">
        <v>2125.02</v>
      </c>
      <c r="G2230" s="4">
        <v>0.6</v>
      </c>
      <c r="H2230" s="3">
        <v>4250.04</v>
      </c>
      <c r="I2230" s="1">
        <v>45563</v>
      </c>
      <c r="J2230" t="s">
        <v>56</v>
      </c>
      <c r="K2230" t="s">
        <v>16</v>
      </c>
      <c r="L2230" s="3">
        <v>1700.0160000000001</v>
      </c>
      <c r="M2230" t="s">
        <v>11</v>
      </c>
    </row>
    <row r="2231" spans="1:13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F2231" s="3">
        <v>2462.79</v>
      </c>
      <c r="G2231" s="4">
        <v>0.6</v>
      </c>
      <c r="H2231" s="3">
        <v>-2462.79</v>
      </c>
      <c r="I2231" s="1">
        <v>45782</v>
      </c>
      <c r="J2231" t="s">
        <v>15</v>
      </c>
      <c r="K2231" t="s">
        <v>16</v>
      </c>
      <c r="L2231" s="3">
        <v>-985.11599999999999</v>
      </c>
      <c r="M2231" t="s">
        <v>2518</v>
      </c>
    </row>
    <row r="2232" spans="1:13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 s="3">
        <v>4694.3100000000004</v>
      </c>
      <c r="G2232" s="4">
        <v>0.09</v>
      </c>
      <c r="H2232" s="3">
        <v>14082.93</v>
      </c>
      <c r="I2232" s="1">
        <v>45782</v>
      </c>
      <c r="J2232" t="s">
        <v>40</v>
      </c>
      <c r="K2232" t="s">
        <v>23</v>
      </c>
      <c r="L2232" s="3">
        <v>12815.4663</v>
      </c>
      <c r="M2232" t="s">
        <v>11</v>
      </c>
    </row>
    <row r="2233" spans="1:13" x14ac:dyDescent="0.3">
      <c r="A2233">
        <v>3231</v>
      </c>
      <c r="B2233" t="s">
        <v>2251</v>
      </c>
      <c r="C2233" t="s">
        <v>25</v>
      </c>
      <c r="D2233" t="s">
        <v>26</v>
      </c>
      <c r="E2233">
        <v>2</v>
      </c>
      <c r="F2233" s="3">
        <v>2888.8714285714286</v>
      </c>
      <c r="G2233" s="4">
        <v>0.6</v>
      </c>
      <c r="H2233" s="3">
        <v>5777.7428571428572</v>
      </c>
      <c r="I2233" s="1">
        <v>45345</v>
      </c>
      <c r="J2233" t="s">
        <v>46</v>
      </c>
      <c r="K2233" t="s">
        <v>23</v>
      </c>
      <c r="L2233" s="3">
        <v>2311.0971428571429</v>
      </c>
      <c r="M2233" t="s">
        <v>11</v>
      </c>
    </row>
    <row r="2234" spans="1:13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F2234" s="3">
        <v>2681.1743636363635</v>
      </c>
      <c r="G2234" s="4">
        <v>0.3</v>
      </c>
      <c r="H2234" s="3">
        <v>-5362.348727272727</v>
      </c>
      <c r="I2234" s="1">
        <v>45626</v>
      </c>
      <c r="J2234" t="s">
        <v>40</v>
      </c>
      <c r="K2234" t="s">
        <v>23</v>
      </c>
      <c r="L2234" s="3">
        <v>-3753.6441090909088</v>
      </c>
      <c r="M2234" t="s">
        <v>2518</v>
      </c>
    </row>
    <row r="2235" spans="1:13" x14ac:dyDescent="0.3">
      <c r="A2235">
        <v>3233</v>
      </c>
      <c r="B2235" t="s">
        <v>2253</v>
      </c>
      <c r="C2235" t="s">
        <v>33</v>
      </c>
      <c r="D2235" t="s">
        <v>34</v>
      </c>
      <c r="E2235">
        <v>2</v>
      </c>
      <c r="F2235" s="3">
        <v>2654.66</v>
      </c>
      <c r="G2235" s="4">
        <v>0.6</v>
      </c>
      <c r="H2235" s="3">
        <v>5309.32</v>
      </c>
      <c r="I2235" s="1">
        <v>45491</v>
      </c>
      <c r="J2235" t="s">
        <v>40</v>
      </c>
      <c r="K2235" t="s">
        <v>23</v>
      </c>
      <c r="L2235" s="3">
        <v>2123.7280000000001</v>
      </c>
      <c r="M2235" t="s">
        <v>11</v>
      </c>
    </row>
    <row r="2236" spans="1:13" x14ac:dyDescent="0.3">
      <c r="A2236">
        <v>3234</v>
      </c>
      <c r="B2236" t="s">
        <v>2254</v>
      </c>
      <c r="C2236" t="s">
        <v>13</v>
      </c>
      <c r="D2236" t="s">
        <v>102</v>
      </c>
      <c r="E2236">
        <v>2</v>
      </c>
      <c r="F2236" s="3">
        <v>2068.3000000000002</v>
      </c>
      <c r="G2236" s="4">
        <v>0.6</v>
      </c>
      <c r="H2236" s="3">
        <v>4136.6000000000004</v>
      </c>
      <c r="I2236" s="1">
        <v>45623</v>
      </c>
      <c r="J2236" t="s">
        <v>56</v>
      </c>
      <c r="K2236" t="s">
        <v>23</v>
      </c>
      <c r="L2236" s="3">
        <v>1654.6400000000003</v>
      </c>
      <c r="M2236" t="s">
        <v>11</v>
      </c>
    </row>
    <row r="2237" spans="1:13" x14ac:dyDescent="0.3">
      <c r="A2237">
        <v>3235</v>
      </c>
      <c r="B2237" t="s">
        <v>2255</v>
      </c>
      <c r="C2237" t="s">
        <v>25</v>
      </c>
      <c r="D2237" t="s">
        <v>26</v>
      </c>
      <c r="E2237">
        <v>2</v>
      </c>
      <c r="F2237" s="3">
        <v>3466.1</v>
      </c>
      <c r="G2237" s="4">
        <v>0.6</v>
      </c>
      <c r="H2237" s="3">
        <v>6932.2</v>
      </c>
      <c r="I2237" s="1">
        <v>45804</v>
      </c>
      <c r="J2237" t="s">
        <v>40</v>
      </c>
      <c r="K2237" t="s">
        <v>23</v>
      </c>
      <c r="L2237" s="3">
        <v>2772.88</v>
      </c>
      <c r="M2237" t="s">
        <v>11</v>
      </c>
    </row>
    <row r="2238" spans="1:13" x14ac:dyDescent="0.3">
      <c r="A2238">
        <v>3236</v>
      </c>
      <c r="B2238" t="s">
        <v>2256</v>
      </c>
      <c r="C2238" t="s">
        <v>20</v>
      </c>
      <c r="D2238" t="s">
        <v>122</v>
      </c>
      <c r="E2238">
        <v>2</v>
      </c>
      <c r="F2238" s="3">
        <v>3253.51</v>
      </c>
      <c r="G2238" s="4">
        <v>0.55000000000000004</v>
      </c>
      <c r="H2238" s="3">
        <v>6507.02</v>
      </c>
      <c r="I2238" s="1">
        <v>45654</v>
      </c>
      <c r="J2238" t="s">
        <v>46</v>
      </c>
      <c r="K2238" t="s">
        <v>16</v>
      </c>
      <c r="L2238" s="3">
        <v>2928.1590000000001</v>
      </c>
      <c r="M2238" t="s">
        <v>11</v>
      </c>
    </row>
    <row r="2239" spans="1:13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F2239" s="3">
        <v>2681.1743636363635</v>
      </c>
      <c r="G2239" s="4">
        <v>0.6</v>
      </c>
      <c r="H2239" s="3">
        <v>8043.5230909090906</v>
      </c>
      <c r="I2239" s="1">
        <v>45562</v>
      </c>
      <c r="J2239" t="s">
        <v>18</v>
      </c>
      <c r="K2239" t="s">
        <v>23</v>
      </c>
      <c r="L2239" s="3">
        <v>3217.4092363636364</v>
      </c>
      <c r="M2239" t="s">
        <v>11</v>
      </c>
    </row>
    <row r="2240" spans="1:13" x14ac:dyDescent="0.3">
      <c r="A2240">
        <v>3238</v>
      </c>
      <c r="B2240" t="s">
        <v>2258</v>
      </c>
      <c r="C2240" t="s">
        <v>33</v>
      </c>
      <c r="D2240" t="s">
        <v>72</v>
      </c>
      <c r="E2240">
        <v>2</v>
      </c>
      <c r="F2240" s="3">
        <v>2715.5458490566025</v>
      </c>
      <c r="G2240" s="4">
        <v>0.87</v>
      </c>
      <c r="H2240" s="3">
        <v>5431.091698113205</v>
      </c>
      <c r="I2240" s="1">
        <v>45560</v>
      </c>
      <c r="J2240" t="s">
        <v>15</v>
      </c>
      <c r="K2240" t="s">
        <v>23</v>
      </c>
      <c r="L2240" s="3">
        <v>706.04192075471667</v>
      </c>
      <c r="M2240" t="s">
        <v>11</v>
      </c>
    </row>
    <row r="2241" spans="1:13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 s="3">
        <v>4585.71</v>
      </c>
      <c r="G2241" s="4">
        <v>0.6</v>
      </c>
      <c r="H2241" s="3">
        <v>4585.71</v>
      </c>
      <c r="I2241" s="1">
        <v>45795</v>
      </c>
      <c r="J2241" t="s">
        <v>18</v>
      </c>
      <c r="K2241" t="s">
        <v>23</v>
      </c>
      <c r="L2241" s="3">
        <v>1834.2840000000001</v>
      </c>
      <c r="M2241" t="s">
        <v>11</v>
      </c>
    </row>
    <row r="2242" spans="1:13" x14ac:dyDescent="0.3">
      <c r="A2242">
        <v>3240</v>
      </c>
      <c r="B2242" t="s">
        <v>2260</v>
      </c>
      <c r="C2242" t="s">
        <v>38</v>
      </c>
      <c r="D2242" t="s">
        <v>39</v>
      </c>
      <c r="E2242">
        <v>2</v>
      </c>
      <c r="F2242" s="3">
        <v>3008.3844444444444</v>
      </c>
      <c r="G2242" s="4">
        <v>0.6</v>
      </c>
      <c r="H2242" s="3">
        <v>6016.7688888888888</v>
      </c>
      <c r="I2242" s="1">
        <v>45575</v>
      </c>
      <c r="J2242" t="s">
        <v>40</v>
      </c>
      <c r="K2242" t="s">
        <v>23</v>
      </c>
      <c r="L2242" s="3">
        <v>2406.7075555555557</v>
      </c>
      <c r="M2242" t="s">
        <v>11</v>
      </c>
    </row>
    <row r="2243" spans="1:13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 s="3">
        <v>3186.11</v>
      </c>
      <c r="G2243" s="4">
        <v>0.74</v>
      </c>
      <c r="H2243" s="3">
        <v>0</v>
      </c>
      <c r="I2243" s="1">
        <v>45583</v>
      </c>
      <c r="J2243" t="s">
        <v>18</v>
      </c>
      <c r="K2243" t="s">
        <v>16</v>
      </c>
      <c r="L2243" s="3">
        <v>0</v>
      </c>
      <c r="M2243" t="s">
        <v>2518</v>
      </c>
    </row>
    <row r="2244" spans="1:13" x14ac:dyDescent="0.3">
      <c r="A2244">
        <v>3242</v>
      </c>
      <c r="B2244" t="s">
        <v>2262</v>
      </c>
      <c r="C2244" t="s">
        <v>25</v>
      </c>
      <c r="D2244" t="s">
        <v>26</v>
      </c>
      <c r="E2244">
        <v>2</v>
      </c>
      <c r="F2244" s="3">
        <v>2888.8714285714286</v>
      </c>
      <c r="G2244" s="4">
        <v>0.16</v>
      </c>
      <c r="H2244" s="3">
        <v>5777.7428571428572</v>
      </c>
      <c r="I2244" s="1">
        <v>45367</v>
      </c>
      <c r="J2244" t="s">
        <v>22</v>
      </c>
      <c r="K2244" t="s">
        <v>23</v>
      </c>
      <c r="L2244" s="3">
        <v>4853.3040000000001</v>
      </c>
      <c r="M2244" t="s">
        <v>11</v>
      </c>
    </row>
    <row r="2245" spans="1:13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F2245" s="3">
        <v>2868.7768181818178</v>
      </c>
      <c r="G2245" s="4">
        <v>0.87</v>
      </c>
      <c r="H2245" s="3">
        <v>11475.107272727271</v>
      </c>
      <c r="I2245" s="1">
        <v>45782</v>
      </c>
      <c r="J2245" t="s">
        <v>15</v>
      </c>
      <c r="K2245" t="s">
        <v>23</v>
      </c>
      <c r="L2245" s="3">
        <v>1491.7639454545454</v>
      </c>
      <c r="M2245" t="s">
        <v>11</v>
      </c>
    </row>
    <row r="2246" spans="1:13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F2246" s="3">
        <v>2830.1325714285731</v>
      </c>
      <c r="G2246" s="4">
        <v>0.47</v>
      </c>
      <c r="H2246" s="3">
        <v>-5660.2651428571462</v>
      </c>
      <c r="I2246" s="1">
        <v>45714</v>
      </c>
      <c r="J2246" t="s">
        <v>18</v>
      </c>
      <c r="K2246" t="s">
        <v>23</v>
      </c>
      <c r="L2246" s="3">
        <v>-2999.9405257142876</v>
      </c>
      <c r="M2246" t="s">
        <v>2518</v>
      </c>
    </row>
    <row r="2247" spans="1:13" x14ac:dyDescent="0.3">
      <c r="A2247">
        <v>3245</v>
      </c>
      <c r="B2247" t="s">
        <v>2265</v>
      </c>
      <c r="C2247" t="s">
        <v>25</v>
      </c>
      <c r="D2247" t="s">
        <v>54</v>
      </c>
      <c r="E2247">
        <v>2</v>
      </c>
      <c r="F2247" s="3">
        <v>2530.3836538461546</v>
      </c>
      <c r="G2247" s="4">
        <v>0.6</v>
      </c>
      <c r="H2247" s="3">
        <v>5060.7673076923093</v>
      </c>
      <c r="I2247" s="1">
        <v>45282</v>
      </c>
      <c r="J2247" t="s">
        <v>56</v>
      </c>
      <c r="K2247" t="s">
        <v>23</v>
      </c>
      <c r="L2247" s="3">
        <v>2024.3069230769238</v>
      </c>
      <c r="M2247" t="s">
        <v>11</v>
      </c>
    </row>
    <row r="2248" spans="1:13" x14ac:dyDescent="0.3">
      <c r="A2248">
        <v>3246</v>
      </c>
      <c r="B2248" t="s">
        <v>2266</v>
      </c>
      <c r="C2248" t="s">
        <v>13</v>
      </c>
      <c r="D2248" t="s">
        <v>36</v>
      </c>
      <c r="E2248">
        <v>2</v>
      </c>
      <c r="F2248" s="3">
        <v>4842.74</v>
      </c>
      <c r="G2248" s="4">
        <v>0.6</v>
      </c>
      <c r="H2248" s="3">
        <v>9685.48</v>
      </c>
      <c r="I2248" s="1">
        <v>45782</v>
      </c>
      <c r="J2248" t="s">
        <v>46</v>
      </c>
      <c r="K2248" t="s">
        <v>23</v>
      </c>
      <c r="L2248" s="3">
        <v>3874.192</v>
      </c>
      <c r="M2248" t="s">
        <v>11</v>
      </c>
    </row>
    <row r="2249" spans="1:13" x14ac:dyDescent="0.3">
      <c r="A2249">
        <v>3247</v>
      </c>
      <c r="B2249" t="s">
        <v>2267</v>
      </c>
      <c r="C2249" t="s">
        <v>38</v>
      </c>
      <c r="D2249" t="s">
        <v>39</v>
      </c>
      <c r="E2249">
        <v>2</v>
      </c>
      <c r="F2249" s="3">
        <v>3008.3844444444444</v>
      </c>
      <c r="G2249" s="4">
        <v>0.6</v>
      </c>
      <c r="H2249" s="3">
        <v>6016.7688888888888</v>
      </c>
      <c r="I2249" s="1">
        <v>45631</v>
      </c>
      <c r="J2249" t="s">
        <v>15</v>
      </c>
      <c r="K2249" t="s">
        <v>23</v>
      </c>
      <c r="L2249" s="3">
        <v>2406.7075555555557</v>
      </c>
      <c r="M2249" t="s">
        <v>11</v>
      </c>
    </row>
    <row r="2250" spans="1:13" x14ac:dyDescent="0.3">
      <c r="A2250">
        <v>3248</v>
      </c>
      <c r="B2250" t="s">
        <v>2268</v>
      </c>
      <c r="C2250" t="s">
        <v>38</v>
      </c>
      <c r="D2250" t="s">
        <v>39</v>
      </c>
      <c r="E2250">
        <v>2</v>
      </c>
      <c r="F2250" s="3">
        <v>2061.91</v>
      </c>
      <c r="G2250" s="4">
        <v>0.6</v>
      </c>
      <c r="H2250" s="3">
        <v>4123.82</v>
      </c>
      <c r="I2250" s="1">
        <v>45800</v>
      </c>
      <c r="J2250" t="s">
        <v>18</v>
      </c>
      <c r="K2250" t="s">
        <v>23</v>
      </c>
      <c r="L2250" s="3">
        <v>1649.528</v>
      </c>
      <c r="M2250" t="s">
        <v>11</v>
      </c>
    </row>
    <row r="2251" spans="1:13" x14ac:dyDescent="0.3">
      <c r="A2251">
        <v>3249</v>
      </c>
      <c r="B2251" t="s">
        <v>2269</v>
      </c>
      <c r="C2251" t="s">
        <v>33</v>
      </c>
      <c r="D2251" t="s">
        <v>34</v>
      </c>
      <c r="E2251">
        <v>2</v>
      </c>
      <c r="F2251" s="3">
        <v>2487.039615384615</v>
      </c>
      <c r="G2251" s="4">
        <v>0.6</v>
      </c>
      <c r="H2251" s="3">
        <v>4974.07923076923</v>
      </c>
      <c r="I2251" s="1">
        <v>45782</v>
      </c>
      <c r="J2251" t="s">
        <v>15</v>
      </c>
      <c r="K2251" t="s">
        <v>23</v>
      </c>
      <c r="L2251" s="3">
        <v>1989.631692307692</v>
      </c>
      <c r="M2251" t="s">
        <v>11</v>
      </c>
    </row>
    <row r="2252" spans="1:13" x14ac:dyDescent="0.3">
      <c r="A2252">
        <v>3250</v>
      </c>
      <c r="B2252" t="s">
        <v>2270</v>
      </c>
      <c r="C2252" t="s">
        <v>33</v>
      </c>
      <c r="D2252" t="s">
        <v>34</v>
      </c>
      <c r="E2252">
        <v>2</v>
      </c>
      <c r="F2252" s="3">
        <v>2487.039615384615</v>
      </c>
      <c r="G2252" s="4">
        <v>0.6</v>
      </c>
      <c r="H2252" s="3">
        <v>4974.07923076923</v>
      </c>
      <c r="I2252" s="1">
        <v>45782</v>
      </c>
      <c r="J2252" t="s">
        <v>40</v>
      </c>
      <c r="K2252" t="s">
        <v>23</v>
      </c>
      <c r="L2252" s="3">
        <v>1989.631692307692</v>
      </c>
      <c r="M2252" t="s">
        <v>11</v>
      </c>
    </row>
    <row r="2253" spans="1:13" x14ac:dyDescent="0.3">
      <c r="A2253">
        <v>3251</v>
      </c>
      <c r="B2253" t="s">
        <v>2271</v>
      </c>
      <c r="C2253" t="s">
        <v>38</v>
      </c>
      <c r="D2253" t="s">
        <v>59</v>
      </c>
      <c r="E2253">
        <v>2</v>
      </c>
      <c r="F2253" s="3">
        <v>2804.2651923076919</v>
      </c>
      <c r="G2253" s="4">
        <v>0.6</v>
      </c>
      <c r="H2253" s="3">
        <v>5608.5303846153838</v>
      </c>
      <c r="I2253" s="1">
        <v>45672</v>
      </c>
      <c r="J2253" t="s">
        <v>15</v>
      </c>
      <c r="K2253" t="s">
        <v>16</v>
      </c>
      <c r="L2253" s="3">
        <v>2243.4121538461536</v>
      </c>
      <c r="M2253" t="s">
        <v>11</v>
      </c>
    </row>
    <row r="2254" spans="1:13" x14ac:dyDescent="0.3">
      <c r="A2254">
        <v>3252</v>
      </c>
      <c r="B2254" t="s">
        <v>2272</v>
      </c>
      <c r="C2254" t="s">
        <v>25</v>
      </c>
      <c r="D2254" t="s">
        <v>66</v>
      </c>
      <c r="E2254">
        <v>2</v>
      </c>
      <c r="F2254" s="3">
        <v>2572.7764000000006</v>
      </c>
      <c r="G2254" s="4">
        <v>0.6</v>
      </c>
      <c r="H2254" s="3">
        <v>5145.5528000000013</v>
      </c>
      <c r="I2254" s="1">
        <v>45700</v>
      </c>
      <c r="J2254" t="s">
        <v>18</v>
      </c>
      <c r="K2254" t="s">
        <v>23</v>
      </c>
      <c r="L2254" s="3">
        <v>2058.2211200000006</v>
      </c>
      <c r="M2254" t="s">
        <v>11</v>
      </c>
    </row>
    <row r="2255" spans="1:13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 s="3">
        <v>4429.95</v>
      </c>
      <c r="G2255" s="4">
        <v>0.35</v>
      </c>
      <c r="H2255" s="3">
        <v>22149.75</v>
      </c>
      <c r="I2255" s="1">
        <v>45727</v>
      </c>
      <c r="J2255" t="s">
        <v>56</v>
      </c>
      <c r="K2255" t="s">
        <v>23</v>
      </c>
      <c r="L2255" s="3">
        <v>14397.3375</v>
      </c>
      <c r="M2255" t="s">
        <v>11</v>
      </c>
    </row>
    <row r="2256" spans="1:13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F2256" s="3">
        <v>2483.5844000000002</v>
      </c>
      <c r="G2256" s="4">
        <v>1.02</v>
      </c>
      <c r="H2256" s="3">
        <v>-4967.1688000000004</v>
      </c>
      <c r="I2256" s="1">
        <v>45815</v>
      </c>
      <c r="J2256" t="s">
        <v>46</v>
      </c>
      <c r="K2256" t="s">
        <v>16</v>
      </c>
      <c r="L2256" s="3">
        <v>99.343376000000092</v>
      </c>
      <c r="M2256" t="s">
        <v>2518</v>
      </c>
    </row>
    <row r="2257" spans="1:13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 s="3">
        <v>3904.86</v>
      </c>
      <c r="G2257" s="4">
        <v>0.6</v>
      </c>
      <c r="H2257" s="3">
        <v>23429.16</v>
      </c>
      <c r="I2257" s="1">
        <v>45630</v>
      </c>
      <c r="J2257" t="s">
        <v>22</v>
      </c>
      <c r="K2257" t="s">
        <v>16</v>
      </c>
      <c r="L2257" s="3">
        <v>9371.6640000000007</v>
      </c>
      <c r="M2257" t="s">
        <v>11</v>
      </c>
    </row>
    <row r="2258" spans="1:13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F2258" s="3">
        <v>2487.039615384615</v>
      </c>
      <c r="G2258" s="4">
        <v>0.6</v>
      </c>
      <c r="H2258" s="3">
        <v>4974.07923076923</v>
      </c>
      <c r="I2258" s="1">
        <v>45860</v>
      </c>
      <c r="J2258" t="s">
        <v>22</v>
      </c>
      <c r="K2258" t="s">
        <v>23</v>
      </c>
      <c r="L2258" s="3">
        <v>1989.631692307692</v>
      </c>
      <c r="M2258" t="s">
        <v>11</v>
      </c>
    </row>
    <row r="2259" spans="1:13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F2259" s="3">
        <v>2776.2202000000002</v>
      </c>
      <c r="G2259" s="4">
        <v>0.6</v>
      </c>
      <c r="H2259" s="3">
        <v>-5552.4404000000004</v>
      </c>
      <c r="I2259" s="1">
        <v>45734</v>
      </c>
      <c r="J2259" t="s">
        <v>56</v>
      </c>
      <c r="K2259" t="s">
        <v>23</v>
      </c>
      <c r="L2259" s="3">
        <v>-2220.9761600000002</v>
      </c>
      <c r="M2259" t="s">
        <v>2518</v>
      </c>
    </row>
    <row r="2260" spans="1:13" x14ac:dyDescent="0.3">
      <c r="A2260">
        <v>3258</v>
      </c>
      <c r="B2260" t="s">
        <v>2277</v>
      </c>
      <c r="C2260" t="s">
        <v>25</v>
      </c>
      <c r="D2260" t="s">
        <v>26</v>
      </c>
      <c r="E2260">
        <v>2</v>
      </c>
      <c r="F2260" s="3">
        <v>2888.8714285714286</v>
      </c>
      <c r="G2260" s="4">
        <v>0.6</v>
      </c>
      <c r="H2260" s="3">
        <v>5777.7428571428572</v>
      </c>
      <c r="I2260" s="1">
        <v>45722</v>
      </c>
      <c r="J2260" t="s">
        <v>18</v>
      </c>
      <c r="K2260" t="s">
        <v>23</v>
      </c>
      <c r="L2260" s="3">
        <v>2311.0971428571429</v>
      </c>
      <c r="M2260" t="s">
        <v>11</v>
      </c>
    </row>
    <row r="2261" spans="1:13" x14ac:dyDescent="0.3">
      <c r="A2261">
        <v>3259</v>
      </c>
      <c r="B2261" t="s">
        <v>2278</v>
      </c>
      <c r="C2261" t="s">
        <v>25</v>
      </c>
      <c r="D2261" t="s">
        <v>86</v>
      </c>
      <c r="E2261">
        <v>2</v>
      </c>
      <c r="F2261" s="3">
        <v>2501.5309999999999</v>
      </c>
      <c r="G2261" s="4">
        <v>0.6</v>
      </c>
      <c r="H2261" s="3">
        <v>5003.0619999999999</v>
      </c>
      <c r="I2261" s="1">
        <v>45766</v>
      </c>
      <c r="J2261" t="s">
        <v>22</v>
      </c>
      <c r="K2261" t="s">
        <v>23</v>
      </c>
      <c r="L2261" s="3">
        <v>2001.2248</v>
      </c>
      <c r="M2261" t="s">
        <v>11</v>
      </c>
    </row>
    <row r="2262" spans="1:13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 s="3">
        <v>940.64</v>
      </c>
      <c r="G2262" s="4">
        <v>0.67</v>
      </c>
      <c r="H2262" s="3">
        <v>-1881.28</v>
      </c>
      <c r="I2262" s="1">
        <v>45667</v>
      </c>
      <c r="J2262" t="s">
        <v>22</v>
      </c>
      <c r="K2262" t="s">
        <v>16</v>
      </c>
      <c r="L2262" s="3">
        <v>-620.8223999999999</v>
      </c>
      <c r="M2262" t="s">
        <v>2518</v>
      </c>
    </row>
    <row r="2263" spans="1:13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F2263" s="3">
        <v>2725.8557142857148</v>
      </c>
      <c r="G2263" s="4">
        <v>0.6</v>
      </c>
      <c r="H2263" s="3">
        <v>-2725.8557142857148</v>
      </c>
      <c r="I2263" s="1">
        <v>45789</v>
      </c>
      <c r="J2263" t="s">
        <v>46</v>
      </c>
      <c r="K2263" t="s">
        <v>16</v>
      </c>
      <c r="L2263" s="3">
        <v>-1090.3422857142859</v>
      </c>
      <c r="M2263" t="s">
        <v>2518</v>
      </c>
    </row>
    <row r="2264" spans="1:13" x14ac:dyDescent="0.3">
      <c r="A2264">
        <v>3262</v>
      </c>
      <c r="B2264" t="s">
        <v>2281</v>
      </c>
      <c r="C2264" t="s">
        <v>29</v>
      </c>
      <c r="D2264" t="s">
        <v>141</v>
      </c>
      <c r="E2264">
        <v>2</v>
      </c>
      <c r="F2264" s="3">
        <v>3727.53</v>
      </c>
      <c r="G2264" s="4">
        <v>0.6</v>
      </c>
      <c r="H2264" s="3">
        <v>7455.06</v>
      </c>
      <c r="I2264" s="1">
        <v>45782</v>
      </c>
      <c r="J2264" t="s">
        <v>18</v>
      </c>
      <c r="K2264" t="s">
        <v>23</v>
      </c>
      <c r="L2264" s="3">
        <v>2982.0240000000003</v>
      </c>
      <c r="M2264" t="s">
        <v>11</v>
      </c>
    </row>
    <row r="2265" spans="1:13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 s="3">
        <v>3121.49</v>
      </c>
      <c r="G2265" s="4">
        <v>0.6</v>
      </c>
      <c r="H2265" s="3">
        <v>18728.939999999999</v>
      </c>
      <c r="I2265" s="1">
        <v>45678</v>
      </c>
      <c r="J2265" t="s">
        <v>40</v>
      </c>
      <c r="K2265" t="s">
        <v>23</v>
      </c>
      <c r="L2265" s="3">
        <v>7491.576</v>
      </c>
      <c r="M2265" t="s">
        <v>11</v>
      </c>
    </row>
    <row r="2266" spans="1:13" x14ac:dyDescent="0.3">
      <c r="A2266">
        <v>3264</v>
      </c>
      <c r="B2266" t="s">
        <v>2283</v>
      </c>
      <c r="C2266" t="s">
        <v>38</v>
      </c>
      <c r="D2266" t="s">
        <v>63</v>
      </c>
      <c r="E2266">
        <v>2</v>
      </c>
      <c r="F2266" s="3">
        <v>944.36</v>
      </c>
      <c r="G2266" s="4">
        <v>7.0000000000000007E-2</v>
      </c>
      <c r="H2266" s="3">
        <v>1888.72</v>
      </c>
      <c r="I2266" s="1">
        <v>45831</v>
      </c>
      <c r="J2266" t="s">
        <v>56</v>
      </c>
      <c r="K2266" t="s">
        <v>23</v>
      </c>
      <c r="L2266" s="3">
        <v>1756.5095999999999</v>
      </c>
      <c r="M2266" t="s">
        <v>11</v>
      </c>
    </row>
    <row r="2267" spans="1:13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 s="3">
        <v>1882.93</v>
      </c>
      <c r="G2267" s="4">
        <v>0.6</v>
      </c>
      <c r="H2267" s="3">
        <v>-1882.93</v>
      </c>
      <c r="I2267" s="1">
        <v>45835</v>
      </c>
      <c r="J2267" t="s">
        <v>40</v>
      </c>
      <c r="K2267" t="s">
        <v>23</v>
      </c>
      <c r="L2267" s="3">
        <v>-753.17200000000003</v>
      </c>
      <c r="M2267" t="s">
        <v>2518</v>
      </c>
    </row>
    <row r="2268" spans="1:13" x14ac:dyDescent="0.3">
      <c r="A2268">
        <v>3266</v>
      </c>
      <c r="B2268" t="s">
        <v>2285</v>
      </c>
      <c r="C2268" t="s">
        <v>33</v>
      </c>
      <c r="D2268" t="s">
        <v>72</v>
      </c>
      <c r="E2268">
        <v>2</v>
      </c>
      <c r="F2268" s="3">
        <v>3349.58</v>
      </c>
      <c r="G2268" s="4">
        <v>0.6</v>
      </c>
      <c r="H2268" s="3">
        <v>6699.16</v>
      </c>
      <c r="I2268" s="1">
        <v>45782</v>
      </c>
      <c r="J2268" t="s">
        <v>22</v>
      </c>
      <c r="K2268" t="s">
        <v>23</v>
      </c>
      <c r="L2268" s="3">
        <v>2679.6640000000002</v>
      </c>
      <c r="M2268" t="s">
        <v>11</v>
      </c>
    </row>
    <row r="2269" spans="1:13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 s="3">
        <v>3965.8</v>
      </c>
      <c r="G2269" s="4">
        <v>0.48</v>
      </c>
      <c r="H2269" s="3">
        <v>3965.8</v>
      </c>
      <c r="I2269" s="1">
        <v>45587</v>
      </c>
      <c r="J2269" t="s">
        <v>40</v>
      </c>
      <c r="K2269" t="s">
        <v>23</v>
      </c>
      <c r="L2269" s="3">
        <v>2062.2160000000003</v>
      </c>
      <c r="M2269" t="s">
        <v>11</v>
      </c>
    </row>
    <row r="2270" spans="1:13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F2270" s="3">
        <v>2559.6667307692314</v>
      </c>
      <c r="G2270" s="4">
        <v>0.6</v>
      </c>
      <c r="H2270" s="3">
        <v>-5119.3334615384629</v>
      </c>
      <c r="I2270" s="1">
        <v>45347</v>
      </c>
      <c r="J2270" t="s">
        <v>46</v>
      </c>
      <c r="K2270" t="s">
        <v>16</v>
      </c>
      <c r="L2270" s="3">
        <v>-2047.7333846153851</v>
      </c>
      <c r="M2270" t="s">
        <v>2518</v>
      </c>
    </row>
    <row r="2271" spans="1:13" x14ac:dyDescent="0.3">
      <c r="A2271">
        <v>3269</v>
      </c>
      <c r="B2271" t="s">
        <v>2288</v>
      </c>
      <c r="C2271" t="s">
        <v>33</v>
      </c>
      <c r="D2271" t="s">
        <v>34</v>
      </c>
      <c r="E2271">
        <v>2</v>
      </c>
      <c r="F2271" s="3">
        <v>2998.25</v>
      </c>
      <c r="G2271" s="4">
        <v>1.19</v>
      </c>
      <c r="H2271" s="3">
        <v>5996.5</v>
      </c>
      <c r="I2271" s="1">
        <v>45380</v>
      </c>
      <c r="J2271" t="s">
        <v>18</v>
      </c>
      <c r="K2271" t="s">
        <v>23</v>
      </c>
      <c r="L2271" s="3">
        <v>-1139.3349999999996</v>
      </c>
      <c r="M2271" t="s">
        <v>2518</v>
      </c>
    </row>
    <row r="2272" spans="1:13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 s="3">
        <v>3190.74</v>
      </c>
      <c r="G2272" s="4">
        <v>0.96</v>
      </c>
      <c r="H2272" s="3">
        <v>9572.2199999999993</v>
      </c>
      <c r="I2272" s="1">
        <v>45782</v>
      </c>
      <c r="J2272" t="s">
        <v>18</v>
      </c>
      <c r="K2272" t="s">
        <v>23</v>
      </c>
      <c r="L2272" s="3">
        <v>382.88880000000029</v>
      </c>
      <c r="M2272" t="s">
        <v>2518</v>
      </c>
    </row>
    <row r="2273" spans="1:13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 s="3">
        <v>2672.26</v>
      </c>
      <c r="G2273" s="4">
        <v>0.28999999999999998</v>
      </c>
      <c r="H2273" s="3">
        <v>0</v>
      </c>
      <c r="I2273" s="1">
        <v>45662</v>
      </c>
      <c r="J2273" t="s">
        <v>18</v>
      </c>
      <c r="K2273" t="s">
        <v>16</v>
      </c>
      <c r="L2273" s="3">
        <v>0</v>
      </c>
      <c r="M2273" t="s">
        <v>2518</v>
      </c>
    </row>
    <row r="2274" spans="1:13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 s="3">
        <v>4236.45</v>
      </c>
      <c r="G2274" s="4">
        <v>0.6</v>
      </c>
      <c r="H2274" s="3">
        <v>12709.349999999999</v>
      </c>
      <c r="I2274" s="1">
        <v>45531</v>
      </c>
      <c r="J2274" t="s">
        <v>22</v>
      </c>
      <c r="K2274" t="s">
        <v>16</v>
      </c>
      <c r="L2274" s="3">
        <v>5083.74</v>
      </c>
      <c r="M2274" t="s">
        <v>11</v>
      </c>
    </row>
    <row r="2275" spans="1:13" x14ac:dyDescent="0.3">
      <c r="A2275">
        <v>3273</v>
      </c>
      <c r="B2275" t="s">
        <v>1301</v>
      </c>
      <c r="C2275" t="s">
        <v>25</v>
      </c>
      <c r="D2275" t="s">
        <v>86</v>
      </c>
      <c r="E2275">
        <v>2</v>
      </c>
      <c r="F2275" s="3">
        <v>4089.68</v>
      </c>
      <c r="G2275" s="4">
        <v>0.6</v>
      </c>
      <c r="H2275" s="3">
        <v>8179.36</v>
      </c>
      <c r="I2275" s="1">
        <v>45516</v>
      </c>
      <c r="J2275" t="s">
        <v>40</v>
      </c>
      <c r="K2275" t="s">
        <v>23</v>
      </c>
      <c r="L2275" s="3">
        <v>3271.7440000000001</v>
      </c>
      <c r="M2275" t="s">
        <v>11</v>
      </c>
    </row>
    <row r="2276" spans="1:13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 s="3">
        <v>4409.22</v>
      </c>
      <c r="G2276" s="4">
        <v>0.6</v>
      </c>
      <c r="H2276" s="3">
        <v>-8818.44</v>
      </c>
      <c r="I2276" s="1">
        <v>45534</v>
      </c>
      <c r="J2276" t="s">
        <v>15</v>
      </c>
      <c r="K2276" t="s">
        <v>16</v>
      </c>
      <c r="L2276" s="3">
        <v>-3527.3760000000002</v>
      </c>
      <c r="M2276" t="s">
        <v>2518</v>
      </c>
    </row>
    <row r="2277" spans="1:13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F2277" s="3">
        <v>2830.1325714285731</v>
      </c>
      <c r="G2277" s="4">
        <v>0.6</v>
      </c>
      <c r="H2277" s="3">
        <v>16980.795428571437</v>
      </c>
      <c r="I2277" s="1">
        <v>45520</v>
      </c>
      <c r="J2277" t="s">
        <v>18</v>
      </c>
      <c r="K2277" t="s">
        <v>16</v>
      </c>
      <c r="L2277" s="3">
        <v>6792.3181714285747</v>
      </c>
      <c r="M2277" t="s">
        <v>11</v>
      </c>
    </row>
    <row r="2278" spans="1:13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F2278" s="3">
        <v>2841.7630612244907</v>
      </c>
      <c r="G2278" s="4">
        <v>0.6</v>
      </c>
      <c r="H2278" s="3">
        <v>17050.578367346945</v>
      </c>
      <c r="I2278" s="1">
        <v>45664</v>
      </c>
      <c r="J2278" t="s">
        <v>46</v>
      </c>
      <c r="K2278" t="s">
        <v>16</v>
      </c>
      <c r="L2278" s="3">
        <v>6820.2313469387782</v>
      </c>
      <c r="M2278" t="s">
        <v>11</v>
      </c>
    </row>
    <row r="2279" spans="1:13" x14ac:dyDescent="0.3">
      <c r="A2279">
        <v>3277</v>
      </c>
      <c r="B2279" t="s">
        <v>2294</v>
      </c>
      <c r="C2279" t="s">
        <v>20</v>
      </c>
      <c r="D2279" t="s">
        <v>88</v>
      </c>
      <c r="E2279">
        <v>2</v>
      </c>
      <c r="F2279" s="3">
        <v>3583.06</v>
      </c>
      <c r="G2279" s="4">
        <v>0.6</v>
      </c>
      <c r="H2279" s="3">
        <v>7166.12</v>
      </c>
      <c r="I2279" s="1">
        <v>45782</v>
      </c>
      <c r="J2279" t="s">
        <v>18</v>
      </c>
      <c r="K2279" t="s">
        <v>16</v>
      </c>
      <c r="L2279" s="3">
        <v>2866.4480000000003</v>
      </c>
      <c r="M2279" t="s">
        <v>11</v>
      </c>
    </row>
    <row r="2280" spans="1:13" x14ac:dyDescent="0.3">
      <c r="A2280">
        <v>3278</v>
      </c>
      <c r="B2280" t="s">
        <v>2295</v>
      </c>
      <c r="C2280" t="s">
        <v>29</v>
      </c>
      <c r="D2280" t="s">
        <v>30</v>
      </c>
      <c r="E2280">
        <v>2</v>
      </c>
      <c r="F2280" s="3">
        <v>3767.69</v>
      </c>
      <c r="G2280" s="4">
        <v>0.46</v>
      </c>
      <c r="H2280" s="3">
        <v>7535.38</v>
      </c>
      <c r="I2280" s="1">
        <v>45556</v>
      </c>
      <c r="J2280" t="s">
        <v>40</v>
      </c>
      <c r="K2280" t="s">
        <v>16</v>
      </c>
      <c r="L2280" s="3">
        <v>4069.1052000000004</v>
      </c>
      <c r="M2280" t="s">
        <v>11</v>
      </c>
    </row>
    <row r="2281" spans="1:13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 s="3">
        <v>4643.96</v>
      </c>
      <c r="G2281" s="4">
        <v>0.82</v>
      </c>
      <c r="H2281" s="3">
        <v>0</v>
      </c>
      <c r="I2281" s="1">
        <v>45553</v>
      </c>
      <c r="J2281" t="s">
        <v>40</v>
      </c>
      <c r="K2281" t="s">
        <v>16</v>
      </c>
      <c r="L2281" s="3">
        <v>0</v>
      </c>
      <c r="M2281" t="s">
        <v>2518</v>
      </c>
    </row>
    <row r="2282" spans="1:13" x14ac:dyDescent="0.3">
      <c r="A2282">
        <v>3280</v>
      </c>
      <c r="B2282" t="s">
        <v>2297</v>
      </c>
      <c r="C2282" t="s">
        <v>38</v>
      </c>
      <c r="D2282" t="s">
        <v>63</v>
      </c>
      <c r="E2282">
        <v>2</v>
      </c>
      <c r="F2282" s="3">
        <v>2845.2419672131159</v>
      </c>
      <c r="G2282" s="4">
        <v>0.6</v>
      </c>
      <c r="H2282" s="3">
        <v>5690.4839344262318</v>
      </c>
      <c r="I2282" s="1">
        <v>45211</v>
      </c>
      <c r="J2282" t="s">
        <v>56</v>
      </c>
      <c r="K2282" t="s">
        <v>23</v>
      </c>
      <c r="L2282" s="3">
        <v>2276.193573770493</v>
      </c>
      <c r="M2282" t="s">
        <v>11</v>
      </c>
    </row>
    <row r="2283" spans="1:13" x14ac:dyDescent="0.3">
      <c r="A2283">
        <v>3281</v>
      </c>
      <c r="B2283" t="s">
        <v>2298</v>
      </c>
      <c r="C2283" t="s">
        <v>20</v>
      </c>
      <c r="D2283" t="s">
        <v>80</v>
      </c>
      <c r="E2283">
        <v>2</v>
      </c>
      <c r="F2283" s="3">
        <v>2483.5844000000002</v>
      </c>
      <c r="G2283" s="4">
        <v>0.23</v>
      </c>
      <c r="H2283" s="3">
        <v>4967.1688000000004</v>
      </c>
      <c r="I2283" s="1">
        <v>45387</v>
      </c>
      <c r="J2283" t="s">
        <v>40</v>
      </c>
      <c r="K2283" t="s">
        <v>23</v>
      </c>
      <c r="L2283" s="3">
        <v>3824.7199760000003</v>
      </c>
      <c r="M2283" t="s">
        <v>11</v>
      </c>
    </row>
    <row r="2284" spans="1:13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 s="3">
        <v>4405.96</v>
      </c>
      <c r="G2284" s="4">
        <v>0.28000000000000003</v>
      </c>
      <c r="H2284" s="3">
        <v>8811.92</v>
      </c>
      <c r="I2284" s="1">
        <v>45528</v>
      </c>
      <c r="J2284" t="s">
        <v>40</v>
      </c>
      <c r="K2284" t="s">
        <v>23</v>
      </c>
      <c r="L2284" s="3">
        <v>6344.5824000000002</v>
      </c>
      <c r="M2284" t="s">
        <v>11</v>
      </c>
    </row>
    <row r="2285" spans="1:13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F2285" s="3">
        <v>3008.3844444444444</v>
      </c>
      <c r="G2285" s="4">
        <v>0.6</v>
      </c>
      <c r="H2285" s="3">
        <v>9025.1533333333336</v>
      </c>
      <c r="I2285" s="1">
        <v>45782</v>
      </c>
      <c r="J2285" t="s">
        <v>22</v>
      </c>
      <c r="K2285" t="s">
        <v>16</v>
      </c>
      <c r="L2285" s="3">
        <v>3610.0613333333336</v>
      </c>
      <c r="M2285" t="s">
        <v>11</v>
      </c>
    </row>
    <row r="2286" spans="1:13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F2286" s="3">
        <v>2559.6667307692314</v>
      </c>
      <c r="G2286" s="4">
        <v>0.6</v>
      </c>
      <c r="H2286" s="3">
        <v>5119.3334615384629</v>
      </c>
      <c r="I2286" s="1">
        <v>45735</v>
      </c>
      <c r="J2286" t="s">
        <v>15</v>
      </c>
      <c r="K2286" t="s">
        <v>16</v>
      </c>
      <c r="L2286" s="3">
        <v>2047.7333846153851</v>
      </c>
      <c r="M2286" t="s">
        <v>11</v>
      </c>
    </row>
    <row r="2287" spans="1:13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 s="3">
        <v>4347.43</v>
      </c>
      <c r="G2287" s="4">
        <v>0.6</v>
      </c>
      <c r="H2287" s="3">
        <v>0</v>
      </c>
      <c r="I2287" s="1">
        <v>45709</v>
      </c>
      <c r="J2287" t="s">
        <v>15</v>
      </c>
      <c r="K2287" t="s">
        <v>23</v>
      </c>
      <c r="L2287" s="3">
        <v>0</v>
      </c>
      <c r="M2287" t="s">
        <v>2518</v>
      </c>
    </row>
    <row r="2288" spans="1:13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F2288" s="3">
        <v>2725.8557142857148</v>
      </c>
      <c r="G2288" s="4">
        <v>0.6</v>
      </c>
      <c r="H2288" s="3">
        <v>-5451.7114285714297</v>
      </c>
      <c r="I2288" s="1">
        <v>45852</v>
      </c>
      <c r="J2288" t="s">
        <v>56</v>
      </c>
      <c r="K2288" t="s">
        <v>23</v>
      </c>
      <c r="L2288" s="3">
        <v>-2180.6845714285719</v>
      </c>
      <c r="M2288" t="s">
        <v>2518</v>
      </c>
    </row>
    <row r="2289" spans="1:13" x14ac:dyDescent="0.3">
      <c r="A2289">
        <v>3287</v>
      </c>
      <c r="B2289" t="s">
        <v>218</v>
      </c>
      <c r="C2289" t="s">
        <v>20</v>
      </c>
      <c r="D2289" t="s">
        <v>122</v>
      </c>
      <c r="E2289">
        <v>2</v>
      </c>
      <c r="F2289" s="3">
        <v>2700.1263043478252</v>
      </c>
      <c r="G2289" s="4">
        <v>0.21</v>
      </c>
      <c r="H2289" s="3">
        <v>5400.2526086956505</v>
      </c>
      <c r="I2289" s="1">
        <v>45713</v>
      </c>
      <c r="J2289" t="s">
        <v>40</v>
      </c>
      <c r="K2289" t="s">
        <v>16</v>
      </c>
      <c r="L2289" s="3">
        <v>4266.1995608695643</v>
      </c>
      <c r="M2289" t="s">
        <v>11</v>
      </c>
    </row>
    <row r="2290" spans="1:13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F2290" s="3">
        <v>2483.5844000000002</v>
      </c>
      <c r="G2290" s="4">
        <v>0.6</v>
      </c>
      <c r="H2290" s="3">
        <v>12417.922</v>
      </c>
      <c r="I2290" s="1">
        <v>45782</v>
      </c>
      <c r="J2290" t="s">
        <v>40</v>
      </c>
      <c r="K2290" t="s">
        <v>16</v>
      </c>
      <c r="L2290" s="3">
        <v>4967.1688000000004</v>
      </c>
      <c r="M2290" t="s">
        <v>11</v>
      </c>
    </row>
    <row r="2291" spans="1:13" x14ac:dyDescent="0.3">
      <c r="A2291">
        <v>3289</v>
      </c>
      <c r="B2291" t="s">
        <v>2305</v>
      </c>
      <c r="C2291" t="s">
        <v>29</v>
      </c>
      <c r="D2291" t="s">
        <v>42</v>
      </c>
      <c r="E2291">
        <v>2</v>
      </c>
      <c r="F2291" s="3">
        <v>2559.6667307692314</v>
      </c>
      <c r="G2291" s="4">
        <v>1.08</v>
      </c>
      <c r="H2291" s="3">
        <v>5119.3334615384629</v>
      </c>
      <c r="I2291" s="1">
        <v>45782</v>
      </c>
      <c r="J2291" t="s">
        <v>18</v>
      </c>
      <c r="K2291" t="s">
        <v>23</v>
      </c>
      <c r="L2291" s="3">
        <v>-409.54667692307737</v>
      </c>
      <c r="M2291" t="s">
        <v>2518</v>
      </c>
    </row>
    <row r="2292" spans="1:13" x14ac:dyDescent="0.3">
      <c r="A2292">
        <v>3290</v>
      </c>
      <c r="B2292" t="s">
        <v>1291</v>
      </c>
      <c r="C2292" t="s">
        <v>20</v>
      </c>
      <c r="D2292" t="s">
        <v>21</v>
      </c>
      <c r="E2292">
        <v>2</v>
      </c>
      <c r="F2292" s="3">
        <v>2681.1743636363635</v>
      </c>
      <c r="G2292" s="4">
        <v>0.6</v>
      </c>
      <c r="H2292" s="3">
        <v>5362.348727272727</v>
      </c>
      <c r="I2292" s="1">
        <v>45828</v>
      </c>
      <c r="J2292" t="s">
        <v>46</v>
      </c>
      <c r="K2292" t="s">
        <v>23</v>
      </c>
      <c r="L2292" s="3">
        <v>2144.9394909090911</v>
      </c>
      <c r="M2292" t="s">
        <v>11</v>
      </c>
    </row>
    <row r="2293" spans="1:13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F2293" s="3">
        <v>2617.6390384615388</v>
      </c>
      <c r="G2293" s="4">
        <v>0.27</v>
      </c>
      <c r="H2293" s="3">
        <v>7852.9171153846164</v>
      </c>
      <c r="I2293" s="1">
        <v>45625</v>
      </c>
      <c r="J2293" t="s">
        <v>15</v>
      </c>
      <c r="K2293" t="s">
        <v>16</v>
      </c>
      <c r="L2293" s="3">
        <v>5732.6294942307695</v>
      </c>
      <c r="M2293" t="s">
        <v>11</v>
      </c>
    </row>
    <row r="2294" spans="1:13" x14ac:dyDescent="0.3">
      <c r="A2294">
        <v>3292</v>
      </c>
      <c r="B2294" t="s">
        <v>2307</v>
      </c>
      <c r="C2294" t="s">
        <v>33</v>
      </c>
      <c r="D2294" t="s">
        <v>44</v>
      </c>
      <c r="E2294">
        <v>2</v>
      </c>
      <c r="F2294" s="3">
        <v>2841.7630612244907</v>
      </c>
      <c r="G2294" s="4">
        <v>0.5</v>
      </c>
      <c r="H2294" s="3">
        <v>5683.5261224489814</v>
      </c>
      <c r="I2294" s="1">
        <v>45378</v>
      </c>
      <c r="J2294" t="s">
        <v>56</v>
      </c>
      <c r="K2294" t="s">
        <v>23</v>
      </c>
      <c r="L2294" s="3">
        <v>2841.7630612244907</v>
      </c>
      <c r="M2294" t="s">
        <v>11</v>
      </c>
    </row>
    <row r="2295" spans="1:13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F2295" s="3">
        <v>2776.2202000000002</v>
      </c>
      <c r="G2295" s="4">
        <v>0.98</v>
      </c>
      <c r="H2295" s="3">
        <v>11104.880800000001</v>
      </c>
      <c r="I2295" s="1">
        <v>45762</v>
      </c>
      <c r="J2295" t="s">
        <v>46</v>
      </c>
      <c r="K2295" t="s">
        <v>23</v>
      </c>
      <c r="L2295" s="3">
        <v>222.09761600000022</v>
      </c>
      <c r="M2295" t="s">
        <v>2518</v>
      </c>
    </row>
    <row r="2296" spans="1:13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 s="3">
        <v>1316.9</v>
      </c>
      <c r="G2296" s="4">
        <v>0.11</v>
      </c>
      <c r="H2296" s="3">
        <v>5267.6</v>
      </c>
      <c r="I2296" s="1">
        <v>45550</v>
      </c>
      <c r="J2296" t="s">
        <v>15</v>
      </c>
      <c r="K2296" t="s">
        <v>16</v>
      </c>
      <c r="L2296" s="3">
        <v>4688.1640000000007</v>
      </c>
      <c r="M2296" t="s">
        <v>11</v>
      </c>
    </row>
    <row r="2297" spans="1:13" x14ac:dyDescent="0.3">
      <c r="A2297">
        <v>3295</v>
      </c>
      <c r="B2297" t="s">
        <v>2310</v>
      </c>
      <c r="C2297" t="s">
        <v>33</v>
      </c>
      <c r="D2297" t="s">
        <v>34</v>
      </c>
      <c r="E2297">
        <v>2</v>
      </c>
      <c r="F2297" s="3">
        <v>2487.039615384615</v>
      </c>
      <c r="G2297" s="4">
        <v>0.6</v>
      </c>
      <c r="H2297" s="3">
        <v>4974.07923076923</v>
      </c>
      <c r="I2297" s="1">
        <v>45782</v>
      </c>
      <c r="J2297" t="s">
        <v>56</v>
      </c>
      <c r="K2297" t="s">
        <v>23</v>
      </c>
      <c r="L2297" s="3">
        <v>1989.631692307692</v>
      </c>
      <c r="M2297" t="s">
        <v>11</v>
      </c>
    </row>
    <row r="2298" spans="1:13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F2298" s="3">
        <v>2487.039615384615</v>
      </c>
      <c r="G2298" s="4">
        <v>0.39</v>
      </c>
      <c r="H2298" s="3">
        <v>12435.198076923076</v>
      </c>
      <c r="I2298" s="1">
        <v>45782</v>
      </c>
      <c r="J2298" t="s">
        <v>18</v>
      </c>
      <c r="K2298" t="s">
        <v>23</v>
      </c>
      <c r="L2298" s="3">
        <v>7585.4708269230759</v>
      </c>
      <c r="M2298" t="s">
        <v>11</v>
      </c>
    </row>
    <row r="2299" spans="1:13" x14ac:dyDescent="0.3">
      <c r="A2299">
        <v>3297</v>
      </c>
      <c r="B2299" t="s">
        <v>2312</v>
      </c>
      <c r="C2299" t="s">
        <v>25</v>
      </c>
      <c r="D2299" t="s">
        <v>66</v>
      </c>
      <c r="E2299">
        <v>2</v>
      </c>
      <c r="F2299" s="3">
        <v>2572.7764000000006</v>
      </c>
      <c r="G2299" s="4">
        <v>0.6</v>
      </c>
      <c r="H2299" s="3">
        <v>5145.5528000000013</v>
      </c>
      <c r="I2299" s="1">
        <v>45678</v>
      </c>
      <c r="J2299" t="s">
        <v>15</v>
      </c>
      <c r="K2299" t="s">
        <v>16</v>
      </c>
      <c r="L2299" s="3">
        <v>2058.2211200000006</v>
      </c>
      <c r="M2299" t="s">
        <v>11</v>
      </c>
    </row>
    <row r="2300" spans="1:13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 s="3">
        <v>2124.13</v>
      </c>
      <c r="G2300" s="4">
        <v>0.85</v>
      </c>
      <c r="H2300" s="3">
        <v>2124.13</v>
      </c>
      <c r="I2300" s="1">
        <v>45507</v>
      </c>
      <c r="J2300" t="s">
        <v>56</v>
      </c>
      <c r="K2300" t="s">
        <v>23</v>
      </c>
      <c r="L2300" s="3">
        <v>318.61950000000007</v>
      </c>
      <c r="M2300" t="s">
        <v>2518</v>
      </c>
    </row>
    <row r="2301" spans="1:13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 s="3">
        <v>4090.34</v>
      </c>
      <c r="G2301" s="4">
        <v>0.99</v>
      </c>
      <c r="H2301" s="3">
        <v>-4090.34</v>
      </c>
      <c r="I2301" s="1">
        <v>45809</v>
      </c>
      <c r="J2301" t="s">
        <v>22</v>
      </c>
      <c r="K2301" t="s">
        <v>23</v>
      </c>
      <c r="L2301" s="3">
        <v>-40.90340000000004</v>
      </c>
      <c r="M2301" t="s">
        <v>2518</v>
      </c>
    </row>
    <row r="2302" spans="1:13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F2302" s="3">
        <v>2559.6667307692314</v>
      </c>
      <c r="G2302" s="4">
        <v>1.06</v>
      </c>
      <c r="H2302" s="3">
        <v>12798.333653846157</v>
      </c>
      <c r="I2302" s="1">
        <v>45782</v>
      </c>
      <c r="J2302" t="s">
        <v>40</v>
      </c>
      <c r="K2302" t="s">
        <v>16</v>
      </c>
      <c r="L2302" s="3">
        <v>-767.90001923077011</v>
      </c>
      <c r="M2302" t="s">
        <v>2518</v>
      </c>
    </row>
    <row r="2303" spans="1:13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 s="3">
        <v>2590.44</v>
      </c>
      <c r="G2303" s="4">
        <v>0.6</v>
      </c>
      <c r="H2303" s="3">
        <v>12952.2</v>
      </c>
      <c r="I2303" s="1">
        <v>45514</v>
      </c>
      <c r="J2303" t="s">
        <v>56</v>
      </c>
      <c r="K2303" t="s">
        <v>23</v>
      </c>
      <c r="L2303" s="3">
        <v>5180.880000000001</v>
      </c>
      <c r="M2303" t="s">
        <v>11</v>
      </c>
    </row>
    <row r="2304" spans="1:13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F2304" s="3">
        <v>2785.0877966101693</v>
      </c>
      <c r="G2304" s="4">
        <v>0.6</v>
      </c>
      <c r="H2304" s="3">
        <v>8355.2633898305085</v>
      </c>
      <c r="I2304" s="1">
        <v>45804</v>
      </c>
      <c r="J2304" t="s">
        <v>15</v>
      </c>
      <c r="K2304" t="s">
        <v>23</v>
      </c>
      <c r="L2304" s="3">
        <v>3342.1053559322036</v>
      </c>
      <c r="M2304" t="s">
        <v>11</v>
      </c>
    </row>
    <row r="2305" spans="1:13" x14ac:dyDescent="0.3">
      <c r="A2305">
        <v>3303</v>
      </c>
      <c r="B2305" t="s">
        <v>2318</v>
      </c>
      <c r="C2305" t="s">
        <v>25</v>
      </c>
      <c r="D2305" t="s">
        <v>66</v>
      </c>
      <c r="E2305">
        <v>2</v>
      </c>
      <c r="F2305" s="3">
        <v>2572.7764000000006</v>
      </c>
      <c r="G2305" s="4">
        <v>0.6</v>
      </c>
      <c r="H2305" s="3">
        <v>5145.5528000000013</v>
      </c>
      <c r="I2305" s="1">
        <v>45622</v>
      </c>
      <c r="J2305" t="s">
        <v>56</v>
      </c>
      <c r="K2305" t="s">
        <v>23</v>
      </c>
      <c r="L2305" s="3">
        <v>2058.2211200000006</v>
      </c>
      <c r="M2305" t="s">
        <v>11</v>
      </c>
    </row>
    <row r="2306" spans="1:13" x14ac:dyDescent="0.3">
      <c r="A2306">
        <v>3304</v>
      </c>
      <c r="B2306" t="s">
        <v>2319</v>
      </c>
      <c r="C2306" t="s">
        <v>29</v>
      </c>
      <c r="D2306" t="s">
        <v>120</v>
      </c>
      <c r="E2306">
        <v>2</v>
      </c>
      <c r="F2306" s="3">
        <v>4452.04</v>
      </c>
      <c r="G2306" s="4">
        <v>0.6</v>
      </c>
      <c r="H2306" s="3">
        <v>8904.08</v>
      </c>
      <c r="I2306" s="1">
        <v>45378</v>
      </c>
      <c r="J2306" t="s">
        <v>40</v>
      </c>
      <c r="K2306" t="s">
        <v>16</v>
      </c>
      <c r="L2306" s="3">
        <v>3561.6320000000001</v>
      </c>
      <c r="M2306" t="s">
        <v>11</v>
      </c>
    </row>
    <row r="2307" spans="1:13" x14ac:dyDescent="0.3">
      <c r="A2307">
        <v>3305</v>
      </c>
      <c r="B2307" t="s">
        <v>2320</v>
      </c>
      <c r="C2307" t="s">
        <v>13</v>
      </c>
      <c r="D2307" t="s">
        <v>36</v>
      </c>
      <c r="E2307">
        <v>2</v>
      </c>
      <c r="F2307" s="3">
        <v>2882.5046551724135</v>
      </c>
      <c r="G2307" s="4">
        <v>0.6</v>
      </c>
      <c r="H2307" s="3">
        <v>5765.0093103448271</v>
      </c>
      <c r="I2307" s="1">
        <v>45623</v>
      </c>
      <c r="J2307" t="s">
        <v>22</v>
      </c>
      <c r="K2307" t="s">
        <v>16</v>
      </c>
      <c r="L2307" s="3">
        <v>2306.0037241379309</v>
      </c>
      <c r="M2307" t="s">
        <v>11</v>
      </c>
    </row>
    <row r="2308" spans="1:13" x14ac:dyDescent="0.3">
      <c r="A2308">
        <v>3306</v>
      </c>
      <c r="B2308" t="s">
        <v>2321</v>
      </c>
      <c r="C2308" t="s">
        <v>33</v>
      </c>
      <c r="D2308" t="s">
        <v>44</v>
      </c>
      <c r="E2308">
        <v>2</v>
      </c>
      <c r="F2308" s="3">
        <v>4536.09</v>
      </c>
      <c r="G2308" s="4">
        <v>0.6</v>
      </c>
      <c r="H2308" s="3">
        <v>9072.18</v>
      </c>
      <c r="I2308" s="1">
        <v>45782</v>
      </c>
      <c r="J2308" t="s">
        <v>56</v>
      </c>
      <c r="K2308" t="s">
        <v>23</v>
      </c>
      <c r="L2308" s="3">
        <v>3628.8720000000003</v>
      </c>
      <c r="M2308" t="s">
        <v>11</v>
      </c>
    </row>
    <row r="2309" spans="1:13" x14ac:dyDescent="0.3">
      <c r="A2309">
        <v>3307</v>
      </c>
      <c r="B2309" t="s">
        <v>2322</v>
      </c>
      <c r="C2309" t="s">
        <v>29</v>
      </c>
      <c r="D2309" t="s">
        <v>42</v>
      </c>
      <c r="E2309">
        <v>2</v>
      </c>
      <c r="F2309" s="3">
        <v>3896.07</v>
      </c>
      <c r="G2309" s="4">
        <v>0.6</v>
      </c>
      <c r="H2309" s="3">
        <v>7792.14</v>
      </c>
      <c r="I2309" s="1">
        <v>45745</v>
      </c>
      <c r="J2309" t="s">
        <v>46</v>
      </c>
      <c r="K2309" t="s">
        <v>16</v>
      </c>
      <c r="L2309" s="3">
        <v>3116.8560000000002</v>
      </c>
      <c r="M2309" t="s">
        <v>11</v>
      </c>
    </row>
    <row r="2310" spans="1:13" x14ac:dyDescent="0.3">
      <c r="A2310">
        <v>3308</v>
      </c>
      <c r="B2310" t="s">
        <v>2323</v>
      </c>
      <c r="C2310" t="s">
        <v>20</v>
      </c>
      <c r="D2310" t="s">
        <v>88</v>
      </c>
      <c r="E2310">
        <v>2</v>
      </c>
      <c r="F2310" s="3">
        <v>2725.8557142857148</v>
      </c>
      <c r="G2310" s="4">
        <v>0.6</v>
      </c>
      <c r="H2310" s="3">
        <v>5451.7114285714297</v>
      </c>
      <c r="I2310" s="1">
        <v>45304</v>
      </c>
      <c r="J2310" t="s">
        <v>18</v>
      </c>
      <c r="K2310" t="s">
        <v>16</v>
      </c>
      <c r="L2310" s="3">
        <v>2180.6845714285719</v>
      </c>
      <c r="M2310" t="s">
        <v>11</v>
      </c>
    </row>
    <row r="2311" spans="1:13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 s="3">
        <v>3944.46</v>
      </c>
      <c r="G2311" s="4">
        <v>0.6</v>
      </c>
      <c r="H2311" s="3">
        <v>-7888.92</v>
      </c>
      <c r="I2311" s="1">
        <v>45201</v>
      </c>
      <c r="J2311" t="s">
        <v>18</v>
      </c>
      <c r="K2311" t="s">
        <v>16</v>
      </c>
      <c r="L2311" s="3">
        <v>-3155.5680000000002</v>
      </c>
      <c r="M2311" t="s">
        <v>2518</v>
      </c>
    </row>
    <row r="2312" spans="1:13" x14ac:dyDescent="0.3">
      <c r="A2312">
        <v>3310</v>
      </c>
      <c r="B2312" t="s">
        <v>2325</v>
      </c>
      <c r="C2312" t="s">
        <v>38</v>
      </c>
      <c r="D2312" t="s">
        <v>63</v>
      </c>
      <c r="E2312">
        <v>2</v>
      </c>
      <c r="F2312" s="3">
        <v>2845.2419672131159</v>
      </c>
      <c r="G2312" s="4">
        <v>0.6</v>
      </c>
      <c r="H2312" s="3">
        <v>5690.4839344262318</v>
      </c>
      <c r="I2312" s="1">
        <v>45163</v>
      </c>
      <c r="J2312" t="s">
        <v>46</v>
      </c>
      <c r="K2312" t="s">
        <v>16</v>
      </c>
      <c r="L2312" s="3">
        <v>2276.193573770493</v>
      </c>
      <c r="M2312" t="s">
        <v>11</v>
      </c>
    </row>
    <row r="2313" spans="1:13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 s="3">
        <v>3108.69</v>
      </c>
      <c r="G2313" s="4">
        <v>0.6</v>
      </c>
      <c r="H2313" s="3">
        <v>-3108.69</v>
      </c>
      <c r="I2313" s="1">
        <v>45388</v>
      </c>
      <c r="J2313" t="s">
        <v>15</v>
      </c>
      <c r="K2313" t="s">
        <v>23</v>
      </c>
      <c r="L2313" s="3">
        <v>-1243.4760000000001</v>
      </c>
      <c r="M2313" t="s">
        <v>2518</v>
      </c>
    </row>
    <row r="2314" spans="1:13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 s="3">
        <v>4878.8100000000004</v>
      </c>
      <c r="G2314" s="4">
        <v>0.6</v>
      </c>
      <c r="H2314" s="3">
        <v>9757.6200000000008</v>
      </c>
      <c r="I2314" s="1">
        <v>45537</v>
      </c>
      <c r="J2314" t="s">
        <v>40</v>
      </c>
      <c r="K2314" t="s">
        <v>23</v>
      </c>
      <c r="L2314" s="3">
        <v>3903.0480000000007</v>
      </c>
      <c r="M2314" t="s">
        <v>11</v>
      </c>
    </row>
    <row r="2315" spans="1:13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F2315" s="3">
        <v>2868.7768181818178</v>
      </c>
      <c r="G2315" s="4">
        <v>1.03</v>
      </c>
      <c r="H2315" s="3">
        <v>14343.884090909089</v>
      </c>
      <c r="I2315" s="1">
        <v>45566</v>
      </c>
      <c r="J2315" t="s">
        <v>40</v>
      </c>
      <c r="K2315" t="s">
        <v>23</v>
      </c>
      <c r="L2315" s="3">
        <v>-430.31652272727302</v>
      </c>
      <c r="M2315" t="s">
        <v>2518</v>
      </c>
    </row>
    <row r="2316" spans="1:13" x14ac:dyDescent="0.3">
      <c r="A2316">
        <v>3314</v>
      </c>
      <c r="B2316" t="s">
        <v>2329</v>
      </c>
      <c r="C2316" t="s">
        <v>20</v>
      </c>
      <c r="D2316" t="s">
        <v>88</v>
      </c>
      <c r="E2316">
        <v>2</v>
      </c>
      <c r="F2316" s="3">
        <v>2537.59</v>
      </c>
      <c r="G2316" s="4">
        <v>0.6</v>
      </c>
      <c r="H2316" s="3">
        <v>5075.18</v>
      </c>
      <c r="I2316" s="1">
        <v>45561</v>
      </c>
      <c r="J2316" t="s">
        <v>46</v>
      </c>
      <c r="K2316" t="s">
        <v>23</v>
      </c>
      <c r="L2316" s="3">
        <v>2030.0720000000001</v>
      </c>
      <c r="M2316" t="s">
        <v>11</v>
      </c>
    </row>
    <row r="2317" spans="1:13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F2317" s="3">
        <v>2868.7768181818178</v>
      </c>
      <c r="G2317" s="4">
        <v>0.6</v>
      </c>
      <c r="H2317" s="3">
        <v>11475.107272727271</v>
      </c>
      <c r="I2317" s="1">
        <v>45782</v>
      </c>
      <c r="J2317" t="s">
        <v>56</v>
      </c>
      <c r="K2317" t="s">
        <v>16</v>
      </c>
      <c r="L2317" s="3">
        <v>4590.0429090909083</v>
      </c>
      <c r="M2317" t="s">
        <v>11</v>
      </c>
    </row>
    <row r="2318" spans="1:13" x14ac:dyDescent="0.3">
      <c r="A2318">
        <v>3316</v>
      </c>
      <c r="B2318" t="s">
        <v>2331</v>
      </c>
      <c r="C2318" t="s">
        <v>13</v>
      </c>
      <c r="D2318" t="s">
        <v>14</v>
      </c>
      <c r="E2318">
        <v>2</v>
      </c>
      <c r="F2318" s="3">
        <v>2381.2677586206896</v>
      </c>
      <c r="G2318" s="4">
        <v>0.6</v>
      </c>
      <c r="H2318" s="3">
        <v>4762.5355172413792</v>
      </c>
      <c r="I2318" s="1">
        <v>45808</v>
      </c>
      <c r="J2318" t="s">
        <v>22</v>
      </c>
      <c r="K2318" t="s">
        <v>16</v>
      </c>
      <c r="L2318" s="3">
        <v>1905.0142068965517</v>
      </c>
      <c r="M2318" t="s">
        <v>11</v>
      </c>
    </row>
    <row r="2319" spans="1:13" x14ac:dyDescent="0.3">
      <c r="A2319">
        <v>3317</v>
      </c>
      <c r="B2319" t="s">
        <v>2332</v>
      </c>
      <c r="C2319" t="s">
        <v>20</v>
      </c>
      <c r="D2319" t="s">
        <v>122</v>
      </c>
      <c r="E2319">
        <v>2</v>
      </c>
      <c r="F2319" s="3">
        <v>2140.2199999999998</v>
      </c>
      <c r="G2319" s="4">
        <v>0.6</v>
      </c>
      <c r="H2319" s="3">
        <v>4280.4399999999996</v>
      </c>
      <c r="I2319" s="1">
        <v>45598</v>
      </c>
      <c r="J2319" t="s">
        <v>18</v>
      </c>
      <c r="K2319" t="s">
        <v>23</v>
      </c>
      <c r="L2319" s="3">
        <v>1712.1759999999999</v>
      </c>
      <c r="M2319" t="s">
        <v>11</v>
      </c>
    </row>
    <row r="2320" spans="1:13" x14ac:dyDescent="0.3">
      <c r="A2320">
        <v>3318</v>
      </c>
      <c r="B2320" t="s">
        <v>2333</v>
      </c>
      <c r="C2320" t="s">
        <v>29</v>
      </c>
      <c r="D2320" t="s">
        <v>120</v>
      </c>
      <c r="E2320">
        <v>2</v>
      </c>
      <c r="F2320" s="3">
        <v>2912.6</v>
      </c>
      <c r="G2320" s="4">
        <v>0.6</v>
      </c>
      <c r="H2320" s="3">
        <v>5825.2</v>
      </c>
      <c r="I2320" s="1">
        <v>45745</v>
      </c>
      <c r="J2320" t="s">
        <v>15</v>
      </c>
      <c r="K2320" t="s">
        <v>23</v>
      </c>
      <c r="L2320" s="3">
        <v>2330.08</v>
      </c>
      <c r="M2320" t="s">
        <v>11</v>
      </c>
    </row>
    <row r="2321" spans="1:13" x14ac:dyDescent="0.3">
      <c r="A2321">
        <v>3319</v>
      </c>
      <c r="B2321" t="s">
        <v>2334</v>
      </c>
      <c r="C2321" t="s">
        <v>25</v>
      </c>
      <c r="D2321" t="s">
        <v>26</v>
      </c>
      <c r="E2321">
        <v>2</v>
      </c>
      <c r="F2321" s="3">
        <v>2888.8714285714286</v>
      </c>
      <c r="G2321" s="4">
        <v>0.6</v>
      </c>
      <c r="H2321" s="3">
        <v>5777.7428571428572</v>
      </c>
      <c r="I2321" s="1">
        <v>45284</v>
      </c>
      <c r="J2321" t="s">
        <v>18</v>
      </c>
      <c r="K2321" t="s">
        <v>23</v>
      </c>
      <c r="L2321" s="3">
        <v>2311.0971428571429</v>
      </c>
      <c r="M2321" t="s">
        <v>11</v>
      </c>
    </row>
    <row r="2322" spans="1:13" x14ac:dyDescent="0.3">
      <c r="A2322">
        <v>3320</v>
      </c>
      <c r="B2322" t="s">
        <v>2335</v>
      </c>
      <c r="C2322" t="s">
        <v>25</v>
      </c>
      <c r="D2322" t="s">
        <v>66</v>
      </c>
      <c r="E2322">
        <v>2</v>
      </c>
      <c r="F2322" s="3">
        <v>2572.7764000000006</v>
      </c>
      <c r="G2322" s="4">
        <v>0.6</v>
      </c>
      <c r="H2322" s="3">
        <v>5145.5528000000013</v>
      </c>
      <c r="I2322" s="1">
        <v>45579</v>
      </c>
      <c r="J2322" t="s">
        <v>46</v>
      </c>
      <c r="K2322" t="s">
        <v>23</v>
      </c>
      <c r="L2322" s="3">
        <v>2058.2211200000006</v>
      </c>
      <c r="M2322" t="s">
        <v>11</v>
      </c>
    </row>
    <row r="2323" spans="1:13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 s="3">
        <v>1804.56</v>
      </c>
      <c r="G2323" s="4">
        <v>0.6</v>
      </c>
      <c r="H2323" s="3">
        <v>9022.7999999999993</v>
      </c>
      <c r="I2323" s="1">
        <v>45254</v>
      </c>
      <c r="J2323" t="s">
        <v>56</v>
      </c>
      <c r="K2323" t="s">
        <v>23</v>
      </c>
      <c r="L2323" s="3">
        <v>3609.12</v>
      </c>
      <c r="M2323" t="s">
        <v>11</v>
      </c>
    </row>
    <row r="2324" spans="1:13" x14ac:dyDescent="0.3">
      <c r="A2324">
        <v>3322</v>
      </c>
      <c r="B2324" t="s">
        <v>2337</v>
      </c>
      <c r="C2324" t="s">
        <v>33</v>
      </c>
      <c r="D2324" t="s">
        <v>44</v>
      </c>
      <c r="E2324">
        <v>2</v>
      </c>
      <c r="F2324" s="3">
        <v>4480.24</v>
      </c>
      <c r="G2324" s="4">
        <v>0.6</v>
      </c>
      <c r="H2324" s="3">
        <v>8960.48</v>
      </c>
      <c r="I2324" s="1">
        <v>45544</v>
      </c>
      <c r="J2324" t="s">
        <v>15</v>
      </c>
      <c r="K2324" t="s">
        <v>16</v>
      </c>
      <c r="L2324" s="3">
        <v>3584.192</v>
      </c>
      <c r="M2324" t="s">
        <v>11</v>
      </c>
    </row>
    <row r="2325" spans="1:13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 s="3">
        <v>4009.45</v>
      </c>
      <c r="G2325" s="4">
        <v>0.6</v>
      </c>
      <c r="H2325" s="3">
        <v>12028.349999999999</v>
      </c>
      <c r="I2325" s="1">
        <v>45782</v>
      </c>
      <c r="J2325" t="s">
        <v>56</v>
      </c>
      <c r="K2325" t="s">
        <v>23</v>
      </c>
      <c r="L2325" s="3">
        <v>4811.3399999999992</v>
      </c>
      <c r="M2325" t="s">
        <v>11</v>
      </c>
    </row>
    <row r="2326" spans="1:13" x14ac:dyDescent="0.3">
      <c r="A2326">
        <v>3324</v>
      </c>
      <c r="B2326" t="s">
        <v>2339</v>
      </c>
      <c r="C2326" t="s">
        <v>38</v>
      </c>
      <c r="D2326" t="s">
        <v>39</v>
      </c>
      <c r="E2326">
        <v>2</v>
      </c>
      <c r="F2326" s="3">
        <v>3008.3844444444444</v>
      </c>
      <c r="G2326" s="4">
        <v>0.51</v>
      </c>
      <c r="H2326" s="3">
        <v>6016.7688888888888</v>
      </c>
      <c r="I2326" s="1">
        <v>45782</v>
      </c>
      <c r="J2326" t="s">
        <v>18</v>
      </c>
      <c r="K2326" t="s">
        <v>16</v>
      </c>
      <c r="L2326" s="3">
        <v>2948.2167555555557</v>
      </c>
      <c r="M2326" t="s">
        <v>11</v>
      </c>
    </row>
    <row r="2327" spans="1:13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F2327" s="3">
        <v>2804.2651923076919</v>
      </c>
      <c r="G2327" s="4">
        <v>0.61</v>
      </c>
      <c r="H2327" s="3">
        <v>16825.591153846151</v>
      </c>
      <c r="I2327" s="1">
        <v>45833</v>
      </c>
      <c r="J2327" t="s">
        <v>40</v>
      </c>
      <c r="K2327" t="s">
        <v>23</v>
      </c>
      <c r="L2327" s="3">
        <v>6561.9805499999993</v>
      </c>
      <c r="M2327" t="s">
        <v>11</v>
      </c>
    </row>
    <row r="2328" spans="1:13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 s="3">
        <v>3047.68</v>
      </c>
      <c r="G2328" s="4">
        <v>0.6</v>
      </c>
      <c r="H2328" s="3">
        <v>-6095.36</v>
      </c>
      <c r="I2328" s="1">
        <v>45526</v>
      </c>
      <c r="J2328" t="s">
        <v>40</v>
      </c>
      <c r="K2328" t="s">
        <v>16</v>
      </c>
      <c r="L2328" s="3">
        <v>-2438.1439999999998</v>
      </c>
      <c r="M2328" t="s">
        <v>2518</v>
      </c>
    </row>
    <row r="2329" spans="1:13" x14ac:dyDescent="0.3">
      <c r="A2329">
        <v>3327</v>
      </c>
      <c r="B2329" t="s">
        <v>2342</v>
      </c>
      <c r="C2329" t="s">
        <v>13</v>
      </c>
      <c r="D2329" t="s">
        <v>49</v>
      </c>
      <c r="E2329">
        <v>2</v>
      </c>
      <c r="F2329" s="3">
        <v>2785.0877966101693</v>
      </c>
      <c r="G2329" s="4">
        <v>0.96</v>
      </c>
      <c r="H2329" s="3">
        <v>5570.1755932203387</v>
      </c>
      <c r="I2329" s="1">
        <v>45782</v>
      </c>
      <c r="J2329" t="s">
        <v>40</v>
      </c>
      <c r="K2329" t="s">
        <v>23</v>
      </c>
      <c r="L2329" s="3">
        <v>222.80702372881373</v>
      </c>
      <c r="M2329" t="s">
        <v>2518</v>
      </c>
    </row>
    <row r="2330" spans="1:13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 s="3">
        <v>4390.32</v>
      </c>
      <c r="G2330" s="4">
        <v>0.6</v>
      </c>
      <c r="H2330" s="3">
        <v>4390.32</v>
      </c>
      <c r="I2330" s="1">
        <v>45733</v>
      </c>
      <c r="J2330" t="s">
        <v>40</v>
      </c>
      <c r="K2330" t="s">
        <v>23</v>
      </c>
      <c r="L2330" s="3">
        <v>1756.1279999999999</v>
      </c>
      <c r="M2330" t="s">
        <v>11</v>
      </c>
    </row>
    <row r="2331" spans="1:13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F2331" s="3">
        <v>2681.1743636363635</v>
      </c>
      <c r="G2331" s="4">
        <v>0.6</v>
      </c>
      <c r="H2331" s="3">
        <v>0</v>
      </c>
      <c r="I2331" s="1">
        <v>45440</v>
      </c>
      <c r="J2331" t="s">
        <v>15</v>
      </c>
      <c r="K2331" t="s">
        <v>16</v>
      </c>
      <c r="L2331" s="3">
        <v>0</v>
      </c>
      <c r="M2331" t="s">
        <v>2518</v>
      </c>
    </row>
    <row r="2332" spans="1:13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 s="3">
        <v>2217.9499999999998</v>
      </c>
      <c r="G2332" s="4">
        <v>0.6</v>
      </c>
      <c r="H2332" s="3">
        <v>13307.699999999999</v>
      </c>
      <c r="I2332" s="1">
        <v>45826</v>
      </c>
      <c r="J2332" t="s">
        <v>56</v>
      </c>
      <c r="K2332" t="s">
        <v>23</v>
      </c>
      <c r="L2332" s="3">
        <v>5323.08</v>
      </c>
      <c r="M2332" t="s">
        <v>11</v>
      </c>
    </row>
    <row r="2333" spans="1:13" x14ac:dyDescent="0.3">
      <c r="A2333">
        <v>1012</v>
      </c>
      <c r="B2333" t="s">
        <v>2346</v>
      </c>
      <c r="C2333" t="s">
        <v>20</v>
      </c>
      <c r="D2333" t="s">
        <v>88</v>
      </c>
      <c r="E2333">
        <v>2</v>
      </c>
      <c r="F2333" s="3">
        <v>1364.73</v>
      </c>
      <c r="G2333" s="4">
        <v>0.71</v>
      </c>
      <c r="H2333" s="3">
        <v>2729.46</v>
      </c>
      <c r="I2333" s="1">
        <v>45726</v>
      </c>
      <c r="J2333" t="s">
        <v>22</v>
      </c>
      <c r="K2333" t="s">
        <v>23</v>
      </c>
      <c r="L2333" s="3">
        <v>791.54340000000013</v>
      </c>
      <c r="M2333" t="s">
        <v>11</v>
      </c>
    </row>
    <row r="2334" spans="1:13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 s="3">
        <v>1297.04</v>
      </c>
      <c r="G2334" s="4">
        <v>0.3</v>
      </c>
      <c r="H2334" s="3">
        <v>6485.2</v>
      </c>
      <c r="I2334" s="1">
        <v>45782</v>
      </c>
      <c r="J2334" t="s">
        <v>56</v>
      </c>
      <c r="K2334" t="s">
        <v>23</v>
      </c>
      <c r="L2334" s="3">
        <v>4539.6399999999994</v>
      </c>
      <c r="M2334" t="s">
        <v>11</v>
      </c>
    </row>
    <row r="2335" spans="1:13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F2335" s="3">
        <v>2700.1263043478252</v>
      </c>
      <c r="G2335" s="4">
        <v>0.6</v>
      </c>
      <c r="H2335" s="3">
        <v>-5400.2526086956505</v>
      </c>
      <c r="I2335" s="1">
        <v>45150</v>
      </c>
      <c r="J2335" t="s">
        <v>22</v>
      </c>
      <c r="K2335" t="s">
        <v>16</v>
      </c>
      <c r="L2335" s="3">
        <v>-2160.1010434782602</v>
      </c>
      <c r="M2335" t="s">
        <v>2518</v>
      </c>
    </row>
    <row r="2336" spans="1:13" x14ac:dyDescent="0.3">
      <c r="A2336">
        <v>3334</v>
      </c>
      <c r="B2336" t="s">
        <v>2349</v>
      </c>
      <c r="C2336" t="s">
        <v>13</v>
      </c>
      <c r="D2336" t="s">
        <v>36</v>
      </c>
      <c r="E2336">
        <v>2</v>
      </c>
      <c r="F2336" s="3">
        <v>2882.5046551724135</v>
      </c>
      <c r="G2336" s="4">
        <v>0.6</v>
      </c>
      <c r="H2336" s="3">
        <v>5765.0093103448271</v>
      </c>
      <c r="I2336" s="1">
        <v>45822</v>
      </c>
      <c r="J2336" t="s">
        <v>56</v>
      </c>
      <c r="K2336" t="s">
        <v>23</v>
      </c>
      <c r="L2336" s="3">
        <v>2306.0037241379309</v>
      </c>
      <c r="M2336" t="s">
        <v>11</v>
      </c>
    </row>
    <row r="2337" spans="1:13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 s="3">
        <v>4289.91</v>
      </c>
      <c r="G2337" s="4">
        <v>1.23</v>
      </c>
      <c r="H2337" s="3">
        <v>21449.55</v>
      </c>
      <c r="I2337" s="1">
        <v>45584</v>
      </c>
      <c r="J2337" t="s">
        <v>46</v>
      </c>
      <c r="K2337" t="s">
        <v>23</v>
      </c>
      <c r="L2337" s="3">
        <v>-4933.3964999999998</v>
      </c>
      <c r="M2337" t="s">
        <v>2518</v>
      </c>
    </row>
    <row r="2338" spans="1:13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F2338" s="3">
        <v>2725.8557142857148</v>
      </c>
      <c r="G2338" s="4">
        <v>0.6</v>
      </c>
      <c r="H2338" s="3">
        <v>5451.7114285714297</v>
      </c>
      <c r="I2338" s="1">
        <v>45826</v>
      </c>
      <c r="J2338" t="s">
        <v>18</v>
      </c>
      <c r="K2338" t="s">
        <v>23</v>
      </c>
      <c r="L2338" s="3">
        <v>2180.6845714285719</v>
      </c>
      <c r="M2338" t="s">
        <v>11</v>
      </c>
    </row>
    <row r="2339" spans="1:13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 s="3">
        <v>2847.86</v>
      </c>
      <c r="G2339" s="4">
        <v>0.7</v>
      </c>
      <c r="H2339" s="3">
        <v>2847.86</v>
      </c>
      <c r="I2339" s="1">
        <v>45360</v>
      </c>
      <c r="J2339" t="s">
        <v>15</v>
      </c>
      <c r="K2339" t="s">
        <v>16</v>
      </c>
      <c r="L2339" s="3">
        <v>854.35800000000017</v>
      </c>
      <c r="M2339" t="s">
        <v>11</v>
      </c>
    </row>
    <row r="2340" spans="1:13" x14ac:dyDescent="0.3">
      <c r="A2340">
        <v>3338</v>
      </c>
      <c r="B2340" t="s">
        <v>2353</v>
      </c>
      <c r="C2340" t="s">
        <v>38</v>
      </c>
      <c r="D2340" t="s">
        <v>63</v>
      </c>
      <c r="E2340">
        <v>2</v>
      </c>
      <c r="F2340" s="3">
        <v>2845.2419672131159</v>
      </c>
      <c r="G2340" s="4">
        <v>0.06</v>
      </c>
      <c r="H2340" s="3">
        <v>5690.4839344262318</v>
      </c>
      <c r="I2340" s="1">
        <v>45856</v>
      </c>
      <c r="J2340" t="s">
        <v>46</v>
      </c>
      <c r="K2340" t="s">
        <v>16</v>
      </c>
      <c r="L2340" s="3">
        <v>5349.0548983606577</v>
      </c>
      <c r="M2340" t="s">
        <v>11</v>
      </c>
    </row>
    <row r="2341" spans="1:13" x14ac:dyDescent="0.3">
      <c r="A2341">
        <v>3339</v>
      </c>
      <c r="B2341" t="s">
        <v>2354</v>
      </c>
      <c r="C2341" t="s">
        <v>29</v>
      </c>
      <c r="D2341" t="s">
        <v>120</v>
      </c>
      <c r="E2341">
        <v>2</v>
      </c>
      <c r="F2341" s="3">
        <v>2830.1325714285731</v>
      </c>
      <c r="G2341" s="4">
        <v>0.6</v>
      </c>
      <c r="H2341" s="3">
        <v>5660.2651428571462</v>
      </c>
      <c r="I2341" s="1">
        <v>45367</v>
      </c>
      <c r="J2341" t="s">
        <v>15</v>
      </c>
      <c r="K2341" t="s">
        <v>16</v>
      </c>
      <c r="L2341" s="3">
        <v>2264.1060571428584</v>
      </c>
      <c r="M2341" t="s">
        <v>11</v>
      </c>
    </row>
    <row r="2342" spans="1:13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 s="3">
        <v>3924.28</v>
      </c>
      <c r="G2342" s="4">
        <v>0.15</v>
      </c>
      <c r="H2342" s="3">
        <v>23545.68</v>
      </c>
      <c r="I2342" s="1">
        <v>45532</v>
      </c>
      <c r="J2342" t="s">
        <v>40</v>
      </c>
      <c r="K2342" t="s">
        <v>23</v>
      </c>
      <c r="L2342" s="3">
        <v>20013.828000000001</v>
      </c>
      <c r="M2342" t="s">
        <v>11</v>
      </c>
    </row>
    <row r="2343" spans="1:13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 s="3">
        <v>2080.09</v>
      </c>
      <c r="G2343" s="4">
        <v>0.6</v>
      </c>
      <c r="H2343" s="3">
        <v>4160.18</v>
      </c>
      <c r="I2343" s="1">
        <v>45782</v>
      </c>
      <c r="J2343" t="s">
        <v>56</v>
      </c>
      <c r="K2343" t="s">
        <v>23</v>
      </c>
      <c r="L2343" s="3">
        <v>1664.0720000000001</v>
      </c>
      <c r="M2343" t="s">
        <v>11</v>
      </c>
    </row>
    <row r="2344" spans="1:13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 s="3">
        <v>2109.83</v>
      </c>
      <c r="G2344" s="4">
        <v>0.6</v>
      </c>
      <c r="H2344" s="3">
        <v>4219.66</v>
      </c>
      <c r="I2344" s="1">
        <v>45782</v>
      </c>
      <c r="J2344" t="s">
        <v>46</v>
      </c>
      <c r="K2344" t="s">
        <v>23</v>
      </c>
      <c r="L2344" s="3">
        <v>1687.864</v>
      </c>
      <c r="M2344" t="s">
        <v>11</v>
      </c>
    </row>
    <row r="2345" spans="1:13" x14ac:dyDescent="0.3">
      <c r="A2345">
        <v>3343</v>
      </c>
      <c r="B2345" t="s">
        <v>2358</v>
      </c>
      <c r="C2345" t="s">
        <v>33</v>
      </c>
      <c r="D2345" t="s">
        <v>82</v>
      </c>
      <c r="E2345">
        <v>2</v>
      </c>
      <c r="F2345" s="3">
        <v>3677.95</v>
      </c>
      <c r="G2345" s="4">
        <v>0.42</v>
      </c>
      <c r="H2345" s="3">
        <v>7355.9</v>
      </c>
      <c r="I2345" s="1">
        <v>45713</v>
      </c>
      <c r="J2345" t="s">
        <v>22</v>
      </c>
      <c r="K2345" t="s">
        <v>16</v>
      </c>
      <c r="L2345" s="3">
        <v>4266.4220000000005</v>
      </c>
      <c r="M2345" t="s">
        <v>11</v>
      </c>
    </row>
    <row r="2346" spans="1:13" x14ac:dyDescent="0.3">
      <c r="A2346">
        <v>3344</v>
      </c>
      <c r="B2346" t="s">
        <v>2359</v>
      </c>
      <c r="C2346" t="s">
        <v>20</v>
      </c>
      <c r="D2346" t="s">
        <v>21</v>
      </c>
      <c r="E2346">
        <v>2</v>
      </c>
      <c r="F2346" s="3">
        <v>2681.1743636363635</v>
      </c>
      <c r="G2346" s="4">
        <v>0.6</v>
      </c>
      <c r="H2346" s="3">
        <v>5362.348727272727</v>
      </c>
      <c r="I2346" s="1">
        <v>45811</v>
      </c>
      <c r="J2346" t="s">
        <v>18</v>
      </c>
      <c r="K2346" t="s">
        <v>23</v>
      </c>
      <c r="L2346" s="3">
        <v>2144.9394909090911</v>
      </c>
      <c r="M2346" t="s">
        <v>11</v>
      </c>
    </row>
    <row r="2347" spans="1:13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F2347" s="3">
        <v>2845.2419672131159</v>
      </c>
      <c r="G2347" s="4">
        <v>0.6</v>
      </c>
      <c r="H2347" s="3">
        <v>0</v>
      </c>
      <c r="I2347" s="1">
        <v>45679</v>
      </c>
      <c r="J2347" t="s">
        <v>40</v>
      </c>
      <c r="K2347" t="s">
        <v>23</v>
      </c>
      <c r="L2347" s="3">
        <v>0</v>
      </c>
      <c r="M2347" t="s">
        <v>2518</v>
      </c>
    </row>
    <row r="2348" spans="1:13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 s="3">
        <v>1266.23</v>
      </c>
      <c r="G2348" s="4">
        <v>0.81</v>
      </c>
      <c r="H2348" s="3">
        <v>2532.46</v>
      </c>
      <c r="I2348" s="1">
        <v>45651</v>
      </c>
      <c r="J2348" t="s">
        <v>18</v>
      </c>
      <c r="K2348" t="s">
        <v>23</v>
      </c>
      <c r="L2348" s="3">
        <v>481.16739999999987</v>
      </c>
      <c r="M2348" t="s">
        <v>2518</v>
      </c>
    </row>
    <row r="2349" spans="1:13" x14ac:dyDescent="0.3">
      <c r="A2349">
        <v>3347</v>
      </c>
      <c r="B2349" t="s">
        <v>2362</v>
      </c>
      <c r="C2349" t="s">
        <v>20</v>
      </c>
      <c r="D2349" t="s">
        <v>88</v>
      </c>
      <c r="E2349">
        <v>2</v>
      </c>
      <c r="F2349" s="3">
        <v>3873.27</v>
      </c>
      <c r="G2349" s="4">
        <v>0.6</v>
      </c>
      <c r="H2349" s="3">
        <v>7746.54</v>
      </c>
      <c r="I2349" s="1">
        <v>45656</v>
      </c>
      <c r="J2349" t="s">
        <v>22</v>
      </c>
      <c r="K2349" t="s">
        <v>23</v>
      </c>
      <c r="L2349" s="3">
        <v>3098.616</v>
      </c>
      <c r="M2349" t="s">
        <v>11</v>
      </c>
    </row>
    <row r="2350" spans="1:13" x14ac:dyDescent="0.3">
      <c r="A2350">
        <v>3348</v>
      </c>
      <c r="B2350" t="s">
        <v>2363</v>
      </c>
      <c r="C2350" t="s">
        <v>20</v>
      </c>
      <c r="D2350" t="s">
        <v>122</v>
      </c>
      <c r="E2350">
        <v>2</v>
      </c>
      <c r="F2350" s="3">
        <v>2700.1263043478252</v>
      </c>
      <c r="G2350" s="4">
        <v>0.98</v>
      </c>
      <c r="H2350" s="3">
        <v>5400.2526086956505</v>
      </c>
      <c r="I2350" s="1">
        <v>45592</v>
      </c>
      <c r="J2350" t="s">
        <v>56</v>
      </c>
      <c r="K2350" t="s">
        <v>23</v>
      </c>
      <c r="L2350" s="3">
        <v>108.0050521739131</v>
      </c>
      <c r="M2350" t="s">
        <v>2518</v>
      </c>
    </row>
    <row r="2351" spans="1:13" x14ac:dyDescent="0.3">
      <c r="A2351">
        <v>3349</v>
      </c>
      <c r="B2351" t="s">
        <v>2364</v>
      </c>
      <c r="C2351" t="s">
        <v>20</v>
      </c>
      <c r="D2351" t="s">
        <v>80</v>
      </c>
      <c r="E2351">
        <v>2</v>
      </c>
      <c r="F2351" s="3">
        <v>1866.28</v>
      </c>
      <c r="G2351" s="4">
        <v>0.6</v>
      </c>
      <c r="H2351" s="3">
        <v>3732.56</v>
      </c>
      <c r="I2351" s="1">
        <v>45840</v>
      </c>
      <c r="J2351" t="s">
        <v>46</v>
      </c>
      <c r="K2351" t="s">
        <v>23</v>
      </c>
      <c r="L2351" s="3">
        <v>1493.0240000000001</v>
      </c>
      <c r="M2351" t="s">
        <v>11</v>
      </c>
    </row>
    <row r="2352" spans="1:13" x14ac:dyDescent="0.3">
      <c r="A2352">
        <v>3350</v>
      </c>
      <c r="B2352" t="s">
        <v>2365</v>
      </c>
      <c r="C2352" t="s">
        <v>25</v>
      </c>
      <c r="D2352" t="s">
        <v>66</v>
      </c>
      <c r="E2352">
        <v>2</v>
      </c>
      <c r="F2352" s="3">
        <v>2572.7764000000006</v>
      </c>
      <c r="G2352" s="4">
        <v>0.6</v>
      </c>
      <c r="H2352" s="3">
        <v>5145.5528000000013</v>
      </c>
      <c r="I2352" s="1">
        <v>45337</v>
      </c>
      <c r="J2352" t="s">
        <v>22</v>
      </c>
      <c r="K2352" t="s">
        <v>16</v>
      </c>
      <c r="L2352" s="3">
        <v>2058.2211200000006</v>
      </c>
      <c r="M2352" t="s">
        <v>11</v>
      </c>
    </row>
    <row r="2353" spans="1:13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F2353" s="3">
        <v>2882.5046551724135</v>
      </c>
      <c r="G2353" s="4">
        <v>0.56999999999999995</v>
      </c>
      <c r="H2353" s="3">
        <v>0</v>
      </c>
      <c r="I2353" s="1">
        <v>45620</v>
      </c>
      <c r="J2353" t="s">
        <v>46</v>
      </c>
      <c r="K2353" t="s">
        <v>16</v>
      </c>
      <c r="L2353" s="3">
        <v>0</v>
      </c>
      <c r="M2353" t="s">
        <v>2518</v>
      </c>
    </row>
    <row r="2354" spans="1:13" x14ac:dyDescent="0.3">
      <c r="A2354">
        <v>3352</v>
      </c>
      <c r="B2354" t="s">
        <v>2367</v>
      </c>
      <c r="C2354" t="s">
        <v>29</v>
      </c>
      <c r="D2354" t="s">
        <v>30</v>
      </c>
      <c r="E2354">
        <v>2</v>
      </c>
      <c r="F2354" s="3">
        <v>2559.35</v>
      </c>
      <c r="G2354" s="4">
        <v>0.6</v>
      </c>
      <c r="H2354" s="3">
        <v>5118.7</v>
      </c>
      <c r="I2354" s="1">
        <v>45207</v>
      </c>
      <c r="J2354" t="s">
        <v>18</v>
      </c>
      <c r="K2354" t="s">
        <v>23</v>
      </c>
      <c r="L2354" s="3">
        <v>2047.48</v>
      </c>
      <c r="M2354" t="s">
        <v>11</v>
      </c>
    </row>
    <row r="2355" spans="1:13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F2355" s="3">
        <v>2700.1263043478252</v>
      </c>
      <c r="G2355" s="4">
        <v>0.6</v>
      </c>
      <c r="H2355" s="3">
        <v>0</v>
      </c>
      <c r="I2355" s="1">
        <v>45617</v>
      </c>
      <c r="J2355" t="s">
        <v>22</v>
      </c>
      <c r="K2355" t="s">
        <v>23</v>
      </c>
      <c r="L2355" s="3">
        <v>0</v>
      </c>
      <c r="M2355" t="s">
        <v>2518</v>
      </c>
    </row>
    <row r="2356" spans="1:13" x14ac:dyDescent="0.3">
      <c r="A2356">
        <v>3354</v>
      </c>
      <c r="B2356" t="s">
        <v>2368</v>
      </c>
      <c r="C2356" t="s">
        <v>20</v>
      </c>
      <c r="D2356" t="s">
        <v>122</v>
      </c>
      <c r="E2356">
        <v>2</v>
      </c>
      <c r="F2356" s="3">
        <v>2700.1263043478252</v>
      </c>
      <c r="G2356" s="4">
        <v>0.74</v>
      </c>
      <c r="H2356" s="3">
        <v>5400.2526086956505</v>
      </c>
      <c r="I2356" s="1">
        <v>45764</v>
      </c>
      <c r="J2356" t="s">
        <v>22</v>
      </c>
      <c r="K2356" t="s">
        <v>23</v>
      </c>
      <c r="L2356" s="3">
        <v>1404.0656782608692</v>
      </c>
      <c r="M2356" t="s">
        <v>11</v>
      </c>
    </row>
    <row r="2357" spans="1:13" x14ac:dyDescent="0.3">
      <c r="A2357">
        <v>3355</v>
      </c>
      <c r="B2357" t="s">
        <v>2369</v>
      </c>
      <c r="C2357" t="s">
        <v>29</v>
      </c>
      <c r="D2357" t="s">
        <v>30</v>
      </c>
      <c r="E2357">
        <v>2</v>
      </c>
      <c r="F2357" s="3">
        <v>3111.18</v>
      </c>
      <c r="G2357" s="4">
        <v>0.03</v>
      </c>
      <c r="H2357" s="3">
        <v>6222.36</v>
      </c>
      <c r="I2357" s="1">
        <v>45782</v>
      </c>
      <c r="J2357" t="s">
        <v>18</v>
      </c>
      <c r="K2357" t="s">
        <v>23</v>
      </c>
      <c r="L2357" s="3">
        <v>6035.6891999999998</v>
      </c>
      <c r="M2357" t="s">
        <v>11</v>
      </c>
    </row>
    <row r="2358" spans="1:13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 s="3">
        <v>966.41</v>
      </c>
      <c r="G2358" s="4">
        <v>0.6</v>
      </c>
      <c r="H2358" s="3">
        <v>966.41</v>
      </c>
      <c r="I2358" s="1">
        <v>45499</v>
      </c>
      <c r="J2358" t="s">
        <v>40</v>
      </c>
      <c r="K2358" t="s">
        <v>16</v>
      </c>
      <c r="L2358" s="3">
        <v>386.56400000000002</v>
      </c>
      <c r="M2358" t="s">
        <v>2518</v>
      </c>
    </row>
    <row r="2359" spans="1:13" x14ac:dyDescent="0.3">
      <c r="A2359">
        <v>3357</v>
      </c>
      <c r="B2359" t="s">
        <v>2371</v>
      </c>
      <c r="C2359" t="s">
        <v>38</v>
      </c>
      <c r="D2359" t="s">
        <v>59</v>
      </c>
      <c r="E2359">
        <v>2</v>
      </c>
      <c r="F2359" s="3">
        <v>4909.58</v>
      </c>
      <c r="G2359" s="4">
        <v>0.6</v>
      </c>
      <c r="H2359" s="3">
        <v>9819.16</v>
      </c>
      <c r="I2359" s="1">
        <v>45213</v>
      </c>
      <c r="J2359" t="s">
        <v>46</v>
      </c>
      <c r="K2359" t="s">
        <v>23</v>
      </c>
      <c r="L2359" s="3">
        <v>3927.6640000000002</v>
      </c>
      <c r="M2359" t="s">
        <v>11</v>
      </c>
    </row>
    <row r="2360" spans="1:13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F2360" s="3">
        <v>2845.2419672131159</v>
      </c>
      <c r="G2360" s="4">
        <v>0.6</v>
      </c>
      <c r="H2360" s="3">
        <v>-5690.4839344262318</v>
      </c>
      <c r="I2360" s="1">
        <v>45618</v>
      </c>
      <c r="J2360" t="s">
        <v>15</v>
      </c>
      <c r="K2360" t="s">
        <v>16</v>
      </c>
      <c r="L2360" s="3">
        <v>-2276.193573770493</v>
      </c>
      <c r="M2360" t="s">
        <v>2518</v>
      </c>
    </row>
    <row r="2361" spans="1:13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 s="3">
        <v>1380.44</v>
      </c>
      <c r="G2361" s="4">
        <v>0.6</v>
      </c>
      <c r="H2361" s="3">
        <v>-2760.88</v>
      </c>
      <c r="I2361" s="1">
        <v>45782</v>
      </c>
      <c r="J2361" t="s">
        <v>22</v>
      </c>
      <c r="K2361" t="s">
        <v>23</v>
      </c>
      <c r="L2361" s="3">
        <v>-1104.3520000000001</v>
      </c>
      <c r="M2361" t="s">
        <v>2518</v>
      </c>
    </row>
    <row r="2362" spans="1:13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F2362" s="3">
        <v>2381.2677586206896</v>
      </c>
      <c r="G2362" s="4">
        <v>0.6</v>
      </c>
      <c r="H2362" s="3">
        <v>11906.338793103449</v>
      </c>
      <c r="I2362" s="1">
        <v>45699</v>
      </c>
      <c r="J2362" t="s">
        <v>56</v>
      </c>
      <c r="K2362" t="s">
        <v>23</v>
      </c>
      <c r="L2362" s="3">
        <v>4762.5355172413792</v>
      </c>
      <c r="M2362" t="s">
        <v>11</v>
      </c>
    </row>
    <row r="2363" spans="1:13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F2363" s="3">
        <v>2462.79</v>
      </c>
      <c r="G2363" s="4">
        <v>0.6</v>
      </c>
      <c r="H2363" s="3">
        <v>4925.58</v>
      </c>
      <c r="I2363" s="1">
        <v>45782</v>
      </c>
      <c r="J2363" t="s">
        <v>40</v>
      </c>
      <c r="K2363" t="s">
        <v>23</v>
      </c>
      <c r="L2363" s="3">
        <v>1970.232</v>
      </c>
      <c r="M2363" t="s">
        <v>11</v>
      </c>
    </row>
    <row r="2364" spans="1:13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F2364" s="3">
        <v>2617.6390384615388</v>
      </c>
      <c r="G2364" s="4">
        <v>0.6</v>
      </c>
      <c r="H2364" s="3">
        <v>5235.2780769230776</v>
      </c>
      <c r="I2364" s="1">
        <v>45802</v>
      </c>
      <c r="J2364" t="s">
        <v>56</v>
      </c>
      <c r="K2364" t="s">
        <v>23</v>
      </c>
      <c r="L2364" s="3">
        <v>2094.111230769231</v>
      </c>
      <c r="M2364" t="s">
        <v>11</v>
      </c>
    </row>
    <row r="2365" spans="1:13" x14ac:dyDescent="0.3">
      <c r="A2365">
        <v>3363</v>
      </c>
      <c r="B2365" t="s">
        <v>2377</v>
      </c>
      <c r="C2365" t="s">
        <v>20</v>
      </c>
      <c r="D2365" t="s">
        <v>21</v>
      </c>
      <c r="E2365">
        <v>2</v>
      </c>
      <c r="F2365" s="3">
        <v>3754.24</v>
      </c>
      <c r="G2365" s="4">
        <v>0.6</v>
      </c>
      <c r="H2365" s="3">
        <v>7508.48</v>
      </c>
      <c r="I2365" s="1">
        <v>45782</v>
      </c>
      <c r="J2365" t="s">
        <v>15</v>
      </c>
      <c r="K2365" t="s">
        <v>23</v>
      </c>
      <c r="L2365" s="3">
        <v>3003.3919999999998</v>
      </c>
      <c r="M2365" t="s">
        <v>11</v>
      </c>
    </row>
    <row r="2366" spans="1:13" x14ac:dyDescent="0.3">
      <c r="A2366">
        <v>3364</v>
      </c>
      <c r="B2366" t="s">
        <v>2378</v>
      </c>
      <c r="C2366" t="s">
        <v>20</v>
      </c>
      <c r="D2366" t="s">
        <v>122</v>
      </c>
      <c r="E2366">
        <v>2</v>
      </c>
      <c r="F2366" s="3">
        <v>2700.1263043478252</v>
      </c>
      <c r="G2366" s="4">
        <v>0.6</v>
      </c>
      <c r="H2366" s="3">
        <v>5400.2526086956505</v>
      </c>
      <c r="I2366" s="1">
        <v>45846</v>
      </c>
      <c r="J2366" t="s">
        <v>18</v>
      </c>
      <c r="K2366" t="s">
        <v>23</v>
      </c>
      <c r="L2366" s="3">
        <v>2160.1010434782602</v>
      </c>
      <c r="M2366" t="s">
        <v>11</v>
      </c>
    </row>
    <row r="2367" spans="1:13" x14ac:dyDescent="0.3">
      <c r="A2367">
        <v>3365</v>
      </c>
      <c r="B2367" t="s">
        <v>2379</v>
      </c>
      <c r="C2367" t="s">
        <v>25</v>
      </c>
      <c r="D2367" t="s">
        <v>26</v>
      </c>
      <c r="E2367">
        <v>2</v>
      </c>
      <c r="F2367" s="3">
        <v>2414.9299999999998</v>
      </c>
      <c r="G2367" s="4">
        <v>0.6</v>
      </c>
      <c r="H2367" s="3">
        <v>4829.8599999999997</v>
      </c>
      <c r="I2367" s="1">
        <v>45771</v>
      </c>
      <c r="J2367" t="s">
        <v>40</v>
      </c>
      <c r="K2367" t="s">
        <v>23</v>
      </c>
      <c r="L2367" s="3">
        <v>1931.944</v>
      </c>
      <c r="M2367" t="s">
        <v>11</v>
      </c>
    </row>
    <row r="2368" spans="1:13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 s="3">
        <v>636.53</v>
      </c>
      <c r="G2368" s="4">
        <v>0.6</v>
      </c>
      <c r="H2368" s="3">
        <v>3182.6499999999996</v>
      </c>
      <c r="I2368" s="1">
        <v>45748</v>
      </c>
      <c r="J2368" t="s">
        <v>22</v>
      </c>
      <c r="K2368" t="s">
        <v>23</v>
      </c>
      <c r="L2368" s="3">
        <v>1273.06</v>
      </c>
      <c r="M2368" t="s">
        <v>11</v>
      </c>
    </row>
    <row r="2369" spans="1:13" x14ac:dyDescent="0.3">
      <c r="A2369">
        <v>3367</v>
      </c>
      <c r="B2369" t="s">
        <v>2380</v>
      </c>
      <c r="C2369" t="s">
        <v>29</v>
      </c>
      <c r="D2369" t="s">
        <v>120</v>
      </c>
      <c r="E2369">
        <v>2</v>
      </c>
      <c r="F2369" s="3">
        <v>4206.91</v>
      </c>
      <c r="G2369" s="4">
        <v>0.6</v>
      </c>
      <c r="H2369" s="3">
        <v>8413.82</v>
      </c>
      <c r="I2369" s="1">
        <v>45493</v>
      </c>
      <c r="J2369" t="s">
        <v>40</v>
      </c>
      <c r="K2369" t="s">
        <v>16</v>
      </c>
      <c r="L2369" s="3">
        <v>3365.5280000000002</v>
      </c>
      <c r="M2369" t="s">
        <v>11</v>
      </c>
    </row>
    <row r="2370" spans="1:13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F2370" s="3">
        <v>2559.6667307692314</v>
      </c>
      <c r="G2370" s="4">
        <v>0.6</v>
      </c>
      <c r="H2370" s="3">
        <v>10238.666923076926</v>
      </c>
      <c r="I2370" s="1">
        <v>45782</v>
      </c>
      <c r="J2370" t="s">
        <v>18</v>
      </c>
      <c r="K2370" t="s">
        <v>23</v>
      </c>
      <c r="L2370" s="3">
        <v>4095.4667692307703</v>
      </c>
      <c r="M2370" t="s">
        <v>11</v>
      </c>
    </row>
    <row r="2371" spans="1:13" x14ac:dyDescent="0.3">
      <c r="A2371">
        <v>3369</v>
      </c>
      <c r="B2371" t="s">
        <v>2382</v>
      </c>
      <c r="C2371" t="s">
        <v>13</v>
      </c>
      <c r="D2371" t="s">
        <v>36</v>
      </c>
      <c r="E2371">
        <v>2</v>
      </c>
      <c r="F2371" s="3">
        <v>2882.5046551724135</v>
      </c>
      <c r="G2371" s="4">
        <v>0.6</v>
      </c>
      <c r="H2371" s="3">
        <v>5765.0093103448271</v>
      </c>
      <c r="I2371" s="1">
        <v>45678</v>
      </c>
      <c r="J2371" t="s">
        <v>40</v>
      </c>
      <c r="K2371" t="s">
        <v>23</v>
      </c>
      <c r="L2371" s="3">
        <v>2306.0037241379309</v>
      </c>
      <c r="M2371" t="s">
        <v>11</v>
      </c>
    </row>
    <row r="2372" spans="1:13" x14ac:dyDescent="0.3">
      <c r="A2372">
        <v>3370</v>
      </c>
      <c r="B2372" t="s">
        <v>2383</v>
      </c>
      <c r="C2372" t="s">
        <v>20</v>
      </c>
      <c r="D2372" t="s">
        <v>88</v>
      </c>
      <c r="E2372">
        <v>2</v>
      </c>
      <c r="F2372" s="3">
        <v>2725.8557142857148</v>
      </c>
      <c r="G2372" s="4">
        <v>0.6</v>
      </c>
      <c r="H2372" s="3">
        <v>5451.7114285714297</v>
      </c>
      <c r="I2372" s="1">
        <v>45347</v>
      </c>
      <c r="J2372" t="s">
        <v>40</v>
      </c>
      <c r="K2372" t="s">
        <v>23</v>
      </c>
      <c r="L2372" s="3">
        <v>2180.6845714285719</v>
      </c>
      <c r="M2372" t="s">
        <v>11</v>
      </c>
    </row>
    <row r="2373" spans="1:13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F2373" s="3">
        <v>2785.0877966101693</v>
      </c>
      <c r="G2373" s="4">
        <v>0.6</v>
      </c>
      <c r="H2373" s="3">
        <v>13925.438983050846</v>
      </c>
      <c r="I2373" s="1">
        <v>45630</v>
      </c>
      <c r="J2373" t="s">
        <v>15</v>
      </c>
      <c r="K2373" t="s">
        <v>23</v>
      </c>
      <c r="L2373" s="3">
        <v>5570.1755932203387</v>
      </c>
      <c r="M2373" t="s">
        <v>11</v>
      </c>
    </row>
    <row r="2374" spans="1:13" x14ac:dyDescent="0.3">
      <c r="A2374">
        <v>3372</v>
      </c>
      <c r="B2374" t="s">
        <v>2385</v>
      </c>
      <c r="C2374" t="s">
        <v>13</v>
      </c>
      <c r="D2374" t="s">
        <v>14</v>
      </c>
      <c r="E2374">
        <v>2</v>
      </c>
      <c r="F2374" s="3">
        <v>2291.31</v>
      </c>
      <c r="G2374" s="4">
        <v>0.6</v>
      </c>
      <c r="H2374" s="3">
        <v>4582.62</v>
      </c>
      <c r="I2374" s="1">
        <v>45157</v>
      </c>
      <c r="J2374" t="s">
        <v>56</v>
      </c>
      <c r="K2374" t="s">
        <v>23</v>
      </c>
      <c r="L2374" s="3">
        <v>1833.048</v>
      </c>
      <c r="M2374" t="s">
        <v>11</v>
      </c>
    </row>
    <row r="2375" spans="1:13" x14ac:dyDescent="0.3">
      <c r="A2375">
        <v>3373</v>
      </c>
      <c r="B2375" t="s">
        <v>2386</v>
      </c>
      <c r="C2375" t="s">
        <v>25</v>
      </c>
      <c r="D2375" t="s">
        <v>66</v>
      </c>
      <c r="E2375">
        <v>2</v>
      </c>
      <c r="F2375" s="3">
        <v>3507.48</v>
      </c>
      <c r="G2375" s="4">
        <v>0.6</v>
      </c>
      <c r="H2375" s="3">
        <v>7014.96</v>
      </c>
      <c r="I2375" s="1">
        <v>45642</v>
      </c>
      <c r="J2375" t="s">
        <v>22</v>
      </c>
      <c r="K2375" t="s">
        <v>23</v>
      </c>
      <c r="L2375" s="3">
        <v>2805.9840000000004</v>
      </c>
      <c r="M2375" t="s">
        <v>11</v>
      </c>
    </row>
    <row r="2376" spans="1:13" x14ac:dyDescent="0.3">
      <c r="A2376">
        <v>3374</v>
      </c>
      <c r="B2376" t="s">
        <v>2387</v>
      </c>
      <c r="C2376" t="s">
        <v>38</v>
      </c>
      <c r="D2376" t="s">
        <v>63</v>
      </c>
      <c r="E2376">
        <v>2</v>
      </c>
      <c r="F2376" s="3">
        <v>2489.23</v>
      </c>
      <c r="G2376" s="4">
        <v>0.6</v>
      </c>
      <c r="H2376" s="3">
        <v>4978.46</v>
      </c>
      <c r="I2376" s="1">
        <v>45666</v>
      </c>
      <c r="J2376" t="s">
        <v>56</v>
      </c>
      <c r="K2376" t="s">
        <v>16</v>
      </c>
      <c r="L2376" s="3">
        <v>1991.384</v>
      </c>
      <c r="M2376" t="s">
        <v>11</v>
      </c>
    </row>
    <row r="2377" spans="1:13" x14ac:dyDescent="0.3">
      <c r="A2377">
        <v>3375</v>
      </c>
      <c r="B2377" t="s">
        <v>2388</v>
      </c>
      <c r="C2377" t="s">
        <v>20</v>
      </c>
      <c r="D2377" t="s">
        <v>88</v>
      </c>
      <c r="E2377">
        <v>2</v>
      </c>
      <c r="F2377" s="3">
        <v>442.08</v>
      </c>
      <c r="G2377" s="4">
        <v>0.6</v>
      </c>
      <c r="H2377" s="3">
        <v>884.16</v>
      </c>
      <c r="I2377" s="1">
        <v>45672</v>
      </c>
      <c r="J2377" t="s">
        <v>56</v>
      </c>
      <c r="K2377" t="s">
        <v>23</v>
      </c>
      <c r="L2377" s="3">
        <v>353.66399999999999</v>
      </c>
      <c r="M2377" t="s">
        <v>2518</v>
      </c>
    </row>
    <row r="2378" spans="1:13" x14ac:dyDescent="0.3">
      <c r="A2378">
        <v>3376</v>
      </c>
      <c r="B2378" t="s">
        <v>2389</v>
      </c>
      <c r="C2378" t="s">
        <v>13</v>
      </c>
      <c r="D2378" t="s">
        <v>102</v>
      </c>
      <c r="E2378">
        <v>2</v>
      </c>
      <c r="F2378" s="3">
        <v>2576.3056896551716</v>
      </c>
      <c r="G2378" s="4">
        <v>0.6</v>
      </c>
      <c r="H2378" s="3">
        <v>5152.6113793103432</v>
      </c>
      <c r="I2378" s="1">
        <v>45269</v>
      </c>
      <c r="J2378" t="s">
        <v>15</v>
      </c>
      <c r="K2378" t="s">
        <v>23</v>
      </c>
      <c r="L2378" s="3">
        <v>2061.0445517241374</v>
      </c>
      <c r="M2378" t="s">
        <v>11</v>
      </c>
    </row>
    <row r="2379" spans="1:13" x14ac:dyDescent="0.3">
      <c r="A2379">
        <v>3377</v>
      </c>
      <c r="B2379" t="s">
        <v>2390</v>
      </c>
      <c r="C2379" t="s">
        <v>38</v>
      </c>
      <c r="D2379" t="s">
        <v>63</v>
      </c>
      <c r="E2379">
        <v>2</v>
      </c>
      <c r="F2379" s="3">
        <v>1064.3699999999999</v>
      </c>
      <c r="G2379" s="4">
        <v>0.6</v>
      </c>
      <c r="H2379" s="3">
        <v>2128.7399999999998</v>
      </c>
      <c r="I2379" s="1">
        <v>45816</v>
      </c>
      <c r="J2379" t="s">
        <v>15</v>
      </c>
      <c r="K2379" t="s">
        <v>23</v>
      </c>
      <c r="L2379" s="3">
        <v>851.49599999999998</v>
      </c>
      <c r="M2379" t="s">
        <v>11</v>
      </c>
    </row>
    <row r="2380" spans="1:13" x14ac:dyDescent="0.3">
      <c r="A2380">
        <v>3378</v>
      </c>
      <c r="B2380" t="s">
        <v>2391</v>
      </c>
      <c r="C2380" t="s">
        <v>20</v>
      </c>
      <c r="D2380" t="s">
        <v>122</v>
      </c>
      <c r="E2380">
        <v>2</v>
      </c>
      <c r="F2380" s="3">
        <v>3675</v>
      </c>
      <c r="G2380" s="4">
        <v>0.6</v>
      </c>
      <c r="H2380" s="3">
        <v>7350</v>
      </c>
      <c r="I2380" s="1">
        <v>45782</v>
      </c>
      <c r="J2380" t="s">
        <v>46</v>
      </c>
      <c r="K2380" t="s">
        <v>16</v>
      </c>
      <c r="L2380" s="3">
        <v>2940</v>
      </c>
      <c r="M2380" t="s">
        <v>11</v>
      </c>
    </row>
    <row r="2381" spans="1:13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F2381" s="3">
        <v>2462.79</v>
      </c>
      <c r="G2381" s="4">
        <v>0.6</v>
      </c>
      <c r="H2381" s="3">
        <v>-4925.58</v>
      </c>
      <c r="I2381" s="1">
        <v>45445</v>
      </c>
      <c r="J2381" t="s">
        <v>46</v>
      </c>
      <c r="K2381" t="s">
        <v>16</v>
      </c>
      <c r="L2381" s="3">
        <v>-1970.232</v>
      </c>
      <c r="M2381" t="s">
        <v>2518</v>
      </c>
    </row>
    <row r="2382" spans="1:13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 s="3">
        <v>4166.34</v>
      </c>
      <c r="G2382" s="4">
        <v>0.6</v>
      </c>
      <c r="H2382" s="3">
        <v>8332.68</v>
      </c>
      <c r="I2382" s="1">
        <v>45579</v>
      </c>
      <c r="J2382" t="s">
        <v>56</v>
      </c>
      <c r="K2382" t="s">
        <v>23</v>
      </c>
      <c r="L2382" s="3">
        <v>3333.0720000000001</v>
      </c>
      <c r="M2382" t="s">
        <v>11</v>
      </c>
    </row>
    <row r="2383" spans="1:13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F2383" s="3">
        <v>2572.7764000000006</v>
      </c>
      <c r="G2383" s="4">
        <v>0.1</v>
      </c>
      <c r="H2383" s="3">
        <v>-2572.7764000000006</v>
      </c>
      <c r="I2383" s="1">
        <v>45563</v>
      </c>
      <c r="J2383" t="s">
        <v>18</v>
      </c>
      <c r="K2383" t="s">
        <v>23</v>
      </c>
      <c r="L2383" s="3">
        <v>-2315.4987600000009</v>
      </c>
      <c r="M2383" t="s">
        <v>2518</v>
      </c>
    </row>
    <row r="2384" spans="1:13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F2384" s="3">
        <v>2501.5309999999999</v>
      </c>
      <c r="G2384" s="4">
        <v>0.6</v>
      </c>
      <c r="H2384" s="3">
        <v>2501.5309999999999</v>
      </c>
      <c r="I2384" s="1">
        <v>45755</v>
      </c>
      <c r="J2384" t="s">
        <v>56</v>
      </c>
      <c r="K2384" t="s">
        <v>23</v>
      </c>
      <c r="L2384" s="3">
        <v>1000.6124</v>
      </c>
      <c r="M2384" t="s">
        <v>11</v>
      </c>
    </row>
    <row r="2385" spans="1:13" x14ac:dyDescent="0.3">
      <c r="A2385">
        <v>3383</v>
      </c>
      <c r="B2385" t="s">
        <v>2396</v>
      </c>
      <c r="C2385" t="s">
        <v>13</v>
      </c>
      <c r="D2385" t="s">
        <v>36</v>
      </c>
      <c r="E2385">
        <v>2</v>
      </c>
      <c r="F2385" s="3">
        <v>2882.5046551724135</v>
      </c>
      <c r="G2385" s="4">
        <v>0.64</v>
      </c>
      <c r="H2385" s="3">
        <v>5765.0093103448271</v>
      </c>
      <c r="I2385" s="1">
        <v>45133</v>
      </c>
      <c r="J2385" t="s">
        <v>18</v>
      </c>
      <c r="K2385" t="s">
        <v>23</v>
      </c>
      <c r="L2385" s="3">
        <v>2075.4033517241378</v>
      </c>
      <c r="M2385" t="s">
        <v>11</v>
      </c>
    </row>
    <row r="2386" spans="1:13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 s="3">
        <v>2282.7600000000002</v>
      </c>
      <c r="G2386" s="4">
        <v>0.57999999999999996</v>
      </c>
      <c r="H2386" s="3">
        <v>2282.7600000000002</v>
      </c>
      <c r="I2386" s="1">
        <v>45600</v>
      </c>
      <c r="J2386" t="s">
        <v>40</v>
      </c>
      <c r="K2386" t="s">
        <v>23</v>
      </c>
      <c r="L2386" s="3">
        <v>958.75920000000019</v>
      </c>
      <c r="M2386" t="s">
        <v>11</v>
      </c>
    </row>
    <row r="2387" spans="1:13" x14ac:dyDescent="0.3">
      <c r="A2387">
        <v>3385</v>
      </c>
      <c r="B2387" t="s">
        <v>2398</v>
      </c>
      <c r="C2387" t="s">
        <v>38</v>
      </c>
      <c r="D2387" t="s">
        <v>91</v>
      </c>
      <c r="E2387">
        <v>2</v>
      </c>
      <c r="F2387" s="3">
        <v>2394.84</v>
      </c>
      <c r="G2387" s="4">
        <v>0.6</v>
      </c>
      <c r="H2387" s="3">
        <v>4789.68</v>
      </c>
      <c r="I2387" s="1">
        <v>45564</v>
      </c>
      <c r="J2387" t="s">
        <v>18</v>
      </c>
      <c r="K2387" t="s">
        <v>23</v>
      </c>
      <c r="L2387" s="3">
        <v>1915.8720000000003</v>
      </c>
      <c r="M2387" t="s">
        <v>11</v>
      </c>
    </row>
    <row r="2388" spans="1:13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F2388" s="3">
        <v>2715.5458490566025</v>
      </c>
      <c r="G2388" s="4">
        <v>1.18</v>
      </c>
      <c r="H2388" s="3">
        <v>2715.5458490566025</v>
      </c>
      <c r="I2388" s="1">
        <v>45811</v>
      </c>
      <c r="J2388" t="s">
        <v>22</v>
      </c>
      <c r="K2388" t="s">
        <v>16</v>
      </c>
      <c r="L2388" s="3">
        <v>-488.79825283018829</v>
      </c>
      <c r="M2388" t="s">
        <v>2518</v>
      </c>
    </row>
    <row r="2389" spans="1:13" x14ac:dyDescent="0.3">
      <c r="A2389">
        <v>3387</v>
      </c>
      <c r="B2389" t="s">
        <v>2400</v>
      </c>
      <c r="C2389" t="s">
        <v>13</v>
      </c>
      <c r="D2389" t="s">
        <v>102</v>
      </c>
      <c r="E2389">
        <v>2</v>
      </c>
      <c r="F2389" s="3">
        <v>2576.3056896551716</v>
      </c>
      <c r="G2389" s="4">
        <v>0.6</v>
      </c>
      <c r="H2389" s="3">
        <v>5152.6113793103432</v>
      </c>
      <c r="I2389" s="1">
        <v>45848</v>
      </c>
      <c r="J2389" t="s">
        <v>40</v>
      </c>
      <c r="K2389" t="s">
        <v>23</v>
      </c>
      <c r="L2389" s="3">
        <v>2061.0445517241374</v>
      </c>
      <c r="M2389" t="s">
        <v>11</v>
      </c>
    </row>
    <row r="2390" spans="1:13" x14ac:dyDescent="0.3">
      <c r="A2390">
        <v>1011</v>
      </c>
      <c r="B2390" t="s">
        <v>2401</v>
      </c>
      <c r="C2390" t="s">
        <v>38</v>
      </c>
      <c r="D2390" t="s">
        <v>39</v>
      </c>
      <c r="E2390">
        <v>2</v>
      </c>
      <c r="F2390" s="3">
        <v>2842.91</v>
      </c>
      <c r="G2390" s="4">
        <v>0.6</v>
      </c>
      <c r="H2390" s="3">
        <v>5685.82</v>
      </c>
      <c r="I2390" s="1">
        <v>45828</v>
      </c>
      <c r="J2390" t="s">
        <v>22</v>
      </c>
      <c r="K2390" t="s">
        <v>16</v>
      </c>
      <c r="L2390" s="3">
        <v>2274.328</v>
      </c>
      <c r="M2390" t="s">
        <v>11</v>
      </c>
    </row>
    <row r="2391" spans="1:13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F2391" s="3">
        <v>2830.1325714285731</v>
      </c>
      <c r="G2391" s="4">
        <v>0.85</v>
      </c>
      <c r="H2391" s="3">
        <v>-2830.1325714285731</v>
      </c>
      <c r="I2391" s="1">
        <v>45782</v>
      </c>
      <c r="J2391" t="s">
        <v>18</v>
      </c>
      <c r="K2391" t="s">
        <v>23</v>
      </c>
      <c r="L2391" s="3">
        <v>-424.51988571428603</v>
      </c>
      <c r="M2391" t="s">
        <v>2518</v>
      </c>
    </row>
    <row r="2392" spans="1:13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 s="3">
        <v>1280.52</v>
      </c>
      <c r="G2392" s="4">
        <v>0.94</v>
      </c>
      <c r="H2392" s="3">
        <v>1280.52</v>
      </c>
      <c r="I2392" s="1">
        <v>45782</v>
      </c>
      <c r="J2392" t="s">
        <v>40</v>
      </c>
      <c r="K2392" t="s">
        <v>23</v>
      </c>
      <c r="L2392" s="3">
        <v>76.831200000000067</v>
      </c>
      <c r="M2392" t="s">
        <v>2518</v>
      </c>
    </row>
    <row r="2393" spans="1:13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 s="3">
        <v>1730.64</v>
      </c>
      <c r="G2393" s="4">
        <v>0.7</v>
      </c>
      <c r="H2393" s="3">
        <v>5191.92</v>
      </c>
      <c r="I2393" s="1">
        <v>45782</v>
      </c>
      <c r="J2393" t="s">
        <v>15</v>
      </c>
      <c r="K2393" t="s">
        <v>23</v>
      </c>
      <c r="L2393" s="3">
        <v>1557.5760000000002</v>
      </c>
      <c r="M2393" t="s">
        <v>11</v>
      </c>
    </row>
    <row r="2394" spans="1:13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F2394" s="3">
        <v>2681.1743636363635</v>
      </c>
      <c r="G2394" s="4">
        <v>0.38</v>
      </c>
      <c r="H2394" s="3">
        <v>0</v>
      </c>
      <c r="I2394" s="1">
        <v>45552</v>
      </c>
      <c r="J2394" t="s">
        <v>56</v>
      </c>
      <c r="K2394" t="s">
        <v>23</v>
      </c>
      <c r="L2394" s="3">
        <v>0</v>
      </c>
      <c r="M2394" t="s">
        <v>2518</v>
      </c>
    </row>
    <row r="2395" spans="1:13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F2395" s="3">
        <v>2559.6667307692314</v>
      </c>
      <c r="G2395" s="4">
        <v>7.0000000000000007E-2</v>
      </c>
      <c r="H2395" s="3">
        <v>12798.333653846157</v>
      </c>
      <c r="I2395" s="1">
        <v>45782</v>
      </c>
      <c r="J2395" t="s">
        <v>22</v>
      </c>
      <c r="K2395" t="s">
        <v>16</v>
      </c>
      <c r="L2395" s="3">
        <v>11902.450298076925</v>
      </c>
      <c r="M2395" t="s">
        <v>11</v>
      </c>
    </row>
    <row r="2396" spans="1:13" x14ac:dyDescent="0.3">
      <c r="A2396">
        <v>3394</v>
      </c>
      <c r="B2396" t="s">
        <v>2407</v>
      </c>
      <c r="C2396" t="s">
        <v>13</v>
      </c>
      <c r="D2396" t="s">
        <v>36</v>
      </c>
      <c r="E2396">
        <v>2</v>
      </c>
      <c r="F2396" s="3">
        <v>1509.34</v>
      </c>
      <c r="G2396" s="4">
        <v>0.6</v>
      </c>
      <c r="H2396" s="3">
        <v>3018.68</v>
      </c>
      <c r="I2396" s="1">
        <v>45692</v>
      </c>
      <c r="J2396" t="s">
        <v>22</v>
      </c>
      <c r="K2396" t="s">
        <v>23</v>
      </c>
      <c r="L2396" s="3">
        <v>1207.472</v>
      </c>
      <c r="M2396" t="s">
        <v>11</v>
      </c>
    </row>
    <row r="2397" spans="1:13" x14ac:dyDescent="0.3">
      <c r="A2397">
        <v>3395</v>
      </c>
      <c r="B2397" t="s">
        <v>2408</v>
      </c>
      <c r="C2397" t="s">
        <v>25</v>
      </c>
      <c r="D2397" t="s">
        <v>66</v>
      </c>
      <c r="E2397">
        <v>2</v>
      </c>
      <c r="F2397" s="3">
        <v>2572.7764000000006</v>
      </c>
      <c r="G2397" s="4">
        <v>0.6</v>
      </c>
      <c r="H2397" s="3">
        <v>5145.5528000000013</v>
      </c>
      <c r="I2397" s="1">
        <v>45597</v>
      </c>
      <c r="J2397" t="s">
        <v>46</v>
      </c>
      <c r="K2397" t="s">
        <v>23</v>
      </c>
      <c r="L2397" s="3">
        <v>2058.2211200000006</v>
      </c>
      <c r="M2397" t="s">
        <v>11</v>
      </c>
    </row>
    <row r="2398" spans="1:13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 s="3">
        <v>3760.09</v>
      </c>
      <c r="G2398" s="4">
        <v>0.6</v>
      </c>
      <c r="H2398" s="3">
        <v>7520.18</v>
      </c>
      <c r="I2398" s="1">
        <v>45638</v>
      </c>
      <c r="J2398" t="s">
        <v>56</v>
      </c>
      <c r="K2398" t="s">
        <v>23</v>
      </c>
      <c r="L2398" s="3">
        <v>3008.0720000000001</v>
      </c>
      <c r="M2398" t="s">
        <v>11</v>
      </c>
    </row>
    <row r="2399" spans="1:13" x14ac:dyDescent="0.3">
      <c r="A2399">
        <v>3397</v>
      </c>
      <c r="B2399" t="s">
        <v>2410</v>
      </c>
      <c r="C2399" t="s">
        <v>13</v>
      </c>
      <c r="D2399" t="s">
        <v>49</v>
      </c>
      <c r="E2399">
        <v>2</v>
      </c>
      <c r="F2399" s="3">
        <v>2785.0877966101693</v>
      </c>
      <c r="G2399" s="4">
        <v>0.6</v>
      </c>
      <c r="H2399" s="3">
        <v>5570.1755932203387</v>
      </c>
      <c r="I2399" s="1">
        <v>45782</v>
      </c>
      <c r="J2399" t="s">
        <v>18</v>
      </c>
      <c r="K2399" t="s">
        <v>16</v>
      </c>
      <c r="L2399" s="3">
        <v>2228.0702372881356</v>
      </c>
      <c r="M2399" t="s">
        <v>11</v>
      </c>
    </row>
    <row r="2400" spans="1:13" x14ac:dyDescent="0.3">
      <c r="A2400">
        <v>3398</v>
      </c>
      <c r="B2400" t="s">
        <v>2411</v>
      </c>
      <c r="C2400" t="s">
        <v>38</v>
      </c>
      <c r="D2400" t="s">
        <v>59</v>
      </c>
      <c r="E2400">
        <v>2</v>
      </c>
      <c r="F2400" s="3">
        <v>2784.25</v>
      </c>
      <c r="G2400" s="4">
        <v>0.6</v>
      </c>
      <c r="H2400" s="3">
        <v>5568.5</v>
      </c>
      <c r="I2400" s="1">
        <v>45782</v>
      </c>
      <c r="J2400" t="s">
        <v>56</v>
      </c>
      <c r="K2400" t="s">
        <v>23</v>
      </c>
      <c r="L2400" s="3">
        <v>2227.4</v>
      </c>
      <c r="M2400" t="s">
        <v>11</v>
      </c>
    </row>
    <row r="2401" spans="1:13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 s="3">
        <v>3111.73</v>
      </c>
      <c r="G2401" s="4">
        <v>0.6</v>
      </c>
      <c r="H2401" s="3">
        <v>15558.65</v>
      </c>
      <c r="I2401" s="1">
        <v>45484</v>
      </c>
      <c r="J2401" t="s">
        <v>40</v>
      </c>
      <c r="K2401" t="s">
        <v>16</v>
      </c>
      <c r="L2401" s="3">
        <v>6223.46</v>
      </c>
      <c r="M2401" t="s">
        <v>11</v>
      </c>
    </row>
    <row r="2402" spans="1:13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 s="3">
        <v>1249.6400000000001</v>
      </c>
      <c r="G2402" s="4">
        <v>0.6</v>
      </c>
      <c r="H2402" s="3">
        <v>0</v>
      </c>
      <c r="I2402" s="1">
        <v>45830</v>
      </c>
      <c r="J2402" t="s">
        <v>46</v>
      </c>
      <c r="K2402" t="s">
        <v>16</v>
      </c>
      <c r="L2402" s="3">
        <v>0</v>
      </c>
      <c r="M2402" t="s">
        <v>2518</v>
      </c>
    </row>
    <row r="2403" spans="1:13" x14ac:dyDescent="0.3">
      <c r="A2403">
        <v>3401</v>
      </c>
      <c r="B2403" t="s">
        <v>2414</v>
      </c>
      <c r="C2403" t="s">
        <v>20</v>
      </c>
      <c r="D2403" t="s">
        <v>21</v>
      </c>
      <c r="E2403">
        <v>2</v>
      </c>
      <c r="F2403" s="3">
        <v>1960.15</v>
      </c>
      <c r="G2403" s="4">
        <v>0.6</v>
      </c>
      <c r="H2403" s="3">
        <v>3920.3</v>
      </c>
      <c r="I2403" s="1">
        <v>45570</v>
      </c>
      <c r="J2403" t="s">
        <v>56</v>
      </c>
      <c r="K2403" t="s">
        <v>23</v>
      </c>
      <c r="L2403" s="3">
        <v>1568.1200000000001</v>
      </c>
      <c r="M2403" t="s">
        <v>11</v>
      </c>
    </row>
    <row r="2404" spans="1:13" x14ac:dyDescent="0.3">
      <c r="A2404">
        <v>3402</v>
      </c>
      <c r="B2404" t="s">
        <v>2415</v>
      </c>
      <c r="C2404" t="s">
        <v>38</v>
      </c>
      <c r="D2404" t="s">
        <v>59</v>
      </c>
      <c r="E2404">
        <v>2</v>
      </c>
      <c r="F2404" s="3">
        <v>2804.2651923076919</v>
      </c>
      <c r="G2404" s="4">
        <v>0.02</v>
      </c>
      <c r="H2404" s="3">
        <v>5608.5303846153838</v>
      </c>
      <c r="I2404" s="1">
        <v>45657</v>
      </c>
      <c r="J2404" t="s">
        <v>22</v>
      </c>
      <c r="K2404" t="s">
        <v>16</v>
      </c>
      <c r="L2404" s="3">
        <v>5496.3597769230764</v>
      </c>
      <c r="M2404" t="s">
        <v>11</v>
      </c>
    </row>
    <row r="2405" spans="1:13" x14ac:dyDescent="0.3">
      <c r="A2405">
        <v>3403</v>
      </c>
      <c r="B2405" t="s">
        <v>2416</v>
      </c>
      <c r="C2405" t="s">
        <v>33</v>
      </c>
      <c r="D2405" t="s">
        <v>82</v>
      </c>
      <c r="E2405">
        <v>2</v>
      </c>
      <c r="F2405" s="3">
        <v>2609.06</v>
      </c>
      <c r="G2405" s="4">
        <v>0.65</v>
      </c>
      <c r="H2405" s="3">
        <v>5218.12</v>
      </c>
      <c r="I2405" s="1">
        <v>45775</v>
      </c>
      <c r="J2405" t="s">
        <v>56</v>
      </c>
      <c r="K2405" t="s">
        <v>16</v>
      </c>
      <c r="L2405" s="3">
        <v>1826.3419999999999</v>
      </c>
      <c r="M2405" t="s">
        <v>11</v>
      </c>
    </row>
    <row r="2406" spans="1:13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F2406" s="3">
        <v>2462.79</v>
      </c>
      <c r="G2406" s="4">
        <v>0.81</v>
      </c>
      <c r="H2406" s="3">
        <v>12313.95</v>
      </c>
      <c r="I2406" s="1">
        <v>45782</v>
      </c>
      <c r="J2406" t="s">
        <v>46</v>
      </c>
      <c r="K2406" t="s">
        <v>23</v>
      </c>
      <c r="L2406" s="3">
        <v>2339.6504999999993</v>
      </c>
      <c r="M2406" t="s">
        <v>11</v>
      </c>
    </row>
    <row r="2407" spans="1:13" x14ac:dyDescent="0.3">
      <c r="A2407">
        <v>3405</v>
      </c>
      <c r="B2407" t="s">
        <v>2418</v>
      </c>
      <c r="C2407" t="s">
        <v>33</v>
      </c>
      <c r="D2407" t="s">
        <v>82</v>
      </c>
      <c r="E2407">
        <v>2</v>
      </c>
      <c r="F2407" s="3">
        <v>2310.4699999999998</v>
      </c>
      <c r="G2407" s="4">
        <v>0.6</v>
      </c>
      <c r="H2407" s="3">
        <v>4620.9399999999996</v>
      </c>
      <c r="I2407" s="1">
        <v>45782</v>
      </c>
      <c r="J2407" t="s">
        <v>22</v>
      </c>
      <c r="K2407" t="s">
        <v>16</v>
      </c>
      <c r="L2407" s="3">
        <v>1848.376</v>
      </c>
      <c r="M2407" t="s">
        <v>11</v>
      </c>
    </row>
    <row r="2408" spans="1:13" x14ac:dyDescent="0.3">
      <c r="A2408">
        <v>3406</v>
      </c>
      <c r="B2408" t="s">
        <v>2419</v>
      </c>
      <c r="C2408" t="s">
        <v>38</v>
      </c>
      <c r="D2408" t="s">
        <v>59</v>
      </c>
      <c r="E2408">
        <v>2</v>
      </c>
      <c r="F2408" s="3">
        <v>2804.2651923076919</v>
      </c>
      <c r="G2408" s="4">
        <v>0.6</v>
      </c>
      <c r="H2408" s="3">
        <v>5608.5303846153838</v>
      </c>
      <c r="I2408" s="1">
        <v>45384</v>
      </c>
      <c r="J2408" t="s">
        <v>22</v>
      </c>
      <c r="K2408" t="s">
        <v>23</v>
      </c>
      <c r="L2408" s="3">
        <v>2243.4121538461536</v>
      </c>
      <c r="M2408" t="s">
        <v>11</v>
      </c>
    </row>
    <row r="2409" spans="1:13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F2409" s="3">
        <v>2576.3056896551716</v>
      </c>
      <c r="G2409" s="4">
        <v>0.67</v>
      </c>
      <c r="H2409" s="3">
        <v>2576.3056896551716</v>
      </c>
      <c r="I2409" s="1">
        <v>45166</v>
      </c>
      <c r="J2409" t="s">
        <v>18</v>
      </c>
      <c r="K2409" t="s">
        <v>16</v>
      </c>
      <c r="L2409" s="3">
        <v>850.18087758620652</v>
      </c>
      <c r="M2409" t="s">
        <v>11</v>
      </c>
    </row>
    <row r="2410" spans="1:13" x14ac:dyDescent="0.3">
      <c r="A2410">
        <v>3408</v>
      </c>
      <c r="B2410" t="s">
        <v>2421</v>
      </c>
      <c r="C2410" t="s">
        <v>29</v>
      </c>
      <c r="D2410" t="s">
        <v>120</v>
      </c>
      <c r="E2410">
        <v>2</v>
      </c>
      <c r="F2410" s="3">
        <v>4003.66</v>
      </c>
      <c r="G2410" s="4">
        <v>0.6</v>
      </c>
      <c r="H2410" s="3">
        <v>8007.32</v>
      </c>
      <c r="I2410" s="1">
        <v>45570</v>
      </c>
      <c r="J2410" t="s">
        <v>56</v>
      </c>
      <c r="K2410" t="s">
        <v>23</v>
      </c>
      <c r="L2410" s="3">
        <v>3202.9279999999999</v>
      </c>
      <c r="M2410" t="s">
        <v>11</v>
      </c>
    </row>
    <row r="2411" spans="1:13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 s="3">
        <v>2123.17</v>
      </c>
      <c r="G2411" s="4">
        <v>0.6</v>
      </c>
      <c r="H2411" s="3">
        <v>-2123.17</v>
      </c>
      <c r="I2411" s="1">
        <v>45782</v>
      </c>
      <c r="J2411" t="s">
        <v>15</v>
      </c>
      <c r="K2411" t="s">
        <v>23</v>
      </c>
      <c r="L2411" s="3">
        <v>-849.26800000000003</v>
      </c>
      <c r="M2411" t="s">
        <v>2518</v>
      </c>
    </row>
    <row r="2412" spans="1:13" x14ac:dyDescent="0.3">
      <c r="A2412">
        <v>3410</v>
      </c>
      <c r="B2412" t="s">
        <v>2423</v>
      </c>
      <c r="C2412" t="s">
        <v>38</v>
      </c>
      <c r="D2412" t="s">
        <v>63</v>
      </c>
      <c r="E2412">
        <v>2</v>
      </c>
      <c r="F2412" s="3">
        <v>4732.42</v>
      </c>
      <c r="G2412" s="4">
        <v>0.6</v>
      </c>
      <c r="H2412" s="3">
        <v>9464.84</v>
      </c>
      <c r="I2412" s="1">
        <v>45844</v>
      </c>
      <c r="J2412" t="s">
        <v>18</v>
      </c>
      <c r="K2412" t="s">
        <v>23</v>
      </c>
      <c r="L2412" s="3">
        <v>3785.9360000000001</v>
      </c>
      <c r="M2412" t="s">
        <v>11</v>
      </c>
    </row>
    <row r="2413" spans="1:13" x14ac:dyDescent="0.3">
      <c r="A2413">
        <v>3411</v>
      </c>
      <c r="B2413" t="s">
        <v>2424</v>
      </c>
      <c r="C2413" t="s">
        <v>25</v>
      </c>
      <c r="D2413" t="s">
        <v>86</v>
      </c>
      <c r="E2413">
        <v>2</v>
      </c>
      <c r="F2413" s="3">
        <v>2501.5309999999999</v>
      </c>
      <c r="G2413" s="4">
        <v>0.57999999999999996</v>
      </c>
      <c r="H2413" s="3">
        <v>5003.0619999999999</v>
      </c>
      <c r="I2413" s="1">
        <v>45651</v>
      </c>
      <c r="J2413" t="s">
        <v>56</v>
      </c>
      <c r="K2413" t="s">
        <v>23</v>
      </c>
      <c r="L2413" s="3">
        <v>2101.28604</v>
      </c>
      <c r="M2413" t="s">
        <v>11</v>
      </c>
    </row>
    <row r="2414" spans="1:13" x14ac:dyDescent="0.3">
      <c r="A2414">
        <v>3412</v>
      </c>
      <c r="B2414" t="s">
        <v>2425</v>
      </c>
      <c r="C2414" t="s">
        <v>13</v>
      </c>
      <c r="D2414" t="s">
        <v>102</v>
      </c>
      <c r="E2414">
        <v>2</v>
      </c>
      <c r="F2414" s="3">
        <v>2576.3056896551716</v>
      </c>
      <c r="G2414" s="4">
        <v>0.6</v>
      </c>
      <c r="H2414" s="3">
        <v>5152.6113793103432</v>
      </c>
      <c r="I2414" s="1">
        <v>45592</v>
      </c>
      <c r="J2414" t="s">
        <v>18</v>
      </c>
      <c r="K2414" t="s">
        <v>23</v>
      </c>
      <c r="L2414" s="3">
        <v>2061.0445517241374</v>
      </c>
      <c r="M2414" t="s">
        <v>11</v>
      </c>
    </row>
    <row r="2415" spans="1:13" x14ac:dyDescent="0.3">
      <c r="A2415">
        <v>3413</v>
      </c>
      <c r="B2415" t="s">
        <v>2426</v>
      </c>
      <c r="C2415" t="s">
        <v>38</v>
      </c>
      <c r="D2415" t="s">
        <v>59</v>
      </c>
      <c r="E2415">
        <v>2</v>
      </c>
      <c r="F2415" s="3">
        <v>2804.2651923076919</v>
      </c>
      <c r="G2415" s="4">
        <v>0.6</v>
      </c>
      <c r="H2415" s="3">
        <v>5608.5303846153838</v>
      </c>
      <c r="I2415" s="1">
        <v>45782</v>
      </c>
      <c r="J2415" t="s">
        <v>40</v>
      </c>
      <c r="K2415" t="s">
        <v>16</v>
      </c>
      <c r="L2415" s="3">
        <v>2243.4121538461536</v>
      </c>
      <c r="M2415" t="s">
        <v>11</v>
      </c>
    </row>
    <row r="2416" spans="1:13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F2416" s="3">
        <v>2501.5309999999999</v>
      </c>
      <c r="G2416" s="4">
        <v>0.6</v>
      </c>
      <c r="H2416" s="3">
        <v>2501.5309999999999</v>
      </c>
      <c r="I2416" s="1">
        <v>45652</v>
      </c>
      <c r="J2416" t="s">
        <v>18</v>
      </c>
      <c r="K2416" t="s">
        <v>23</v>
      </c>
      <c r="L2416" s="3">
        <v>1000.6124</v>
      </c>
      <c r="M2416" t="s">
        <v>11</v>
      </c>
    </row>
    <row r="2417" spans="1:13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 s="3">
        <v>3185.58</v>
      </c>
      <c r="G2417" s="4">
        <v>1.1499999999999999</v>
      </c>
      <c r="H2417" s="3">
        <v>12742.32</v>
      </c>
      <c r="I2417" s="1">
        <v>45453</v>
      </c>
      <c r="J2417" t="s">
        <v>15</v>
      </c>
      <c r="K2417" t="s">
        <v>23</v>
      </c>
      <c r="L2417" s="3">
        <v>-1911.3479999999988</v>
      </c>
      <c r="M2417" t="s">
        <v>2518</v>
      </c>
    </row>
    <row r="2418" spans="1:13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F2418" s="3">
        <v>2681.1743636363635</v>
      </c>
      <c r="G2418" s="4">
        <v>0.6</v>
      </c>
      <c r="H2418" s="3">
        <v>-2681.1743636363635</v>
      </c>
      <c r="I2418" s="1">
        <v>45516</v>
      </c>
      <c r="J2418" t="s">
        <v>40</v>
      </c>
      <c r="K2418" t="s">
        <v>23</v>
      </c>
      <c r="L2418" s="3">
        <v>-1072.4697454545455</v>
      </c>
      <c r="M2418" t="s">
        <v>2518</v>
      </c>
    </row>
    <row r="2419" spans="1:13" x14ac:dyDescent="0.3">
      <c r="A2419">
        <v>3417</v>
      </c>
      <c r="B2419" t="s">
        <v>2430</v>
      </c>
      <c r="C2419" t="s">
        <v>13</v>
      </c>
      <c r="D2419" t="s">
        <v>49</v>
      </c>
      <c r="E2419">
        <v>2</v>
      </c>
      <c r="F2419" s="3">
        <v>2785.0877966101693</v>
      </c>
      <c r="G2419" s="4">
        <v>0.6</v>
      </c>
      <c r="H2419" s="3">
        <v>5570.1755932203387</v>
      </c>
      <c r="I2419" s="1">
        <v>45686</v>
      </c>
      <c r="J2419" t="s">
        <v>15</v>
      </c>
      <c r="K2419" t="s">
        <v>16</v>
      </c>
      <c r="L2419" s="3">
        <v>2228.0702372881356</v>
      </c>
      <c r="M2419" t="s">
        <v>11</v>
      </c>
    </row>
    <row r="2420" spans="1:13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F2420" s="3">
        <v>2381.2677586206896</v>
      </c>
      <c r="G2420" s="4">
        <v>0.56000000000000005</v>
      </c>
      <c r="H2420" s="3">
        <v>14287.606551724137</v>
      </c>
      <c r="I2420" s="1">
        <v>45782</v>
      </c>
      <c r="J2420" t="s">
        <v>18</v>
      </c>
      <c r="K2420" t="s">
        <v>23</v>
      </c>
      <c r="L2420" s="3">
        <v>6286.5468827586192</v>
      </c>
      <c r="M2420" t="s">
        <v>11</v>
      </c>
    </row>
    <row r="2421" spans="1:13" x14ac:dyDescent="0.3">
      <c r="A2421">
        <v>3419</v>
      </c>
      <c r="B2421" t="s">
        <v>83</v>
      </c>
      <c r="C2421" t="s">
        <v>33</v>
      </c>
      <c r="D2421" t="s">
        <v>34</v>
      </c>
      <c r="E2421">
        <v>2</v>
      </c>
      <c r="F2421" s="3">
        <v>2487.039615384615</v>
      </c>
      <c r="G2421" s="4">
        <v>0.6</v>
      </c>
      <c r="H2421" s="3">
        <v>4974.07923076923</v>
      </c>
      <c r="I2421" s="1">
        <v>45782</v>
      </c>
      <c r="J2421" t="s">
        <v>18</v>
      </c>
      <c r="K2421" t="s">
        <v>23</v>
      </c>
      <c r="L2421" s="3">
        <v>1989.631692307692</v>
      </c>
      <c r="M2421" t="s">
        <v>11</v>
      </c>
    </row>
    <row r="2422" spans="1:13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F2422" s="3">
        <v>2700.1263043478252</v>
      </c>
      <c r="G2422" s="4">
        <v>0.6</v>
      </c>
      <c r="H2422" s="3">
        <v>8100.3789130434761</v>
      </c>
      <c r="I2422" s="1">
        <v>45853</v>
      </c>
      <c r="J2422" t="s">
        <v>22</v>
      </c>
      <c r="K2422" t="s">
        <v>16</v>
      </c>
      <c r="L2422" s="3">
        <v>3240.1515652173907</v>
      </c>
      <c r="M2422" t="s">
        <v>11</v>
      </c>
    </row>
    <row r="2423" spans="1:13" x14ac:dyDescent="0.3">
      <c r="A2423">
        <v>3421</v>
      </c>
      <c r="B2423" t="s">
        <v>1223</v>
      </c>
      <c r="C2423" t="s">
        <v>25</v>
      </c>
      <c r="D2423" t="s">
        <v>26</v>
      </c>
      <c r="E2423">
        <v>2</v>
      </c>
      <c r="F2423" s="3">
        <v>2933.45</v>
      </c>
      <c r="G2423" s="4">
        <v>0.6</v>
      </c>
      <c r="H2423" s="3">
        <v>5866.9</v>
      </c>
      <c r="I2423" s="1">
        <v>45785</v>
      </c>
      <c r="J2423" t="s">
        <v>40</v>
      </c>
      <c r="K2423" t="s">
        <v>16</v>
      </c>
      <c r="L2423" s="3">
        <v>2346.7599999999998</v>
      </c>
      <c r="M2423" t="s">
        <v>11</v>
      </c>
    </row>
    <row r="2424" spans="1:13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F2424" s="3">
        <v>2462.79</v>
      </c>
      <c r="G2424" s="4">
        <v>0.6</v>
      </c>
      <c r="H2424" s="3">
        <v>14776.74</v>
      </c>
      <c r="I2424" s="1">
        <v>45516</v>
      </c>
      <c r="J2424" t="s">
        <v>46</v>
      </c>
      <c r="K2424" t="s">
        <v>23</v>
      </c>
      <c r="L2424" s="3">
        <v>5910.6959999999999</v>
      </c>
      <c r="M2424" t="s">
        <v>11</v>
      </c>
    </row>
    <row r="2425" spans="1:13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F2425" s="3">
        <v>2501.5309999999999</v>
      </c>
      <c r="G2425" s="4">
        <v>0.6</v>
      </c>
      <c r="H2425" s="3">
        <v>-5003.0619999999999</v>
      </c>
      <c r="I2425" s="1">
        <v>45519</v>
      </c>
      <c r="J2425" t="s">
        <v>18</v>
      </c>
      <c r="K2425" t="s">
        <v>16</v>
      </c>
      <c r="L2425" s="3">
        <v>-2001.2248</v>
      </c>
      <c r="M2425" t="s">
        <v>2518</v>
      </c>
    </row>
    <row r="2426" spans="1:13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 s="3">
        <v>4754.22</v>
      </c>
      <c r="G2426" s="4">
        <v>0.82</v>
      </c>
      <c r="H2426" s="3">
        <v>23771.100000000002</v>
      </c>
      <c r="I2426" s="1">
        <v>45794</v>
      </c>
      <c r="J2426" t="s">
        <v>56</v>
      </c>
      <c r="K2426" t="s">
        <v>23</v>
      </c>
      <c r="L2426" s="3">
        <v>4278.7980000000016</v>
      </c>
      <c r="M2426" t="s">
        <v>11</v>
      </c>
    </row>
    <row r="2427" spans="1:13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 s="3">
        <v>2942.33</v>
      </c>
      <c r="G2427" s="4">
        <v>0.16</v>
      </c>
      <c r="H2427" s="3">
        <v>-5884.66</v>
      </c>
      <c r="I2427" s="1">
        <v>45341</v>
      </c>
      <c r="J2427" t="s">
        <v>46</v>
      </c>
      <c r="K2427" t="s">
        <v>23</v>
      </c>
      <c r="L2427" s="3">
        <v>-4943.1143999999995</v>
      </c>
      <c r="M2427" t="s">
        <v>2518</v>
      </c>
    </row>
    <row r="2428" spans="1:13" x14ac:dyDescent="0.3">
      <c r="A2428">
        <v>3426</v>
      </c>
      <c r="B2428" t="s">
        <v>2437</v>
      </c>
      <c r="C2428" t="s">
        <v>20</v>
      </c>
      <c r="D2428" t="s">
        <v>88</v>
      </c>
      <c r="E2428">
        <v>2</v>
      </c>
      <c r="F2428" s="3">
        <v>3441.89</v>
      </c>
      <c r="G2428" s="4">
        <v>0.6</v>
      </c>
      <c r="H2428" s="3">
        <v>6883.78</v>
      </c>
      <c r="I2428" s="1">
        <v>45603</v>
      </c>
      <c r="J2428" t="s">
        <v>18</v>
      </c>
      <c r="K2428" t="s">
        <v>23</v>
      </c>
      <c r="L2428" s="3">
        <v>2753.5120000000002</v>
      </c>
      <c r="M2428" t="s">
        <v>11</v>
      </c>
    </row>
    <row r="2429" spans="1:13" x14ac:dyDescent="0.3">
      <c r="A2429">
        <v>3427</v>
      </c>
      <c r="B2429" t="s">
        <v>2438</v>
      </c>
      <c r="C2429" t="s">
        <v>29</v>
      </c>
      <c r="D2429" t="s">
        <v>30</v>
      </c>
      <c r="E2429">
        <v>2</v>
      </c>
      <c r="F2429" s="3">
        <v>2617.6390384615388</v>
      </c>
      <c r="G2429" s="4">
        <v>0.51</v>
      </c>
      <c r="H2429" s="3">
        <v>5235.2780769230776</v>
      </c>
      <c r="I2429" s="1">
        <v>45512</v>
      </c>
      <c r="J2429" t="s">
        <v>15</v>
      </c>
      <c r="K2429" t="s">
        <v>23</v>
      </c>
      <c r="L2429" s="3">
        <v>2565.286257692308</v>
      </c>
      <c r="M2429" t="s">
        <v>11</v>
      </c>
    </row>
    <row r="2430" spans="1:13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F2430" s="3">
        <v>2681.1743636363635</v>
      </c>
      <c r="G2430" s="4">
        <v>0.6</v>
      </c>
      <c r="H2430" s="3">
        <v>8043.5230909090906</v>
      </c>
      <c r="I2430" s="1">
        <v>45729</v>
      </c>
      <c r="J2430" t="s">
        <v>22</v>
      </c>
      <c r="K2430" t="s">
        <v>23</v>
      </c>
      <c r="L2430" s="3">
        <v>3217.4092363636364</v>
      </c>
      <c r="M2430" t="s">
        <v>11</v>
      </c>
    </row>
    <row r="2431" spans="1:13" x14ac:dyDescent="0.3">
      <c r="A2431">
        <v>3429</v>
      </c>
      <c r="B2431" t="s">
        <v>2440</v>
      </c>
      <c r="C2431" t="s">
        <v>38</v>
      </c>
      <c r="D2431" t="s">
        <v>63</v>
      </c>
      <c r="E2431">
        <v>2</v>
      </c>
      <c r="F2431" s="3">
        <v>2845.2419672131159</v>
      </c>
      <c r="G2431" s="4">
        <v>0.6</v>
      </c>
      <c r="H2431" s="3">
        <v>5690.4839344262318</v>
      </c>
      <c r="I2431" s="1">
        <v>45703</v>
      </c>
      <c r="J2431" t="s">
        <v>15</v>
      </c>
      <c r="K2431" t="s">
        <v>23</v>
      </c>
      <c r="L2431" s="3">
        <v>2276.193573770493</v>
      </c>
      <c r="M2431" t="s">
        <v>11</v>
      </c>
    </row>
    <row r="2432" spans="1:13" x14ac:dyDescent="0.3">
      <c r="A2432">
        <v>3430</v>
      </c>
      <c r="B2432" t="s">
        <v>2441</v>
      </c>
      <c r="C2432" t="s">
        <v>29</v>
      </c>
      <c r="D2432" t="s">
        <v>120</v>
      </c>
      <c r="E2432">
        <v>2</v>
      </c>
      <c r="F2432" s="3">
        <v>2244.0700000000002</v>
      </c>
      <c r="G2432" s="4">
        <v>0.6</v>
      </c>
      <c r="H2432" s="3">
        <v>4488.1400000000003</v>
      </c>
      <c r="I2432" s="1">
        <v>45782</v>
      </c>
      <c r="J2432" t="s">
        <v>40</v>
      </c>
      <c r="K2432" t="s">
        <v>16</v>
      </c>
      <c r="L2432" s="3">
        <v>1795.2560000000003</v>
      </c>
      <c r="M2432" t="s">
        <v>11</v>
      </c>
    </row>
    <row r="2433" spans="1:13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F2433" s="3">
        <v>2804.2651923076919</v>
      </c>
      <c r="G2433" s="4">
        <v>0.25</v>
      </c>
      <c r="H2433" s="3">
        <v>0</v>
      </c>
      <c r="I2433" s="1">
        <v>45613</v>
      </c>
      <c r="J2433" t="s">
        <v>15</v>
      </c>
      <c r="K2433" t="s">
        <v>16</v>
      </c>
      <c r="L2433" s="3">
        <v>0</v>
      </c>
      <c r="M2433" t="s">
        <v>2518</v>
      </c>
    </row>
    <row r="2434" spans="1:13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F2434" s="3">
        <v>2868.7768181818178</v>
      </c>
      <c r="G2434" s="4">
        <v>0.6</v>
      </c>
      <c r="H2434" s="3">
        <v>-5737.5536363636356</v>
      </c>
      <c r="I2434" s="1">
        <v>45657</v>
      </c>
      <c r="J2434" t="s">
        <v>40</v>
      </c>
      <c r="K2434" t="s">
        <v>23</v>
      </c>
      <c r="L2434" s="3">
        <v>-2295.0214545454542</v>
      </c>
      <c r="M2434" t="s">
        <v>2518</v>
      </c>
    </row>
    <row r="2435" spans="1:13" x14ac:dyDescent="0.3">
      <c r="A2435">
        <v>3433</v>
      </c>
      <c r="B2435" t="s">
        <v>2444</v>
      </c>
      <c r="C2435" t="s">
        <v>33</v>
      </c>
      <c r="D2435" t="s">
        <v>34</v>
      </c>
      <c r="E2435">
        <v>2</v>
      </c>
      <c r="F2435" s="3">
        <v>4971.5600000000004</v>
      </c>
      <c r="G2435" s="4">
        <v>0.87</v>
      </c>
      <c r="H2435" s="3">
        <v>9943.1200000000008</v>
      </c>
      <c r="I2435" s="1">
        <v>45679</v>
      </c>
      <c r="J2435" t="s">
        <v>40</v>
      </c>
      <c r="K2435" t="s">
        <v>23</v>
      </c>
      <c r="L2435" s="3">
        <v>1292.6056000000001</v>
      </c>
      <c r="M2435" t="s">
        <v>11</v>
      </c>
    </row>
    <row r="2436" spans="1:13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 s="3">
        <v>636.91999999999996</v>
      </c>
      <c r="G2436" s="4">
        <v>0.51</v>
      </c>
      <c r="H2436" s="3">
        <v>-636.91999999999996</v>
      </c>
      <c r="I2436" s="1">
        <v>45724</v>
      </c>
      <c r="J2436" t="s">
        <v>46</v>
      </c>
      <c r="K2436" t="s">
        <v>23</v>
      </c>
      <c r="L2436" s="3">
        <v>-312.0908</v>
      </c>
      <c r="M2436" t="s">
        <v>2518</v>
      </c>
    </row>
    <row r="2437" spans="1:13" x14ac:dyDescent="0.3">
      <c r="A2437">
        <v>3435</v>
      </c>
      <c r="B2437" t="s">
        <v>2446</v>
      </c>
      <c r="C2437" t="s">
        <v>20</v>
      </c>
      <c r="D2437" t="s">
        <v>122</v>
      </c>
      <c r="E2437">
        <v>2</v>
      </c>
      <c r="F2437" s="3">
        <v>2700.1263043478252</v>
      </c>
      <c r="G2437" s="4">
        <v>0.6</v>
      </c>
      <c r="H2437" s="3">
        <v>5400.2526086956505</v>
      </c>
      <c r="I2437" s="1">
        <v>45145</v>
      </c>
      <c r="J2437" t="s">
        <v>15</v>
      </c>
      <c r="K2437" t="s">
        <v>23</v>
      </c>
      <c r="L2437" s="3">
        <v>2160.1010434782602</v>
      </c>
      <c r="M2437" t="s">
        <v>11</v>
      </c>
    </row>
    <row r="2438" spans="1:13" x14ac:dyDescent="0.3">
      <c r="A2438">
        <v>3436</v>
      </c>
      <c r="B2438" t="s">
        <v>2447</v>
      </c>
      <c r="C2438" t="s">
        <v>38</v>
      </c>
      <c r="D2438" t="s">
        <v>59</v>
      </c>
      <c r="E2438">
        <v>2</v>
      </c>
      <c r="F2438" s="3">
        <v>2804.2651923076919</v>
      </c>
      <c r="G2438" s="4">
        <v>0.91</v>
      </c>
      <c r="H2438" s="3">
        <v>5608.5303846153838</v>
      </c>
      <c r="I2438" s="1">
        <v>45532</v>
      </c>
      <c r="J2438" t="s">
        <v>40</v>
      </c>
      <c r="K2438" t="s">
        <v>23</v>
      </c>
      <c r="L2438" s="3">
        <v>504.76773461538437</v>
      </c>
      <c r="M2438" t="s">
        <v>11</v>
      </c>
    </row>
    <row r="2439" spans="1:13" x14ac:dyDescent="0.3">
      <c r="A2439">
        <v>3437</v>
      </c>
      <c r="B2439" t="s">
        <v>2448</v>
      </c>
      <c r="C2439" t="s">
        <v>33</v>
      </c>
      <c r="D2439" t="s">
        <v>34</v>
      </c>
      <c r="E2439">
        <v>2</v>
      </c>
      <c r="F2439" s="3">
        <v>987.68</v>
      </c>
      <c r="G2439" s="4">
        <v>1.25</v>
      </c>
      <c r="H2439" s="3">
        <v>1975.36</v>
      </c>
      <c r="I2439" s="1">
        <v>45832</v>
      </c>
      <c r="J2439" t="s">
        <v>40</v>
      </c>
      <c r="K2439" t="s">
        <v>16</v>
      </c>
      <c r="L2439" s="3">
        <v>-493.84</v>
      </c>
      <c r="M2439" t="s">
        <v>2518</v>
      </c>
    </row>
    <row r="2440" spans="1:13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 s="3">
        <v>3891.07</v>
      </c>
      <c r="G2440" s="4">
        <v>0.2</v>
      </c>
      <c r="H2440" s="3">
        <v>11673.210000000001</v>
      </c>
      <c r="I2440" s="1">
        <v>45856</v>
      </c>
      <c r="J2440" t="s">
        <v>18</v>
      </c>
      <c r="K2440" t="s">
        <v>16</v>
      </c>
      <c r="L2440" s="3">
        <v>9338.5680000000011</v>
      </c>
      <c r="M2440" t="s">
        <v>11</v>
      </c>
    </row>
    <row r="2441" spans="1:13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 s="3">
        <v>400.21</v>
      </c>
      <c r="G2441" s="4">
        <v>0.6</v>
      </c>
      <c r="H2441" s="3">
        <v>-800.42</v>
      </c>
      <c r="I2441" s="1">
        <v>45831</v>
      </c>
      <c r="J2441" t="s">
        <v>40</v>
      </c>
      <c r="K2441" t="s">
        <v>16</v>
      </c>
      <c r="L2441" s="3">
        <v>-320.16800000000001</v>
      </c>
      <c r="M2441" t="s">
        <v>2518</v>
      </c>
    </row>
    <row r="2442" spans="1:13" x14ac:dyDescent="0.3">
      <c r="A2442">
        <v>3440</v>
      </c>
      <c r="B2442" t="s">
        <v>2451</v>
      </c>
      <c r="C2442" t="s">
        <v>33</v>
      </c>
      <c r="D2442" t="s">
        <v>44</v>
      </c>
      <c r="E2442">
        <v>2</v>
      </c>
      <c r="F2442" s="3">
        <v>1536.14</v>
      </c>
      <c r="G2442" s="4">
        <v>0.87</v>
      </c>
      <c r="H2442" s="3">
        <v>3072.28</v>
      </c>
      <c r="I2442" s="1">
        <v>45729</v>
      </c>
      <c r="J2442" t="s">
        <v>18</v>
      </c>
      <c r="K2442" t="s">
        <v>16</v>
      </c>
      <c r="L2442" s="3">
        <v>399.39640000000003</v>
      </c>
      <c r="M2442" t="s">
        <v>2518</v>
      </c>
    </row>
    <row r="2443" spans="1:13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F2443" s="3">
        <v>2804.2651923076919</v>
      </c>
      <c r="G2443" s="4">
        <v>1.21</v>
      </c>
      <c r="H2443" s="3">
        <v>14021.32596153846</v>
      </c>
      <c r="I2443" s="1">
        <v>45783</v>
      </c>
      <c r="J2443" t="s">
        <v>15</v>
      </c>
      <c r="K2443" t="s">
        <v>23</v>
      </c>
      <c r="L2443" s="3">
        <v>-2944.4784519230761</v>
      </c>
      <c r="M2443" t="s">
        <v>2518</v>
      </c>
    </row>
    <row r="2444" spans="1:13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F2444" s="3">
        <v>2841.7630612244907</v>
      </c>
      <c r="G2444" s="4">
        <v>1.1100000000000001</v>
      </c>
      <c r="H2444" s="3">
        <v>0</v>
      </c>
      <c r="I2444" s="1">
        <v>45506</v>
      </c>
      <c r="J2444" t="s">
        <v>18</v>
      </c>
      <c r="K2444" t="s">
        <v>23</v>
      </c>
      <c r="L2444" s="3">
        <v>0</v>
      </c>
      <c r="M2444" t="s">
        <v>2518</v>
      </c>
    </row>
    <row r="2445" spans="1:13" x14ac:dyDescent="0.3">
      <c r="A2445">
        <v>3443</v>
      </c>
      <c r="B2445" t="s">
        <v>2454</v>
      </c>
      <c r="C2445" t="s">
        <v>33</v>
      </c>
      <c r="D2445" t="s">
        <v>44</v>
      </c>
      <c r="E2445">
        <v>2</v>
      </c>
      <c r="F2445" s="3">
        <v>2841.7630612244907</v>
      </c>
      <c r="G2445" s="4">
        <v>0.37</v>
      </c>
      <c r="H2445" s="3">
        <v>5683.5261224489814</v>
      </c>
      <c r="I2445" s="1">
        <v>45813</v>
      </c>
      <c r="J2445" t="s">
        <v>15</v>
      </c>
      <c r="K2445" t="s">
        <v>23</v>
      </c>
      <c r="L2445" s="3">
        <v>3580.6214571428582</v>
      </c>
      <c r="M2445" t="s">
        <v>11</v>
      </c>
    </row>
    <row r="2446" spans="1:13" x14ac:dyDescent="0.3">
      <c r="A2446">
        <v>3444</v>
      </c>
      <c r="B2446" t="s">
        <v>2455</v>
      </c>
      <c r="C2446" t="s">
        <v>38</v>
      </c>
      <c r="D2446" t="s">
        <v>39</v>
      </c>
      <c r="E2446">
        <v>2</v>
      </c>
      <c r="F2446" s="3">
        <v>2924.37</v>
      </c>
      <c r="G2446" s="4">
        <v>0.6</v>
      </c>
      <c r="H2446" s="3">
        <v>5848.74</v>
      </c>
      <c r="I2446" s="1">
        <v>45652</v>
      </c>
      <c r="J2446" t="s">
        <v>46</v>
      </c>
      <c r="K2446" t="s">
        <v>23</v>
      </c>
      <c r="L2446" s="3">
        <v>2339.4960000000001</v>
      </c>
      <c r="M2446" t="s">
        <v>11</v>
      </c>
    </row>
    <row r="2447" spans="1:13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 s="3">
        <v>973.52</v>
      </c>
      <c r="G2447" s="4">
        <v>0.6</v>
      </c>
      <c r="H2447" s="3">
        <v>3894.08</v>
      </c>
      <c r="I2447" s="1">
        <v>45514</v>
      </c>
      <c r="J2447" t="s">
        <v>56</v>
      </c>
      <c r="K2447" t="s">
        <v>23</v>
      </c>
      <c r="L2447" s="3">
        <v>1557.6320000000001</v>
      </c>
      <c r="M2447" t="s">
        <v>11</v>
      </c>
    </row>
    <row r="2448" spans="1:13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 s="3">
        <v>4758.24</v>
      </c>
      <c r="G2448" s="4">
        <v>0.49</v>
      </c>
      <c r="H2448" s="3">
        <v>14274.72</v>
      </c>
      <c r="I2448" s="1">
        <v>45733</v>
      </c>
      <c r="J2448" t="s">
        <v>22</v>
      </c>
      <c r="K2448" t="s">
        <v>23</v>
      </c>
      <c r="L2448" s="3">
        <v>7280.1071999999995</v>
      </c>
      <c r="M2448" t="s">
        <v>11</v>
      </c>
    </row>
    <row r="2449" spans="1:13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 s="3">
        <v>4762.62</v>
      </c>
      <c r="G2449" s="4">
        <v>0.6</v>
      </c>
      <c r="H2449" s="3">
        <v>19050.48</v>
      </c>
      <c r="I2449" s="1">
        <v>45840</v>
      </c>
      <c r="J2449" t="s">
        <v>56</v>
      </c>
      <c r="K2449" t="s">
        <v>23</v>
      </c>
      <c r="L2449" s="3">
        <v>7620.192</v>
      </c>
      <c r="M2449" t="s">
        <v>11</v>
      </c>
    </row>
    <row r="2450" spans="1:13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F2450" s="3">
        <v>2381.2677586206896</v>
      </c>
      <c r="G2450" s="4">
        <v>0.6</v>
      </c>
      <c r="H2450" s="3">
        <v>7143.8032758620684</v>
      </c>
      <c r="I2450" s="1">
        <v>45649</v>
      </c>
      <c r="J2450" t="s">
        <v>18</v>
      </c>
      <c r="K2450" t="s">
        <v>16</v>
      </c>
      <c r="L2450" s="3">
        <v>2857.5213103448277</v>
      </c>
      <c r="M2450" t="s">
        <v>11</v>
      </c>
    </row>
    <row r="2451" spans="1:13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 s="3">
        <v>803.79</v>
      </c>
      <c r="G2451" s="4">
        <v>0.6</v>
      </c>
      <c r="H2451" s="3">
        <v>3215.16</v>
      </c>
      <c r="I2451" s="1">
        <v>45854</v>
      </c>
      <c r="J2451" t="s">
        <v>46</v>
      </c>
      <c r="K2451" t="s">
        <v>16</v>
      </c>
      <c r="L2451" s="3">
        <v>1286.0640000000001</v>
      </c>
      <c r="M2451" t="s">
        <v>11</v>
      </c>
    </row>
    <row r="2452" spans="1:13" x14ac:dyDescent="0.3">
      <c r="A2452">
        <v>3450</v>
      </c>
      <c r="B2452" t="s">
        <v>2461</v>
      </c>
      <c r="C2452" t="s">
        <v>33</v>
      </c>
      <c r="D2452" t="s">
        <v>72</v>
      </c>
      <c r="E2452">
        <v>2</v>
      </c>
      <c r="F2452" s="3">
        <v>2715.5458490566025</v>
      </c>
      <c r="G2452" s="4">
        <v>0.89</v>
      </c>
      <c r="H2452" s="3">
        <v>5431.091698113205</v>
      </c>
      <c r="I2452" s="1">
        <v>45133</v>
      </c>
      <c r="J2452" t="s">
        <v>22</v>
      </c>
      <c r="K2452" t="s">
        <v>23</v>
      </c>
      <c r="L2452" s="3">
        <v>597.42008679245248</v>
      </c>
      <c r="M2452" t="s">
        <v>11</v>
      </c>
    </row>
    <row r="2453" spans="1:13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 s="3">
        <v>2339.36</v>
      </c>
      <c r="G2453" s="4">
        <v>0.35</v>
      </c>
      <c r="H2453" s="3">
        <v>-4678.72</v>
      </c>
      <c r="I2453" s="1">
        <v>45827</v>
      </c>
      <c r="J2453" t="s">
        <v>40</v>
      </c>
      <c r="K2453" t="s">
        <v>23</v>
      </c>
      <c r="L2453" s="3">
        <v>-3041.1680000000001</v>
      </c>
      <c r="M2453" t="s">
        <v>2518</v>
      </c>
    </row>
    <row r="2454" spans="1:13" x14ac:dyDescent="0.3">
      <c r="A2454">
        <v>3452</v>
      </c>
      <c r="B2454" t="s">
        <v>2463</v>
      </c>
      <c r="C2454" t="s">
        <v>25</v>
      </c>
      <c r="D2454" t="s">
        <v>86</v>
      </c>
      <c r="E2454">
        <v>2</v>
      </c>
      <c r="F2454" s="3">
        <v>2562.4699999999998</v>
      </c>
      <c r="G2454" s="4">
        <v>0.6</v>
      </c>
      <c r="H2454" s="3">
        <v>5124.9399999999996</v>
      </c>
      <c r="I2454" s="1">
        <v>45585</v>
      </c>
      <c r="J2454" t="s">
        <v>56</v>
      </c>
      <c r="K2454" t="s">
        <v>23</v>
      </c>
      <c r="L2454" s="3">
        <v>2049.9760000000001</v>
      </c>
      <c r="M2454" t="s">
        <v>11</v>
      </c>
    </row>
    <row r="2455" spans="1:13" x14ac:dyDescent="0.3">
      <c r="A2455">
        <v>3453</v>
      </c>
      <c r="B2455" t="s">
        <v>2464</v>
      </c>
      <c r="C2455" t="s">
        <v>29</v>
      </c>
      <c r="D2455" t="s">
        <v>120</v>
      </c>
      <c r="E2455">
        <v>2</v>
      </c>
      <c r="F2455" s="3">
        <v>4213.8500000000004</v>
      </c>
      <c r="G2455" s="4">
        <v>0.6</v>
      </c>
      <c r="H2455" s="3">
        <v>8427.7000000000007</v>
      </c>
      <c r="I2455" s="1">
        <v>45795</v>
      </c>
      <c r="J2455" t="s">
        <v>15</v>
      </c>
      <c r="K2455" t="s">
        <v>23</v>
      </c>
      <c r="L2455" s="3">
        <v>3371.0800000000004</v>
      </c>
      <c r="M2455" t="s">
        <v>11</v>
      </c>
    </row>
    <row r="2456" spans="1:13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 s="3">
        <v>1987.62</v>
      </c>
      <c r="G2456" s="4">
        <v>0.6</v>
      </c>
      <c r="H2456" s="3">
        <v>11925.72</v>
      </c>
      <c r="I2456" s="1">
        <v>45535</v>
      </c>
      <c r="J2456" t="s">
        <v>56</v>
      </c>
      <c r="K2456" t="s">
        <v>23</v>
      </c>
      <c r="L2456" s="3">
        <v>4770.2879999999996</v>
      </c>
      <c r="M2456" t="s">
        <v>11</v>
      </c>
    </row>
    <row r="2457" spans="1:13" x14ac:dyDescent="0.3">
      <c r="A2457">
        <v>3455</v>
      </c>
      <c r="B2457" t="s">
        <v>2466</v>
      </c>
      <c r="C2457" t="s">
        <v>38</v>
      </c>
      <c r="D2457" t="s">
        <v>39</v>
      </c>
      <c r="E2457">
        <v>2</v>
      </c>
      <c r="F2457" s="3">
        <v>3008.3844444444444</v>
      </c>
      <c r="G2457" s="4">
        <v>0.6</v>
      </c>
      <c r="H2457" s="3">
        <v>6016.7688888888888</v>
      </c>
      <c r="I2457" s="1">
        <v>45782</v>
      </c>
      <c r="J2457" t="s">
        <v>40</v>
      </c>
      <c r="K2457" t="s">
        <v>23</v>
      </c>
      <c r="L2457" s="3">
        <v>2406.7075555555557</v>
      </c>
      <c r="M2457" t="s">
        <v>11</v>
      </c>
    </row>
    <row r="2458" spans="1:13" x14ac:dyDescent="0.3">
      <c r="A2458">
        <v>3456</v>
      </c>
      <c r="B2458" t="s">
        <v>2467</v>
      </c>
      <c r="C2458" t="s">
        <v>33</v>
      </c>
      <c r="D2458" t="s">
        <v>44</v>
      </c>
      <c r="E2458">
        <v>2</v>
      </c>
      <c r="F2458" s="3">
        <v>2841.7630612244907</v>
      </c>
      <c r="G2458" s="4">
        <v>0.6</v>
      </c>
      <c r="H2458" s="3">
        <v>5683.5261224489814</v>
      </c>
      <c r="I2458" s="1">
        <v>45782</v>
      </c>
      <c r="J2458" t="s">
        <v>15</v>
      </c>
      <c r="K2458" t="s">
        <v>23</v>
      </c>
      <c r="L2458" s="3">
        <v>2273.4104489795927</v>
      </c>
      <c r="M2458" t="s">
        <v>11</v>
      </c>
    </row>
    <row r="2459" spans="1:13" x14ac:dyDescent="0.3">
      <c r="A2459">
        <v>3457</v>
      </c>
      <c r="B2459" t="s">
        <v>2468</v>
      </c>
      <c r="C2459" t="s">
        <v>29</v>
      </c>
      <c r="D2459" t="s">
        <v>141</v>
      </c>
      <c r="E2459">
        <v>2</v>
      </c>
      <c r="F2459" s="3">
        <v>983.84</v>
      </c>
      <c r="G2459" s="4">
        <v>0.9</v>
      </c>
      <c r="H2459" s="3">
        <v>1967.68</v>
      </c>
      <c r="I2459" s="1">
        <v>45727</v>
      </c>
      <c r="J2459" t="s">
        <v>15</v>
      </c>
      <c r="K2459" t="s">
        <v>23</v>
      </c>
      <c r="L2459" s="3">
        <v>196.76799999999997</v>
      </c>
      <c r="M2459" t="s">
        <v>2518</v>
      </c>
    </row>
    <row r="2460" spans="1:13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F2460" s="3">
        <v>2572.7764000000006</v>
      </c>
      <c r="G2460" s="4">
        <v>0.56000000000000005</v>
      </c>
      <c r="H2460" s="3">
        <v>15436.658400000004</v>
      </c>
      <c r="I2460" s="1">
        <v>45589</v>
      </c>
      <c r="J2460" t="s">
        <v>56</v>
      </c>
      <c r="K2460" t="s">
        <v>23</v>
      </c>
      <c r="L2460" s="3">
        <v>6792.1296960000009</v>
      </c>
      <c r="M2460" t="s">
        <v>11</v>
      </c>
    </row>
    <row r="2461" spans="1:13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F2461" s="3">
        <v>2841.7630612244907</v>
      </c>
      <c r="G2461" s="4">
        <v>0.6</v>
      </c>
      <c r="H2461" s="3">
        <v>5683.5261224489814</v>
      </c>
      <c r="I2461" s="1">
        <v>45782</v>
      </c>
      <c r="J2461" t="s">
        <v>46</v>
      </c>
      <c r="K2461" t="s">
        <v>23</v>
      </c>
      <c r="L2461" s="3">
        <v>2273.4104489795927</v>
      </c>
      <c r="M2461" t="s">
        <v>11</v>
      </c>
    </row>
    <row r="2462" spans="1:13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F2462" s="3">
        <v>2882.5046551724135</v>
      </c>
      <c r="G2462" s="4">
        <v>0.6</v>
      </c>
      <c r="H2462" s="3">
        <v>8647.5139655172406</v>
      </c>
      <c r="I2462" s="1">
        <v>45782</v>
      </c>
      <c r="J2462" t="s">
        <v>40</v>
      </c>
      <c r="K2462" t="s">
        <v>23</v>
      </c>
      <c r="L2462" s="3">
        <v>3459.0055862068966</v>
      </c>
      <c r="M2462" t="s">
        <v>11</v>
      </c>
    </row>
    <row r="2463" spans="1:13" x14ac:dyDescent="0.3">
      <c r="A2463">
        <v>3461</v>
      </c>
      <c r="B2463" t="s">
        <v>2472</v>
      </c>
      <c r="C2463" t="s">
        <v>38</v>
      </c>
      <c r="D2463" t="s">
        <v>59</v>
      </c>
      <c r="E2463">
        <v>2</v>
      </c>
      <c r="F2463" s="3">
        <v>2804.2651923076919</v>
      </c>
      <c r="G2463" s="4">
        <v>0.6</v>
      </c>
      <c r="H2463" s="3">
        <v>5608.5303846153838</v>
      </c>
      <c r="I2463" s="1">
        <v>45758</v>
      </c>
      <c r="J2463" t="s">
        <v>18</v>
      </c>
      <c r="K2463" t="s">
        <v>23</v>
      </c>
      <c r="L2463" s="3">
        <v>2243.4121538461536</v>
      </c>
      <c r="M2463" t="s">
        <v>11</v>
      </c>
    </row>
    <row r="2464" spans="1:13" x14ac:dyDescent="0.3">
      <c r="A2464">
        <v>3462</v>
      </c>
      <c r="B2464" t="s">
        <v>2473</v>
      </c>
      <c r="C2464" t="s">
        <v>29</v>
      </c>
      <c r="D2464" t="s">
        <v>42</v>
      </c>
      <c r="E2464">
        <v>2</v>
      </c>
      <c r="F2464" s="3">
        <v>3607.23</v>
      </c>
      <c r="G2464" s="4">
        <v>0.6</v>
      </c>
      <c r="H2464" s="3">
        <v>7214.46</v>
      </c>
      <c r="I2464" s="1">
        <v>45150</v>
      </c>
      <c r="J2464" t="s">
        <v>56</v>
      </c>
      <c r="K2464" t="s">
        <v>16</v>
      </c>
      <c r="L2464" s="3">
        <v>2885.7840000000001</v>
      </c>
      <c r="M2464" t="s">
        <v>11</v>
      </c>
    </row>
    <row r="2465" spans="1:13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 s="3">
        <v>1139.77</v>
      </c>
      <c r="G2465" s="4">
        <v>0.6</v>
      </c>
      <c r="H2465" s="3">
        <v>6838.62</v>
      </c>
      <c r="I2465" s="1">
        <v>45782</v>
      </c>
      <c r="J2465" t="s">
        <v>46</v>
      </c>
      <c r="K2465" t="s">
        <v>23</v>
      </c>
      <c r="L2465" s="3">
        <v>2735.4480000000003</v>
      </c>
      <c r="M2465" t="s">
        <v>11</v>
      </c>
    </row>
    <row r="2466" spans="1:13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F2466" s="3">
        <v>2576.3056896551716</v>
      </c>
      <c r="G2466" s="4">
        <v>0.6</v>
      </c>
      <c r="H2466" s="3">
        <v>12881.528448275858</v>
      </c>
      <c r="I2466" s="1">
        <v>45782</v>
      </c>
      <c r="J2466" t="s">
        <v>15</v>
      </c>
      <c r="K2466" t="s">
        <v>23</v>
      </c>
      <c r="L2466" s="3">
        <v>5152.6113793103432</v>
      </c>
      <c r="M2466" t="s">
        <v>11</v>
      </c>
    </row>
    <row r="2467" spans="1:13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F2467" s="3">
        <v>2882.5046551724135</v>
      </c>
      <c r="G2467" s="4">
        <v>0.7</v>
      </c>
      <c r="H2467" s="3">
        <v>-2882.5046551724135</v>
      </c>
      <c r="I2467" s="1">
        <v>45542</v>
      </c>
      <c r="J2467" t="s">
        <v>56</v>
      </c>
      <c r="K2467" t="s">
        <v>23</v>
      </c>
      <c r="L2467" s="3">
        <v>-864.75139655172416</v>
      </c>
      <c r="M2467" t="s">
        <v>2518</v>
      </c>
    </row>
    <row r="2468" spans="1:13" x14ac:dyDescent="0.3">
      <c r="A2468">
        <v>3466</v>
      </c>
      <c r="B2468" t="s">
        <v>2477</v>
      </c>
      <c r="C2468" t="s">
        <v>13</v>
      </c>
      <c r="D2468" t="s">
        <v>102</v>
      </c>
      <c r="E2468">
        <v>2</v>
      </c>
      <c r="F2468" s="3">
        <v>4059.53</v>
      </c>
      <c r="G2468" s="4">
        <v>0.6</v>
      </c>
      <c r="H2468" s="3">
        <v>8119.06</v>
      </c>
      <c r="I2468" s="1">
        <v>45178</v>
      </c>
      <c r="J2468" t="s">
        <v>18</v>
      </c>
      <c r="K2468" t="s">
        <v>23</v>
      </c>
      <c r="L2468" s="3">
        <v>3247.6240000000003</v>
      </c>
      <c r="M2468" t="s">
        <v>11</v>
      </c>
    </row>
    <row r="2469" spans="1:13" x14ac:dyDescent="0.3">
      <c r="A2469">
        <v>3467</v>
      </c>
      <c r="B2469" t="s">
        <v>2478</v>
      </c>
      <c r="C2469" t="s">
        <v>33</v>
      </c>
      <c r="D2469" t="s">
        <v>82</v>
      </c>
      <c r="E2469">
        <v>2</v>
      </c>
      <c r="F2469" s="3">
        <v>2776.2202000000002</v>
      </c>
      <c r="G2469" s="4">
        <v>0.6</v>
      </c>
      <c r="H2469" s="3">
        <v>5552.4404000000004</v>
      </c>
      <c r="I2469" s="1">
        <v>45753</v>
      </c>
      <c r="J2469" t="s">
        <v>40</v>
      </c>
      <c r="K2469" t="s">
        <v>23</v>
      </c>
      <c r="L2469" s="3">
        <v>2220.9761600000002</v>
      </c>
      <c r="M2469" t="s">
        <v>11</v>
      </c>
    </row>
    <row r="2470" spans="1:13" x14ac:dyDescent="0.3">
      <c r="A2470">
        <v>3468</v>
      </c>
      <c r="B2470" t="s">
        <v>2479</v>
      </c>
      <c r="C2470" t="s">
        <v>38</v>
      </c>
      <c r="D2470" t="s">
        <v>59</v>
      </c>
      <c r="E2470">
        <v>2</v>
      </c>
      <c r="F2470" s="3">
        <v>2804.2651923076919</v>
      </c>
      <c r="G2470" s="4">
        <v>0.6</v>
      </c>
      <c r="H2470" s="3">
        <v>5608.5303846153838</v>
      </c>
      <c r="I2470" s="1">
        <v>45782</v>
      </c>
      <c r="J2470" t="s">
        <v>15</v>
      </c>
      <c r="K2470" t="s">
        <v>23</v>
      </c>
      <c r="L2470" s="3">
        <v>2243.4121538461536</v>
      </c>
      <c r="M2470" t="s">
        <v>11</v>
      </c>
    </row>
    <row r="2471" spans="1:13" x14ac:dyDescent="0.3">
      <c r="A2471">
        <v>3469</v>
      </c>
      <c r="B2471" t="s">
        <v>2480</v>
      </c>
      <c r="C2471" t="s">
        <v>33</v>
      </c>
      <c r="D2471" t="s">
        <v>72</v>
      </c>
      <c r="E2471">
        <v>2</v>
      </c>
      <c r="F2471" s="3">
        <v>2932.58</v>
      </c>
      <c r="G2471" s="4">
        <v>1.26</v>
      </c>
      <c r="H2471" s="3">
        <v>5865.16</v>
      </c>
      <c r="I2471" s="1">
        <v>45629</v>
      </c>
      <c r="J2471" t="s">
        <v>40</v>
      </c>
      <c r="K2471" t="s">
        <v>23</v>
      </c>
      <c r="L2471" s="3">
        <v>-1524.9416000000001</v>
      </c>
      <c r="M2471" t="s">
        <v>2518</v>
      </c>
    </row>
    <row r="2472" spans="1:13" x14ac:dyDescent="0.3">
      <c r="A2472">
        <v>3470</v>
      </c>
      <c r="B2472" t="s">
        <v>2481</v>
      </c>
      <c r="C2472" t="s">
        <v>29</v>
      </c>
      <c r="D2472" t="s">
        <v>30</v>
      </c>
      <c r="E2472">
        <v>2</v>
      </c>
      <c r="F2472" s="3">
        <v>2617.6390384615388</v>
      </c>
      <c r="G2472" s="4">
        <v>0.6</v>
      </c>
      <c r="H2472" s="3">
        <v>5235.2780769230776</v>
      </c>
      <c r="I2472" s="1">
        <v>45857</v>
      </c>
      <c r="J2472" t="s">
        <v>15</v>
      </c>
      <c r="K2472" t="s">
        <v>16</v>
      </c>
      <c r="L2472" s="3">
        <v>2094.111230769231</v>
      </c>
      <c r="M2472" t="s">
        <v>11</v>
      </c>
    </row>
    <row r="2473" spans="1:13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F2473" s="3">
        <v>2725.8557142857148</v>
      </c>
      <c r="G2473" s="4">
        <v>0.6</v>
      </c>
      <c r="H2473" s="3">
        <v>16355.134285714288</v>
      </c>
      <c r="I2473" s="1">
        <v>45714</v>
      </c>
      <c r="J2473" t="s">
        <v>22</v>
      </c>
      <c r="K2473" t="s">
        <v>23</v>
      </c>
      <c r="L2473" s="3">
        <v>6542.0537142857156</v>
      </c>
      <c r="M2473" t="s">
        <v>11</v>
      </c>
    </row>
    <row r="2474" spans="1:13" x14ac:dyDescent="0.3">
      <c r="A2474">
        <v>3472</v>
      </c>
      <c r="B2474" t="s">
        <v>2483</v>
      </c>
      <c r="C2474" t="s">
        <v>38</v>
      </c>
      <c r="D2474" t="s">
        <v>39</v>
      </c>
      <c r="E2474">
        <v>2</v>
      </c>
      <c r="F2474" s="3">
        <v>3008.3844444444444</v>
      </c>
      <c r="G2474" s="4">
        <v>0.5</v>
      </c>
      <c r="H2474" s="3">
        <v>6016.7688888888888</v>
      </c>
      <c r="I2474" s="1">
        <v>45782</v>
      </c>
      <c r="J2474" t="s">
        <v>22</v>
      </c>
      <c r="K2474" t="s">
        <v>23</v>
      </c>
      <c r="L2474" s="3">
        <v>3008.3844444444444</v>
      </c>
      <c r="M2474" t="s">
        <v>11</v>
      </c>
    </row>
    <row r="2475" spans="1:13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F2475" s="3">
        <v>2617.6390384615388</v>
      </c>
      <c r="G2475" s="4">
        <v>0.15</v>
      </c>
      <c r="H2475" s="3">
        <v>2617.6390384615388</v>
      </c>
      <c r="I2475" s="1">
        <v>45559</v>
      </c>
      <c r="J2475" t="s">
        <v>22</v>
      </c>
      <c r="K2475" t="s">
        <v>23</v>
      </c>
      <c r="L2475" s="3">
        <v>2224.993182692308</v>
      </c>
      <c r="M2475" t="s">
        <v>11</v>
      </c>
    </row>
    <row r="2476" spans="1:13" x14ac:dyDescent="0.3">
      <c r="A2476">
        <v>3474</v>
      </c>
      <c r="B2476" t="s">
        <v>2485</v>
      </c>
      <c r="C2476" t="s">
        <v>25</v>
      </c>
      <c r="D2476" t="s">
        <v>66</v>
      </c>
      <c r="E2476">
        <v>2</v>
      </c>
      <c r="F2476" s="3">
        <v>3494.86</v>
      </c>
      <c r="G2476" s="4">
        <v>0.6</v>
      </c>
      <c r="H2476" s="3">
        <v>6989.72</v>
      </c>
      <c r="I2476" s="1">
        <v>45782</v>
      </c>
      <c r="J2476" t="s">
        <v>22</v>
      </c>
      <c r="K2476" t="s">
        <v>23</v>
      </c>
      <c r="L2476" s="3">
        <v>2795.8880000000004</v>
      </c>
      <c r="M2476" t="s">
        <v>11</v>
      </c>
    </row>
    <row r="2477" spans="1:13" x14ac:dyDescent="0.3">
      <c r="A2477">
        <v>3475</v>
      </c>
      <c r="B2477" t="s">
        <v>2486</v>
      </c>
      <c r="C2477" t="s">
        <v>20</v>
      </c>
      <c r="D2477" t="s">
        <v>80</v>
      </c>
      <c r="E2477">
        <v>2</v>
      </c>
      <c r="F2477" s="3">
        <v>2185.83</v>
      </c>
      <c r="G2477" s="4">
        <v>0.13</v>
      </c>
      <c r="H2477" s="3">
        <v>4371.66</v>
      </c>
      <c r="I2477" s="1">
        <v>45782</v>
      </c>
      <c r="J2477" t="s">
        <v>22</v>
      </c>
      <c r="K2477" t="s">
        <v>23</v>
      </c>
      <c r="L2477" s="3">
        <v>3803.3442</v>
      </c>
      <c r="M2477" t="s">
        <v>11</v>
      </c>
    </row>
    <row r="2478" spans="1:13" x14ac:dyDescent="0.3">
      <c r="A2478">
        <v>3476</v>
      </c>
      <c r="B2478" t="s">
        <v>2487</v>
      </c>
      <c r="C2478" t="s">
        <v>38</v>
      </c>
      <c r="D2478" t="s">
        <v>59</v>
      </c>
      <c r="E2478">
        <v>2</v>
      </c>
      <c r="F2478" s="3">
        <v>4804.91</v>
      </c>
      <c r="G2478" s="4">
        <v>0.6</v>
      </c>
      <c r="H2478" s="3">
        <v>9609.82</v>
      </c>
      <c r="I2478" s="1">
        <v>45519</v>
      </c>
      <c r="J2478" t="s">
        <v>15</v>
      </c>
      <c r="K2478" t="s">
        <v>16</v>
      </c>
      <c r="L2478" s="3">
        <v>3843.9279999999999</v>
      </c>
      <c r="M2478" t="s">
        <v>11</v>
      </c>
    </row>
    <row r="2479" spans="1:13" x14ac:dyDescent="0.3">
      <c r="A2479">
        <v>3477</v>
      </c>
      <c r="B2479" t="s">
        <v>2488</v>
      </c>
      <c r="C2479" t="s">
        <v>38</v>
      </c>
      <c r="D2479" t="s">
        <v>63</v>
      </c>
      <c r="E2479">
        <v>2</v>
      </c>
      <c r="F2479" s="3">
        <v>2845.2419672131159</v>
      </c>
      <c r="G2479" s="4">
        <v>0.86</v>
      </c>
      <c r="H2479" s="3">
        <v>5690.4839344262318</v>
      </c>
      <c r="I2479" s="1">
        <v>45782</v>
      </c>
      <c r="J2479" t="s">
        <v>22</v>
      </c>
      <c r="K2479" t="s">
        <v>23</v>
      </c>
      <c r="L2479" s="3">
        <v>796.66775081967251</v>
      </c>
      <c r="M2479" t="s">
        <v>11</v>
      </c>
    </row>
    <row r="2480" spans="1:13" x14ac:dyDescent="0.3">
      <c r="A2480">
        <v>3478</v>
      </c>
      <c r="B2480" t="s">
        <v>2489</v>
      </c>
      <c r="C2480" t="s">
        <v>20</v>
      </c>
      <c r="D2480" t="s">
        <v>88</v>
      </c>
      <c r="E2480">
        <v>2</v>
      </c>
      <c r="F2480" s="3">
        <v>2725.8557142857148</v>
      </c>
      <c r="G2480" s="4">
        <v>0.6</v>
      </c>
      <c r="H2480" s="3">
        <v>5451.7114285714297</v>
      </c>
      <c r="I2480" s="1">
        <v>45291</v>
      </c>
      <c r="J2480" t="s">
        <v>46</v>
      </c>
      <c r="K2480" t="s">
        <v>23</v>
      </c>
      <c r="L2480" s="3">
        <v>2180.6845714285719</v>
      </c>
      <c r="M2480" t="s">
        <v>11</v>
      </c>
    </row>
    <row r="2481" spans="1:13" x14ac:dyDescent="0.3">
      <c r="A2481">
        <v>3479</v>
      </c>
      <c r="B2481" t="s">
        <v>2490</v>
      </c>
      <c r="C2481" t="s">
        <v>20</v>
      </c>
      <c r="D2481" t="s">
        <v>122</v>
      </c>
      <c r="E2481">
        <v>2</v>
      </c>
      <c r="F2481" s="3">
        <v>2858.94</v>
      </c>
      <c r="G2481" s="4">
        <v>1.19</v>
      </c>
      <c r="H2481" s="3">
        <v>5717.88</v>
      </c>
      <c r="I2481" s="1">
        <v>45554</v>
      </c>
      <c r="J2481" t="s">
        <v>22</v>
      </c>
      <c r="K2481" t="s">
        <v>23</v>
      </c>
      <c r="L2481" s="3">
        <v>-1086.3971999999997</v>
      </c>
      <c r="M2481" t="s">
        <v>2518</v>
      </c>
    </row>
    <row r="2482" spans="1:13" x14ac:dyDescent="0.3">
      <c r="A2482">
        <v>3480</v>
      </c>
      <c r="B2482" t="s">
        <v>2491</v>
      </c>
      <c r="C2482" t="s">
        <v>25</v>
      </c>
      <c r="D2482" t="s">
        <v>54</v>
      </c>
      <c r="E2482">
        <v>2</v>
      </c>
      <c r="F2482" s="3">
        <v>2530.3836538461546</v>
      </c>
      <c r="G2482" s="4">
        <v>0.28000000000000003</v>
      </c>
      <c r="H2482" s="3">
        <v>5060.7673076923093</v>
      </c>
      <c r="I2482" s="1">
        <v>45782</v>
      </c>
      <c r="J2482" t="s">
        <v>46</v>
      </c>
      <c r="K2482" t="s">
        <v>16</v>
      </c>
      <c r="L2482" s="3">
        <v>3643.7524615384627</v>
      </c>
      <c r="M2482" t="s">
        <v>11</v>
      </c>
    </row>
    <row r="2483" spans="1:13" x14ac:dyDescent="0.3">
      <c r="A2483">
        <v>3481</v>
      </c>
      <c r="B2483" t="s">
        <v>2492</v>
      </c>
      <c r="C2483" t="s">
        <v>13</v>
      </c>
      <c r="D2483" t="s">
        <v>36</v>
      </c>
      <c r="E2483">
        <v>2</v>
      </c>
      <c r="F2483" s="3">
        <v>2882.5046551724135</v>
      </c>
      <c r="G2483" s="4">
        <v>0.6</v>
      </c>
      <c r="H2483" s="3">
        <v>5765.0093103448271</v>
      </c>
      <c r="I2483" s="1">
        <v>45847</v>
      </c>
      <c r="J2483" t="s">
        <v>40</v>
      </c>
      <c r="K2483" t="s">
        <v>16</v>
      </c>
      <c r="L2483" s="3">
        <v>2306.0037241379309</v>
      </c>
      <c r="M2483" t="s">
        <v>11</v>
      </c>
    </row>
    <row r="2484" spans="1:13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 s="3">
        <v>1169.8900000000001</v>
      </c>
      <c r="G2484" s="4">
        <v>0.6</v>
      </c>
      <c r="H2484" s="3">
        <v>-2339.7800000000002</v>
      </c>
      <c r="I2484" s="1">
        <v>45782</v>
      </c>
      <c r="J2484" t="s">
        <v>46</v>
      </c>
      <c r="K2484" t="s">
        <v>16</v>
      </c>
      <c r="L2484" s="3">
        <v>-935.91200000000015</v>
      </c>
      <c r="M2484" t="s">
        <v>2518</v>
      </c>
    </row>
    <row r="2485" spans="1:13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F2485" s="3">
        <v>2776.2202000000002</v>
      </c>
      <c r="G2485" s="4">
        <v>0.6</v>
      </c>
      <c r="H2485" s="3">
        <v>8328.6606000000011</v>
      </c>
      <c r="I2485" s="1">
        <v>45782</v>
      </c>
      <c r="J2485" t="s">
        <v>56</v>
      </c>
      <c r="K2485" t="s">
        <v>23</v>
      </c>
      <c r="L2485" s="3">
        <v>3331.4642400000007</v>
      </c>
      <c r="M2485" t="s">
        <v>11</v>
      </c>
    </row>
    <row r="2486" spans="1:13" x14ac:dyDescent="0.3">
      <c r="A2486">
        <v>3484</v>
      </c>
      <c r="B2486" t="s">
        <v>2495</v>
      </c>
      <c r="C2486" t="s">
        <v>33</v>
      </c>
      <c r="D2486" t="s">
        <v>82</v>
      </c>
      <c r="E2486">
        <v>2</v>
      </c>
      <c r="F2486" s="3">
        <v>2776.2202000000002</v>
      </c>
      <c r="G2486" s="4">
        <v>0.6</v>
      </c>
      <c r="H2486" s="3">
        <v>5552.4404000000004</v>
      </c>
      <c r="I2486" s="1">
        <v>45782</v>
      </c>
      <c r="J2486" t="s">
        <v>46</v>
      </c>
      <c r="K2486" t="s">
        <v>16</v>
      </c>
      <c r="L2486" s="3">
        <v>2220.9761600000002</v>
      </c>
      <c r="M2486" t="s">
        <v>11</v>
      </c>
    </row>
    <row r="2487" spans="1:13" x14ac:dyDescent="0.3">
      <c r="A2487">
        <v>3485</v>
      </c>
      <c r="B2487" t="s">
        <v>2496</v>
      </c>
      <c r="C2487" t="s">
        <v>29</v>
      </c>
      <c r="D2487" t="s">
        <v>120</v>
      </c>
      <c r="E2487">
        <v>2</v>
      </c>
      <c r="F2487" s="3">
        <v>2951.53</v>
      </c>
      <c r="G2487" s="4">
        <v>0.6</v>
      </c>
      <c r="H2487" s="3">
        <v>5903.06</v>
      </c>
      <c r="I2487" s="1">
        <v>45547</v>
      </c>
      <c r="J2487" t="s">
        <v>46</v>
      </c>
      <c r="K2487" t="s">
        <v>16</v>
      </c>
      <c r="L2487" s="3">
        <v>2361.2240000000002</v>
      </c>
      <c r="M2487" t="s">
        <v>11</v>
      </c>
    </row>
    <row r="2488" spans="1:13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F2488" s="3">
        <v>2715.5458490566025</v>
      </c>
      <c r="G2488" s="4">
        <v>0.6</v>
      </c>
      <c r="H2488" s="3">
        <v>-5431.091698113205</v>
      </c>
      <c r="I2488" s="1">
        <v>45782</v>
      </c>
      <c r="J2488" t="s">
        <v>56</v>
      </c>
      <c r="K2488" t="s">
        <v>23</v>
      </c>
      <c r="L2488" s="3">
        <v>-2172.436679245282</v>
      </c>
      <c r="M2488" t="s">
        <v>2518</v>
      </c>
    </row>
    <row r="2489" spans="1:13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 s="3">
        <v>1683.74</v>
      </c>
      <c r="G2489" s="4">
        <v>0.57999999999999996</v>
      </c>
      <c r="H2489" s="3">
        <v>8418.7000000000007</v>
      </c>
      <c r="I2489" s="1">
        <v>45670</v>
      </c>
      <c r="J2489" t="s">
        <v>40</v>
      </c>
      <c r="K2489" t="s">
        <v>16</v>
      </c>
      <c r="L2489" s="3">
        <v>3535.8540000000007</v>
      </c>
      <c r="M2489" t="s">
        <v>11</v>
      </c>
    </row>
    <row r="2490" spans="1:13" x14ac:dyDescent="0.3">
      <c r="A2490">
        <v>3488</v>
      </c>
      <c r="B2490" t="s">
        <v>2499</v>
      </c>
      <c r="C2490" t="s">
        <v>29</v>
      </c>
      <c r="D2490" t="s">
        <v>120</v>
      </c>
      <c r="E2490">
        <v>2</v>
      </c>
      <c r="F2490" s="3">
        <v>3029.54</v>
      </c>
      <c r="G2490" s="4">
        <v>0.6</v>
      </c>
      <c r="H2490" s="3">
        <v>6059.08</v>
      </c>
      <c r="I2490" s="1">
        <v>45641</v>
      </c>
      <c r="J2490" t="s">
        <v>22</v>
      </c>
      <c r="K2490" t="s">
        <v>23</v>
      </c>
      <c r="L2490" s="3">
        <v>2423.6320000000001</v>
      </c>
      <c r="M2490" t="s">
        <v>11</v>
      </c>
    </row>
    <row r="2491" spans="1:13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 s="3">
        <v>599.07000000000005</v>
      </c>
      <c r="G2491" s="4">
        <v>0.15</v>
      </c>
      <c r="H2491" s="3">
        <v>1198.1400000000001</v>
      </c>
      <c r="I2491" s="1">
        <v>45782</v>
      </c>
      <c r="J2491" t="s">
        <v>15</v>
      </c>
      <c r="K2491" t="s">
        <v>23</v>
      </c>
      <c r="L2491" s="3">
        <v>1018.4190000000001</v>
      </c>
      <c r="M2491" t="s">
        <v>11</v>
      </c>
    </row>
    <row r="2492" spans="1:13" x14ac:dyDescent="0.3">
      <c r="A2492">
        <v>3490</v>
      </c>
      <c r="B2492" t="s">
        <v>2501</v>
      </c>
      <c r="C2492" t="s">
        <v>38</v>
      </c>
      <c r="D2492" t="s">
        <v>91</v>
      </c>
      <c r="E2492">
        <v>2</v>
      </c>
      <c r="F2492" s="3">
        <v>2784.76</v>
      </c>
      <c r="G2492" s="4">
        <v>0.86</v>
      </c>
      <c r="H2492" s="3">
        <v>5569.52</v>
      </c>
      <c r="I2492" s="1">
        <v>45246</v>
      </c>
      <c r="J2492" t="s">
        <v>56</v>
      </c>
      <c r="K2492" t="s">
        <v>23</v>
      </c>
      <c r="L2492" s="3">
        <v>779.73280000000011</v>
      </c>
      <c r="M2492" t="s">
        <v>11</v>
      </c>
    </row>
    <row r="2493" spans="1:13" x14ac:dyDescent="0.3">
      <c r="A2493">
        <v>3491</v>
      </c>
      <c r="B2493" t="s">
        <v>2502</v>
      </c>
      <c r="C2493" t="s">
        <v>13</v>
      </c>
      <c r="D2493" t="s">
        <v>36</v>
      </c>
      <c r="E2493">
        <v>2</v>
      </c>
      <c r="F2493" s="3">
        <v>4126.3900000000003</v>
      </c>
      <c r="G2493" s="4">
        <v>0.6</v>
      </c>
      <c r="H2493" s="3">
        <v>8252.7800000000007</v>
      </c>
      <c r="I2493" s="1">
        <v>45621</v>
      </c>
      <c r="J2493" t="s">
        <v>22</v>
      </c>
      <c r="K2493" t="s">
        <v>23</v>
      </c>
      <c r="L2493" s="3">
        <v>3301.1120000000005</v>
      </c>
      <c r="M2493" t="s">
        <v>11</v>
      </c>
    </row>
    <row r="2494" spans="1:13" x14ac:dyDescent="0.3">
      <c r="A2494">
        <v>3492</v>
      </c>
      <c r="B2494" t="s">
        <v>2503</v>
      </c>
      <c r="C2494" t="s">
        <v>13</v>
      </c>
      <c r="D2494" t="s">
        <v>102</v>
      </c>
      <c r="E2494">
        <v>2</v>
      </c>
      <c r="F2494" s="3">
        <v>3084.73</v>
      </c>
      <c r="G2494" s="4">
        <v>0.86</v>
      </c>
      <c r="H2494" s="3">
        <v>6169.46</v>
      </c>
      <c r="I2494" s="1">
        <v>45782</v>
      </c>
      <c r="J2494" t="s">
        <v>22</v>
      </c>
      <c r="K2494" t="s">
        <v>23</v>
      </c>
      <c r="L2494" s="3">
        <v>863.72440000000006</v>
      </c>
      <c r="M2494" t="s">
        <v>11</v>
      </c>
    </row>
    <row r="2495" spans="1:13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 s="3">
        <v>2935.56</v>
      </c>
      <c r="G2495" s="4">
        <v>0.6</v>
      </c>
      <c r="H2495" s="3">
        <v>14677.8</v>
      </c>
      <c r="I2495" s="1">
        <v>45678</v>
      </c>
      <c r="J2495" t="s">
        <v>15</v>
      </c>
      <c r="K2495" t="s">
        <v>23</v>
      </c>
      <c r="L2495" s="3">
        <v>5871.12</v>
      </c>
      <c r="M2495" t="s">
        <v>11</v>
      </c>
    </row>
    <row r="2496" spans="1:13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F2496" s="3">
        <v>2381.2677586206896</v>
      </c>
      <c r="G2496" s="4">
        <v>0.6</v>
      </c>
      <c r="H2496" s="3">
        <v>0</v>
      </c>
      <c r="I2496" s="1">
        <v>45782</v>
      </c>
      <c r="J2496" t="s">
        <v>18</v>
      </c>
      <c r="K2496" t="s">
        <v>23</v>
      </c>
      <c r="L2496" s="3">
        <v>0</v>
      </c>
      <c r="M2496" t="s">
        <v>2518</v>
      </c>
    </row>
    <row r="2497" spans="1:13" x14ac:dyDescent="0.3">
      <c r="A2497">
        <v>3495</v>
      </c>
      <c r="B2497" t="s">
        <v>2506</v>
      </c>
      <c r="C2497" t="s">
        <v>33</v>
      </c>
      <c r="D2497" t="s">
        <v>44</v>
      </c>
      <c r="E2497">
        <v>2</v>
      </c>
      <c r="F2497" s="3">
        <v>848.79</v>
      </c>
      <c r="G2497" s="4">
        <v>0.6</v>
      </c>
      <c r="H2497" s="3">
        <v>1697.58</v>
      </c>
      <c r="I2497" s="1">
        <v>45782</v>
      </c>
      <c r="J2497" t="s">
        <v>22</v>
      </c>
      <c r="K2497" t="s">
        <v>23</v>
      </c>
      <c r="L2497" s="3">
        <v>679.03200000000004</v>
      </c>
      <c r="M2497" t="s">
        <v>11</v>
      </c>
    </row>
    <row r="2498" spans="1:13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F2498" s="3">
        <v>2888.8714285714286</v>
      </c>
      <c r="G2498" s="4">
        <v>0.6</v>
      </c>
      <c r="H2498" s="3">
        <v>11555.485714285714</v>
      </c>
      <c r="I2498" s="1">
        <v>45361</v>
      </c>
      <c r="J2498" t="s">
        <v>56</v>
      </c>
      <c r="K2498" t="s">
        <v>23</v>
      </c>
      <c r="L2498" s="3">
        <v>4622.1942857142858</v>
      </c>
      <c r="M2498" t="s">
        <v>11</v>
      </c>
    </row>
    <row r="2499" spans="1:13" x14ac:dyDescent="0.3">
      <c r="A2499">
        <v>3497</v>
      </c>
      <c r="B2499" t="s">
        <v>2508</v>
      </c>
      <c r="C2499" t="s">
        <v>20</v>
      </c>
      <c r="D2499" t="s">
        <v>80</v>
      </c>
      <c r="E2499">
        <v>2</v>
      </c>
      <c r="F2499" s="3">
        <v>3389.24</v>
      </c>
      <c r="G2499" s="4">
        <v>1.06</v>
      </c>
      <c r="H2499" s="3">
        <v>6778.48</v>
      </c>
      <c r="I2499" s="1">
        <v>45782</v>
      </c>
      <c r="J2499" t="s">
        <v>18</v>
      </c>
      <c r="K2499" t="s">
        <v>16</v>
      </c>
      <c r="L2499" s="3">
        <v>-406.70880000000034</v>
      </c>
      <c r="M2499" t="s">
        <v>2518</v>
      </c>
    </row>
    <row r="2500" spans="1:13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 s="3">
        <v>3844.19</v>
      </c>
      <c r="G2500" s="4">
        <v>0.6</v>
      </c>
      <c r="H2500" s="3">
        <v>19220.95</v>
      </c>
      <c r="I2500" s="1">
        <v>45497</v>
      </c>
      <c r="J2500" t="s">
        <v>56</v>
      </c>
      <c r="K2500" t="s">
        <v>23</v>
      </c>
      <c r="L2500" s="3">
        <v>7688.380000000001</v>
      </c>
      <c r="M2500" t="s">
        <v>11</v>
      </c>
    </row>
    <row r="2501" spans="1:13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 s="3">
        <v>1239.75</v>
      </c>
      <c r="G2501" s="4">
        <v>0.6</v>
      </c>
      <c r="H2501" s="3">
        <v>7438.5</v>
      </c>
      <c r="I2501" s="1">
        <v>45782</v>
      </c>
      <c r="J2501" t="s">
        <v>22</v>
      </c>
      <c r="K2501" t="s">
        <v>16</v>
      </c>
      <c r="L2501" s="3">
        <v>2975.4</v>
      </c>
      <c r="M250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6EAC-6C68-4072-9439-971FF5C6296C}">
  <dimension ref="A1:Q2501"/>
  <sheetViews>
    <sheetView topLeftCell="D1" workbookViewId="0">
      <selection activeCell="N8" sqref="N8"/>
    </sheetView>
  </sheetViews>
  <sheetFormatPr defaultRowHeight="14.4" x14ac:dyDescent="0.3"/>
  <cols>
    <col min="2" max="2" width="22.33203125" bestFit="1" customWidth="1"/>
    <col min="3" max="3" width="18" bestFit="1" customWidth="1"/>
    <col min="4" max="4" width="15.6640625" bestFit="1" customWidth="1"/>
    <col min="5" max="5" width="12.109375" bestFit="1" customWidth="1"/>
    <col min="6" max="6" width="11.77734375" bestFit="1" customWidth="1"/>
    <col min="7" max="7" width="12.88671875" bestFit="1" customWidth="1"/>
    <col min="8" max="8" width="15" bestFit="1" customWidth="1"/>
    <col min="9" max="9" width="12.6640625" bestFit="1" customWidth="1"/>
    <col min="10" max="10" width="10.6640625" bestFit="1" customWidth="1"/>
    <col min="12" max="12" width="19.6640625" bestFit="1" customWidth="1"/>
    <col min="13" max="13" width="8.88671875" style="4"/>
    <col min="14" max="14" width="14.33203125" style="1" bestFit="1" customWidth="1"/>
    <col min="15" max="15" width="20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2511</v>
      </c>
      <c r="M1" s="4" t="s">
        <v>2512</v>
      </c>
      <c r="N1" s="1" t="s">
        <v>2513</v>
      </c>
      <c r="O1" t="s">
        <v>2514</v>
      </c>
      <c r="P1" t="s">
        <v>2515</v>
      </c>
      <c r="Q1" t="s">
        <v>2516</v>
      </c>
    </row>
    <row r="2" spans="1:17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 s="3">
        <f t="shared" ref="H2:H65" si="0">(L2*E2)</f>
        <v>1684</v>
      </c>
      <c r="I2" s="1">
        <v>45715</v>
      </c>
      <c r="J2" t="s">
        <v>15</v>
      </c>
      <c r="K2" t="s">
        <v>16</v>
      </c>
      <c r="L2" s="2">
        <f t="shared" ref="L2:L65" si="1">IF(F2="",AVERAGEIF($D$2:$D$2501,D2,$F$2:$F$2501),F2)</f>
        <v>842</v>
      </c>
      <c r="M2" s="4">
        <f t="shared" ref="M2:M65" si="2">IF(G2="",MEDIAN($G$2,$G$2501),G2)</f>
        <v>0.6</v>
      </c>
      <c r="N2" s="1">
        <f t="shared" ref="N2:N65" si="3">IF(I2="",MODE($I$32:$I$2501),I2)</f>
        <v>45715</v>
      </c>
      <c r="O2" s="3">
        <f>(Table13[[#This Row],[Units_Sold]]*Table13[[#This Row],[Unit_Price_Cleaned]]*(1-Table13[[#This Row],[Discount Cleaned]]))</f>
        <v>673.6</v>
      </c>
      <c r="P2" t="str">
        <f t="shared" ref="P2:P65" si="4">IF(O2&gt;500,"Profit","Loss")</f>
        <v>Profit</v>
      </c>
      <c r="Q2" t="str" cm="1">
        <f t="array" ref="Q2">IF(K2="",INDEX($K$2:$K$2501,MATCH(MAX(COUNTIF($K$2:$K$2501,$K$2:$K$2501)),COUNTIF($K$2:$K$2501,$K$2:$K$2501),0)),K2)</f>
        <v>B2C</v>
      </c>
    </row>
    <row r="3" spans="1:17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 s="3">
        <f t="shared" si="0"/>
        <v>2381.2677586206896</v>
      </c>
      <c r="I3" s="1">
        <v>45853</v>
      </c>
      <c r="J3" t="s">
        <v>18</v>
      </c>
      <c r="L3" s="2">
        <f t="shared" si="1"/>
        <v>2381.2677586206896</v>
      </c>
      <c r="M3" s="4">
        <f t="shared" si="2"/>
        <v>0.6</v>
      </c>
      <c r="N3" s="1">
        <f t="shared" si="3"/>
        <v>45853</v>
      </c>
      <c r="O3" s="3">
        <f>(Table13[[#This Row],[Units_Sold]]*Table13[[#This Row],[Unit_Price_Cleaned]]*(1-Table13[[#This Row],[Discount Cleaned]]))</f>
        <v>952.50710344827587</v>
      </c>
      <c r="P3" t="str">
        <f t="shared" si="4"/>
        <v>Profit</v>
      </c>
      <c r="Q3" t="str" cm="1">
        <f t="array" ref="Q3">IF(K3="",INDEX($K$2:$K$2501,MATCH(MAX(COUNTIF($K$2:$K$2501,$K$2:$K$2501)),COUNTIF($K$2:$K$2501,$K$2:$K$2501),0)),K3)</f>
        <v>B2B</v>
      </c>
    </row>
    <row r="4" spans="1:17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 s="3">
        <f t="shared" si="0"/>
        <v>637.82000000000005</v>
      </c>
      <c r="I4" s="1">
        <v>45659</v>
      </c>
      <c r="J4" t="s">
        <v>22</v>
      </c>
      <c r="K4" t="s">
        <v>23</v>
      </c>
      <c r="L4" s="2">
        <f t="shared" si="1"/>
        <v>637.82000000000005</v>
      </c>
      <c r="M4" s="4">
        <f t="shared" si="2"/>
        <v>0.6</v>
      </c>
      <c r="N4" s="1">
        <f t="shared" si="3"/>
        <v>45659</v>
      </c>
      <c r="O4" s="3">
        <f>(Table13[[#This Row],[Units_Sold]]*Table13[[#This Row],[Unit_Price_Cleaned]]*(1-Table13[[#This Row],[Discount Cleaned]]))</f>
        <v>255.12800000000004</v>
      </c>
      <c r="P4" t="str">
        <f t="shared" si="4"/>
        <v>Loss</v>
      </c>
      <c r="Q4" t="str" cm="1">
        <f t="array" ref="Q4">IF(K4="",INDEX($K$2:$K$2501,MATCH(MAX(COUNTIF($K$2:$K$2501,$K$2:$K$2501)),COUNTIF($K$2:$K$2501,$K$2:$K$2501),0)),K4)</f>
        <v>B2B</v>
      </c>
    </row>
    <row r="5" spans="1:17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 s="3">
        <f t="shared" si="0"/>
        <v>5924.54</v>
      </c>
      <c r="I5" s="1">
        <v>45826</v>
      </c>
      <c r="J5" t="s">
        <v>40</v>
      </c>
      <c r="K5" t="s">
        <v>23</v>
      </c>
      <c r="L5" s="2">
        <f t="shared" si="1"/>
        <v>2962.27</v>
      </c>
      <c r="M5" s="4">
        <f t="shared" si="2"/>
        <v>0.6</v>
      </c>
      <c r="N5" s="1">
        <f t="shared" si="3"/>
        <v>45826</v>
      </c>
      <c r="O5" s="3">
        <f>(Table13[[#This Row],[Units_Sold]]*Table13[[#This Row],[Unit_Price_Cleaned]]*(1-Table13[[#This Row],[Discount Cleaned]]))</f>
        <v>2369.8160000000003</v>
      </c>
      <c r="P5" t="str">
        <f t="shared" si="4"/>
        <v>Profit</v>
      </c>
      <c r="Q5" t="str" cm="1">
        <f t="array" ref="Q5">IF(K5="",INDEX($K$2:$K$2501,MATCH(MAX(COUNTIF($K$2:$K$2501,$K$2:$K$2501)),COUNTIF($K$2:$K$2501,$K$2:$K$2501),0)),K5)</f>
        <v>B2B</v>
      </c>
    </row>
    <row r="6" spans="1:17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 s="3">
        <f t="shared" si="0"/>
        <v>2881.07</v>
      </c>
      <c r="J6" t="s">
        <v>56</v>
      </c>
      <c r="L6" s="2">
        <f t="shared" si="1"/>
        <v>2881.07</v>
      </c>
      <c r="M6" s="4">
        <f t="shared" si="2"/>
        <v>0.27</v>
      </c>
      <c r="N6" s="1">
        <f t="shared" si="3"/>
        <v>45782</v>
      </c>
      <c r="O6" s="3">
        <f>(Table13[[#This Row],[Units_Sold]]*Table13[[#This Row],[Unit_Price_Cleaned]]*(1-Table13[[#This Row],[Discount Cleaned]]))</f>
        <v>2103.1811000000002</v>
      </c>
      <c r="P6" t="str">
        <f t="shared" si="4"/>
        <v>Profit</v>
      </c>
      <c r="Q6" t="str" cm="1">
        <f t="array" ref="Q6">IF(K6="",INDEX($K$2:$K$2501,MATCH(MAX(COUNTIF($K$2:$K$2501,$K$2:$K$2501)),COUNTIF($K$2:$K$2501,$K$2:$K$2501),0)),K6)</f>
        <v>B2B</v>
      </c>
    </row>
    <row r="7" spans="1:17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H7" s="3">
        <f t="shared" si="0"/>
        <v>4974.07923076923</v>
      </c>
      <c r="I7" s="1">
        <v>45265</v>
      </c>
      <c r="J7" t="s">
        <v>22</v>
      </c>
      <c r="K7" t="s">
        <v>23</v>
      </c>
      <c r="L7" s="2">
        <f t="shared" si="1"/>
        <v>2487.039615384615</v>
      </c>
      <c r="M7" s="4">
        <f t="shared" si="2"/>
        <v>0.6</v>
      </c>
      <c r="N7" s="1">
        <f t="shared" si="3"/>
        <v>45265</v>
      </c>
      <c r="O7" s="3">
        <f>(Table13[[#This Row],[Units_Sold]]*Table13[[#This Row],[Unit_Price_Cleaned]]*(1-Table13[[#This Row],[Discount Cleaned]]))</f>
        <v>1989.631692307692</v>
      </c>
      <c r="P7" t="str">
        <f t="shared" si="4"/>
        <v>Profit</v>
      </c>
      <c r="Q7" t="str" cm="1">
        <f t="array" ref="Q7">IF(K7="",INDEX($K$2:$K$2501,MATCH(MAX(COUNTIF($K$2:$K$2501,$K$2:$K$2501)),COUNTIF($K$2:$K$2501,$K$2:$K$2501),0)),K7)</f>
        <v>B2B</v>
      </c>
    </row>
    <row r="8" spans="1:17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 s="3">
        <f t="shared" si="0"/>
        <v>2060.85</v>
      </c>
      <c r="I8" s="1">
        <v>45384</v>
      </c>
      <c r="J8" t="s">
        <v>18</v>
      </c>
      <c r="K8" t="s">
        <v>23</v>
      </c>
      <c r="L8" s="2">
        <f t="shared" si="1"/>
        <v>2060.85</v>
      </c>
      <c r="M8" s="4">
        <f t="shared" si="2"/>
        <v>0.6</v>
      </c>
      <c r="N8" s="1">
        <f t="shared" si="3"/>
        <v>45384</v>
      </c>
      <c r="O8" s="3">
        <f>(Table13[[#This Row],[Units_Sold]]*Table13[[#This Row],[Unit_Price_Cleaned]]*(1-Table13[[#This Row],[Discount Cleaned]]))</f>
        <v>824.34</v>
      </c>
      <c r="P8" t="str">
        <f t="shared" si="4"/>
        <v>Profit</v>
      </c>
      <c r="Q8" t="str" cm="1">
        <f t="array" ref="Q8">IF(K8="",INDEX($K$2:$K$2501,MATCH(MAX(COUNTIF($K$2:$K$2501,$K$2:$K$2501)),COUNTIF($K$2:$K$2501,$K$2:$K$2501),0)),K8)</f>
        <v>B2B</v>
      </c>
    </row>
    <row r="9" spans="1:17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H9" s="3">
        <f t="shared" si="0"/>
        <v>7339.12</v>
      </c>
      <c r="J9" t="s">
        <v>40</v>
      </c>
      <c r="K9" t="s">
        <v>16</v>
      </c>
      <c r="L9" s="2">
        <f t="shared" si="1"/>
        <v>3669.56</v>
      </c>
      <c r="M9" s="4">
        <f t="shared" si="2"/>
        <v>0.6</v>
      </c>
      <c r="N9" s="1">
        <f t="shared" si="3"/>
        <v>45782</v>
      </c>
      <c r="O9" s="3">
        <f>(Table13[[#This Row],[Units_Sold]]*Table13[[#This Row],[Unit_Price_Cleaned]]*(1-Table13[[#This Row],[Discount Cleaned]]))</f>
        <v>2935.6480000000001</v>
      </c>
      <c r="P9" t="str">
        <f t="shared" si="4"/>
        <v>Profit</v>
      </c>
      <c r="Q9" t="str" cm="1">
        <f t="array" ref="Q9">IF(K9="",INDEX($K$2:$K$2501,MATCH(MAX(COUNTIF($K$2:$K$2501,$K$2:$K$2501)),COUNTIF($K$2:$K$2501,$K$2:$K$2501),0)),K9)</f>
        <v>B2C</v>
      </c>
    </row>
    <row r="10" spans="1:17" x14ac:dyDescent="0.3">
      <c r="A10">
        <v>1008</v>
      </c>
      <c r="B10" t="s">
        <v>41</v>
      </c>
      <c r="C10" t="s">
        <v>29</v>
      </c>
      <c r="D10" t="s">
        <v>42</v>
      </c>
      <c r="E10">
        <v>2</v>
      </c>
      <c r="H10" s="3">
        <f t="shared" si="0"/>
        <v>5119.3334615384629</v>
      </c>
      <c r="J10" t="s">
        <v>18</v>
      </c>
      <c r="K10" t="s">
        <v>16</v>
      </c>
      <c r="L10" s="2">
        <f t="shared" si="1"/>
        <v>2559.6667307692314</v>
      </c>
      <c r="M10" s="4">
        <f t="shared" si="2"/>
        <v>0.6</v>
      </c>
      <c r="N10" s="1">
        <f t="shared" si="3"/>
        <v>45782</v>
      </c>
      <c r="O10" s="3">
        <f>(Table13[[#This Row],[Units_Sold]]*Table13[[#This Row],[Unit_Price_Cleaned]]*(1-Table13[[#This Row],[Discount Cleaned]]))</f>
        <v>2047.7333846153851</v>
      </c>
      <c r="P10" t="str">
        <f t="shared" si="4"/>
        <v>Profit</v>
      </c>
      <c r="Q10" t="str" cm="1">
        <f t="array" ref="Q10">IF(K10="",INDEX($K$2:$K$2501,MATCH(MAX(COUNTIF($K$2:$K$2501,$K$2:$K$2501)),COUNTIF($K$2:$K$2501,$K$2:$K$2501),0)),K10)</f>
        <v>B2C</v>
      </c>
    </row>
    <row r="11" spans="1:17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 s="3">
        <f t="shared" si="0"/>
        <v>14208.815306122453</v>
      </c>
      <c r="I11" s="1">
        <v>45858</v>
      </c>
      <c r="J11" t="s">
        <v>40</v>
      </c>
      <c r="K11" t="s">
        <v>23</v>
      </c>
      <c r="L11" s="2">
        <f t="shared" si="1"/>
        <v>2841.7630612244907</v>
      </c>
      <c r="M11" s="4">
        <f t="shared" si="2"/>
        <v>0.6</v>
      </c>
      <c r="N11" s="1">
        <f t="shared" si="3"/>
        <v>45858</v>
      </c>
      <c r="O11" s="3">
        <f>(Table13[[#This Row],[Units_Sold]]*Table13[[#This Row],[Unit_Price_Cleaned]]*(1-Table13[[#This Row],[Discount Cleaned]]))</f>
        <v>5683.5261224489814</v>
      </c>
      <c r="P11" t="str">
        <f t="shared" si="4"/>
        <v>Profit</v>
      </c>
      <c r="Q11" t="str" cm="1">
        <f t="array" ref="Q11">IF(K11="",INDEX($K$2:$K$2501,MATCH(MAX(COUNTIF($K$2:$K$2501,$K$2:$K$2501)),COUNTIF($K$2:$K$2501,$K$2:$K$2501),0)),K11)</f>
        <v>B2B</v>
      </c>
    </row>
    <row r="12" spans="1:17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 s="3">
        <f t="shared" si="0"/>
        <v>0</v>
      </c>
      <c r="J12" t="s">
        <v>46</v>
      </c>
      <c r="K12" t="s">
        <v>23</v>
      </c>
      <c r="L12" s="2">
        <f t="shared" si="1"/>
        <v>4007.02</v>
      </c>
      <c r="M12" s="4">
        <f t="shared" si="2"/>
        <v>0.6</v>
      </c>
      <c r="N12" s="1">
        <f t="shared" si="3"/>
        <v>45782</v>
      </c>
      <c r="O12" s="3">
        <f>(Table13[[#This Row],[Units_Sold]]*Table13[[#This Row],[Unit_Price_Cleaned]]*(1-Table13[[#This Row],[Discount Cleaned]]))</f>
        <v>0</v>
      </c>
      <c r="P12" t="str">
        <f t="shared" si="4"/>
        <v>Loss</v>
      </c>
      <c r="Q12" t="str" cm="1">
        <f t="array" ref="Q12">IF(K12="",INDEX($K$2:$K$2501,MATCH(MAX(COUNTIF($K$2:$K$2501,$K$2:$K$2501)),COUNTIF($K$2:$K$2501,$K$2:$K$2501),0)),K12)</f>
        <v>B2B</v>
      </c>
    </row>
    <row r="13" spans="1:17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 s="3">
        <f t="shared" si="0"/>
        <v>0</v>
      </c>
      <c r="I13" s="1">
        <v>45804</v>
      </c>
      <c r="J13" t="s">
        <v>15</v>
      </c>
      <c r="K13" t="s">
        <v>16</v>
      </c>
      <c r="L13" s="2">
        <f t="shared" si="1"/>
        <v>2617.6390384615388</v>
      </c>
      <c r="M13" s="4">
        <f t="shared" si="2"/>
        <v>0.6</v>
      </c>
      <c r="N13" s="1">
        <f t="shared" si="3"/>
        <v>45804</v>
      </c>
      <c r="O13" s="3">
        <f>(Table13[[#This Row],[Units_Sold]]*Table13[[#This Row],[Unit_Price_Cleaned]]*(1-Table13[[#This Row],[Discount Cleaned]]))</f>
        <v>0</v>
      </c>
      <c r="P13" t="str">
        <f t="shared" si="4"/>
        <v>Loss</v>
      </c>
      <c r="Q13" t="str" cm="1">
        <f t="array" ref="Q13">IF(K13="",INDEX($K$2:$K$2501,MATCH(MAX(COUNTIF($K$2:$K$2501,$K$2:$K$2501)),COUNTIF($K$2:$K$2501,$K$2:$K$2501),0)),K13)</f>
        <v>B2C</v>
      </c>
    </row>
    <row r="14" spans="1:17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 s="3">
        <f t="shared" si="0"/>
        <v>11140.351186440677</v>
      </c>
      <c r="I14" s="1">
        <v>45526</v>
      </c>
      <c r="J14" t="s">
        <v>18</v>
      </c>
      <c r="L14" s="2">
        <f t="shared" si="1"/>
        <v>2785.0877966101693</v>
      </c>
      <c r="M14" s="4">
        <f t="shared" si="2"/>
        <v>0.21</v>
      </c>
      <c r="N14" s="1">
        <f t="shared" si="3"/>
        <v>45526</v>
      </c>
      <c r="O14" s="3">
        <f>(Table13[[#This Row],[Units_Sold]]*Table13[[#This Row],[Unit_Price_Cleaned]]*(1-Table13[[#This Row],[Discount Cleaned]]))</f>
        <v>8800.8774372881362</v>
      </c>
      <c r="P14" t="str">
        <f t="shared" si="4"/>
        <v>Profit</v>
      </c>
      <c r="Q14" t="str" cm="1">
        <f t="array" ref="Q14">IF(K14="",INDEX($K$2:$K$2501,MATCH(MAX(COUNTIF($K$2:$K$2501,$K$2:$K$2501)),COUNTIF($K$2:$K$2501,$K$2:$K$2501),0)),K14)</f>
        <v>B2B</v>
      </c>
    </row>
    <row r="15" spans="1:17" x14ac:dyDescent="0.3">
      <c r="A15">
        <v>1013</v>
      </c>
      <c r="B15" t="s">
        <v>50</v>
      </c>
      <c r="C15" t="s">
        <v>33</v>
      </c>
      <c r="D15" t="s">
        <v>34</v>
      </c>
      <c r="E15">
        <v>2</v>
      </c>
      <c r="G15">
        <v>0.62</v>
      </c>
      <c r="H15" s="3">
        <f t="shared" si="0"/>
        <v>4974.07923076923</v>
      </c>
      <c r="J15" t="s">
        <v>46</v>
      </c>
      <c r="K15" t="s">
        <v>16</v>
      </c>
      <c r="L15" s="2">
        <f t="shared" si="1"/>
        <v>2487.039615384615</v>
      </c>
      <c r="M15" s="4">
        <f t="shared" si="2"/>
        <v>0.62</v>
      </c>
      <c r="N15" s="1">
        <f t="shared" si="3"/>
        <v>45782</v>
      </c>
      <c r="O15" s="3">
        <f>(Table13[[#This Row],[Units_Sold]]*Table13[[#This Row],[Unit_Price_Cleaned]]*(1-Table13[[#This Row],[Discount Cleaned]]))</f>
        <v>1890.1501076923073</v>
      </c>
      <c r="P15" t="str">
        <f t="shared" si="4"/>
        <v>Profit</v>
      </c>
      <c r="Q15" t="str" cm="1">
        <f t="array" ref="Q15">IF(K15="",INDEX($K$2:$K$2501,MATCH(MAX(COUNTIF($K$2:$K$2501,$K$2:$K$2501)),COUNTIF($K$2:$K$2501,$K$2:$K$2501),0)),K15)</f>
        <v>B2C</v>
      </c>
    </row>
    <row r="16" spans="1:17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 s="3">
        <f t="shared" si="0"/>
        <v>11555.485714285714</v>
      </c>
      <c r="I16" s="1">
        <v>45556</v>
      </c>
      <c r="J16" t="s">
        <v>56</v>
      </c>
      <c r="L16" s="2">
        <f t="shared" si="1"/>
        <v>2888.8714285714286</v>
      </c>
      <c r="M16" s="4">
        <f t="shared" si="2"/>
        <v>0.6</v>
      </c>
      <c r="N16" s="1">
        <f t="shared" si="3"/>
        <v>45556</v>
      </c>
      <c r="O16" s="3">
        <f>(Table13[[#This Row],[Units_Sold]]*Table13[[#This Row],[Unit_Price_Cleaned]]*(1-Table13[[#This Row],[Discount Cleaned]]))</f>
        <v>4622.1942857142858</v>
      </c>
      <c r="P16" t="str">
        <f t="shared" si="4"/>
        <v>Profit</v>
      </c>
      <c r="Q16" t="str" cm="1">
        <f t="array" ref="Q16">IF(K16="",INDEX($K$2:$K$2501,MATCH(MAX(COUNTIF($K$2:$K$2501,$K$2:$K$2501)),COUNTIF($K$2:$K$2501,$K$2:$K$2501),0)),K16)</f>
        <v>B2B</v>
      </c>
    </row>
    <row r="17" spans="1:17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 s="3">
        <f t="shared" si="0"/>
        <v>15182.301923076928</v>
      </c>
      <c r="J17" t="s">
        <v>18</v>
      </c>
      <c r="L17" s="2">
        <f t="shared" si="1"/>
        <v>2530.3836538461546</v>
      </c>
      <c r="M17" s="4">
        <f t="shared" si="2"/>
        <v>0.6</v>
      </c>
      <c r="N17" s="1">
        <f t="shared" si="3"/>
        <v>45782</v>
      </c>
      <c r="O17" s="3">
        <f>(Table13[[#This Row],[Units_Sold]]*Table13[[#This Row],[Unit_Price_Cleaned]]*(1-Table13[[#This Row],[Discount Cleaned]]))</f>
        <v>6072.9207692307718</v>
      </c>
      <c r="P17" t="str">
        <f t="shared" si="4"/>
        <v>Profit</v>
      </c>
      <c r="Q17" t="str" cm="1">
        <f t="array" ref="Q17">IF(K17="",INDEX($K$2:$K$2501,MATCH(MAX(COUNTIF($K$2:$K$2501,$K$2:$K$2501)),COUNTIF($K$2:$K$2501,$K$2:$K$2501),0)),K17)</f>
        <v>B2B</v>
      </c>
    </row>
    <row r="18" spans="1:17" x14ac:dyDescent="0.3">
      <c r="A18">
        <v>1016</v>
      </c>
      <c r="B18" t="s">
        <v>55</v>
      </c>
      <c r="C18" t="s">
        <v>33</v>
      </c>
      <c r="D18" t="s">
        <v>34</v>
      </c>
      <c r="E18">
        <v>2</v>
      </c>
      <c r="H18" s="3">
        <f t="shared" si="0"/>
        <v>4974.07923076923</v>
      </c>
      <c r="I18" s="1">
        <v>45591</v>
      </c>
      <c r="J18" t="s">
        <v>56</v>
      </c>
      <c r="K18" t="s">
        <v>23</v>
      </c>
      <c r="L18" s="2">
        <f t="shared" si="1"/>
        <v>2487.039615384615</v>
      </c>
      <c r="M18" s="4">
        <f t="shared" si="2"/>
        <v>0.6</v>
      </c>
      <c r="N18" s="1">
        <f t="shared" si="3"/>
        <v>45591</v>
      </c>
      <c r="O18" s="3">
        <f>(Table13[[#This Row],[Units_Sold]]*Table13[[#This Row],[Unit_Price_Cleaned]]*(1-Table13[[#This Row],[Discount Cleaned]]))</f>
        <v>1989.631692307692</v>
      </c>
      <c r="P18" t="str">
        <f t="shared" si="4"/>
        <v>Profit</v>
      </c>
      <c r="Q18" t="str" cm="1">
        <f t="array" ref="Q18">IF(K18="",INDEX($K$2:$K$2501,MATCH(MAX(COUNTIF($K$2:$K$2501,$K$2:$K$2501)),COUNTIF($K$2:$K$2501,$K$2:$K$2501),0)),K18)</f>
        <v>B2B</v>
      </c>
    </row>
    <row r="19" spans="1:17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 s="3">
        <f t="shared" si="0"/>
        <v>1405.59</v>
      </c>
      <c r="J19" t="s">
        <v>22</v>
      </c>
      <c r="K19" t="s">
        <v>23</v>
      </c>
      <c r="L19" s="2">
        <f t="shared" si="1"/>
        <v>468.53</v>
      </c>
      <c r="M19" s="4">
        <f t="shared" si="2"/>
        <v>0.6</v>
      </c>
      <c r="N19" s="1">
        <f t="shared" si="3"/>
        <v>45782</v>
      </c>
      <c r="O19" s="3">
        <f>(Table13[[#This Row],[Units_Sold]]*Table13[[#This Row],[Unit_Price_Cleaned]]*(1-Table13[[#This Row],[Discount Cleaned]]))</f>
        <v>562.23599999999999</v>
      </c>
      <c r="P19" t="str">
        <f t="shared" si="4"/>
        <v>Profit</v>
      </c>
      <c r="Q19" t="str" cm="1">
        <f t="array" ref="Q19">IF(K19="",INDEX($K$2:$K$2501,MATCH(MAX(COUNTIF($K$2:$K$2501,$K$2:$K$2501)),COUNTIF($K$2:$K$2501,$K$2:$K$2501),0)),K19)</f>
        <v>B2B</v>
      </c>
    </row>
    <row r="20" spans="1:17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 s="3">
        <f t="shared" si="0"/>
        <v>11217.060769230768</v>
      </c>
      <c r="I20" s="1">
        <v>45395</v>
      </c>
      <c r="J20" t="s">
        <v>40</v>
      </c>
      <c r="K20" t="s">
        <v>16</v>
      </c>
      <c r="L20" s="2">
        <f t="shared" si="1"/>
        <v>2804.2651923076919</v>
      </c>
      <c r="M20" s="4">
        <f t="shared" si="2"/>
        <v>0.6</v>
      </c>
      <c r="N20" s="1">
        <f t="shared" si="3"/>
        <v>45395</v>
      </c>
      <c r="O20" s="3">
        <f>(Table13[[#This Row],[Units_Sold]]*Table13[[#This Row],[Unit_Price_Cleaned]]*(1-Table13[[#This Row],[Discount Cleaned]]))</f>
        <v>4486.8243076923072</v>
      </c>
      <c r="P20" t="str">
        <f t="shared" si="4"/>
        <v>Profit</v>
      </c>
      <c r="Q20" t="str" cm="1">
        <f t="array" ref="Q20">IF(K20="",INDEX($K$2:$K$2501,MATCH(MAX(COUNTIF($K$2:$K$2501,$K$2:$K$2501)),COUNTIF($K$2:$K$2501,$K$2:$K$2501),0)),K20)</f>
        <v>B2C</v>
      </c>
    </row>
    <row r="21" spans="1:17" x14ac:dyDescent="0.3">
      <c r="A21">
        <v>1019</v>
      </c>
      <c r="B21" t="s">
        <v>60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 s="3">
        <f t="shared" si="0"/>
        <v>8128.8</v>
      </c>
      <c r="I21" s="1">
        <v>45587</v>
      </c>
      <c r="J21" t="s">
        <v>18</v>
      </c>
      <c r="K21" t="s">
        <v>16</v>
      </c>
      <c r="L21" s="2">
        <f t="shared" si="1"/>
        <v>4064.4</v>
      </c>
      <c r="M21" s="4">
        <f t="shared" si="2"/>
        <v>0.7</v>
      </c>
      <c r="N21" s="1">
        <f t="shared" si="3"/>
        <v>45587</v>
      </c>
      <c r="O21" s="3">
        <f>(Table13[[#This Row],[Units_Sold]]*Table13[[#This Row],[Unit_Price_Cleaned]]*(1-Table13[[#This Row],[Discount Cleaned]]))</f>
        <v>2438.6400000000003</v>
      </c>
      <c r="P21" t="str">
        <f t="shared" si="4"/>
        <v>Profit</v>
      </c>
      <c r="Q21" t="str" cm="1">
        <f t="array" ref="Q21">IF(K21="",INDEX($K$2:$K$2501,MATCH(MAX(COUNTIF($K$2:$K$2501,$K$2:$K$2501)),COUNTIF($K$2:$K$2501,$K$2:$K$2501),0)),K21)</f>
        <v>B2C</v>
      </c>
    </row>
    <row r="22" spans="1:17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 s="3">
        <f t="shared" si="0"/>
        <v>2882.5046551724135</v>
      </c>
      <c r="I22" s="1">
        <v>45735</v>
      </c>
      <c r="J22" t="s">
        <v>46</v>
      </c>
      <c r="K22" t="s">
        <v>23</v>
      </c>
      <c r="L22" s="2">
        <f t="shared" si="1"/>
        <v>2882.5046551724135</v>
      </c>
      <c r="M22" s="4">
        <f t="shared" si="2"/>
        <v>0.6</v>
      </c>
      <c r="N22" s="1">
        <f t="shared" si="3"/>
        <v>45735</v>
      </c>
      <c r="O22" s="3">
        <f>(Table13[[#This Row],[Units_Sold]]*Table13[[#This Row],[Unit_Price_Cleaned]]*(1-Table13[[#This Row],[Discount Cleaned]]))</f>
        <v>1153.0018620689655</v>
      </c>
      <c r="P22" t="str">
        <f t="shared" si="4"/>
        <v>Profit</v>
      </c>
      <c r="Q22" t="str" cm="1">
        <f t="array" ref="Q22">IF(K22="",INDEX($K$2:$K$2501,MATCH(MAX(COUNTIF($K$2:$K$2501,$K$2:$K$2501)),COUNTIF($K$2:$K$2501,$K$2:$K$2501),0)),K22)</f>
        <v>B2B</v>
      </c>
    </row>
    <row r="23" spans="1:17" x14ac:dyDescent="0.3">
      <c r="A23">
        <v>1021</v>
      </c>
      <c r="B23" t="s">
        <v>62</v>
      </c>
      <c r="C23" t="s">
        <v>38</v>
      </c>
      <c r="D23" t="s">
        <v>63</v>
      </c>
      <c r="E23">
        <v>2</v>
      </c>
      <c r="H23" s="3">
        <f t="shared" si="0"/>
        <v>5690.4839344262318</v>
      </c>
      <c r="I23" s="1">
        <v>45417</v>
      </c>
      <c r="J23" t="s">
        <v>40</v>
      </c>
      <c r="K23" t="s">
        <v>23</v>
      </c>
      <c r="L23" s="2">
        <f t="shared" si="1"/>
        <v>2845.2419672131159</v>
      </c>
      <c r="M23" s="4">
        <f t="shared" si="2"/>
        <v>0.6</v>
      </c>
      <c r="N23" s="1">
        <f t="shared" si="3"/>
        <v>45417</v>
      </c>
      <c r="O23" s="3">
        <f>(Table13[[#This Row],[Units_Sold]]*Table13[[#This Row],[Unit_Price_Cleaned]]*(1-Table13[[#This Row],[Discount Cleaned]]))</f>
        <v>2276.193573770493</v>
      </c>
      <c r="P23" t="str">
        <f t="shared" si="4"/>
        <v>Profit</v>
      </c>
      <c r="Q23" t="str" cm="1">
        <f t="array" ref="Q23">IF(K23="",INDEX($K$2:$K$2501,MATCH(MAX(COUNTIF($K$2:$K$2501,$K$2:$K$2501)),COUNTIF($K$2:$K$2501,$K$2:$K$2501),0)),K23)</f>
        <v>B2B</v>
      </c>
    </row>
    <row r="24" spans="1:17" x14ac:dyDescent="0.3">
      <c r="A24">
        <v>1031</v>
      </c>
      <c r="B24" t="s">
        <v>64</v>
      </c>
      <c r="C24" t="s">
        <v>38</v>
      </c>
      <c r="D24" t="s">
        <v>63</v>
      </c>
      <c r="E24">
        <v>2</v>
      </c>
      <c r="F24">
        <v>1872.05</v>
      </c>
      <c r="G24">
        <v>0.15</v>
      </c>
      <c r="H24" s="3">
        <f t="shared" si="0"/>
        <v>3744.1</v>
      </c>
      <c r="I24" s="1">
        <v>45804</v>
      </c>
      <c r="J24" t="s">
        <v>46</v>
      </c>
      <c r="K24" t="s">
        <v>16</v>
      </c>
      <c r="L24" s="2">
        <f t="shared" si="1"/>
        <v>1872.05</v>
      </c>
      <c r="M24" s="4">
        <f t="shared" si="2"/>
        <v>0.15</v>
      </c>
      <c r="N24" s="1">
        <f t="shared" si="3"/>
        <v>45804</v>
      </c>
      <c r="O24" s="3">
        <f>(Table13[[#This Row],[Units_Sold]]*Table13[[#This Row],[Unit_Price_Cleaned]]*(1-Table13[[#This Row],[Discount Cleaned]]))</f>
        <v>3182.4849999999997</v>
      </c>
      <c r="P24" t="str">
        <f t="shared" si="4"/>
        <v>Profit</v>
      </c>
      <c r="Q24" t="str" cm="1">
        <f t="array" ref="Q24">IF(K24="",INDEX($K$2:$K$2501,MATCH(MAX(COUNTIF($K$2:$K$2501,$K$2:$K$2501)),COUNTIF($K$2:$K$2501,$K$2:$K$2501),0)),K24)</f>
        <v>B2C</v>
      </c>
    </row>
    <row r="25" spans="1:17" x14ac:dyDescent="0.3">
      <c r="A25">
        <v>1023</v>
      </c>
      <c r="B25" t="s">
        <v>65</v>
      </c>
      <c r="C25" t="s">
        <v>25</v>
      </c>
      <c r="D25" t="s">
        <v>66</v>
      </c>
      <c r="E25">
        <v>2</v>
      </c>
      <c r="H25" s="3">
        <f t="shared" si="0"/>
        <v>5145.5528000000013</v>
      </c>
      <c r="J25" t="s">
        <v>22</v>
      </c>
      <c r="L25" s="2">
        <f t="shared" si="1"/>
        <v>2572.7764000000006</v>
      </c>
      <c r="M25" s="4">
        <f t="shared" si="2"/>
        <v>0.6</v>
      </c>
      <c r="N25" s="1">
        <f t="shared" si="3"/>
        <v>45782</v>
      </c>
      <c r="O25" s="3">
        <f>(Table13[[#This Row],[Units_Sold]]*Table13[[#This Row],[Unit_Price_Cleaned]]*(1-Table13[[#This Row],[Discount Cleaned]]))</f>
        <v>2058.2211200000006</v>
      </c>
      <c r="P25" t="str">
        <f t="shared" si="4"/>
        <v>Profit</v>
      </c>
      <c r="Q25" t="str" cm="1">
        <f t="array" ref="Q25">IF(K25="",INDEX($K$2:$K$2501,MATCH(MAX(COUNTIF($K$2:$K$2501,$K$2:$K$2501)),COUNTIF($K$2:$K$2501,$K$2:$K$2501),0)),K25)</f>
        <v>B2B</v>
      </c>
    </row>
    <row r="26" spans="1:17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 s="3">
        <f t="shared" si="0"/>
        <v>-5362.348727272727</v>
      </c>
      <c r="I26" s="1">
        <v>45707</v>
      </c>
      <c r="J26" t="s">
        <v>15</v>
      </c>
      <c r="K26" t="s">
        <v>23</v>
      </c>
      <c r="L26" s="2">
        <f t="shared" si="1"/>
        <v>2681.1743636363635</v>
      </c>
      <c r="M26" s="4">
        <f t="shared" si="2"/>
        <v>1.19</v>
      </c>
      <c r="N26" s="1">
        <f t="shared" si="3"/>
        <v>45707</v>
      </c>
      <c r="O26" s="3">
        <f>(Table13[[#This Row],[Units_Sold]]*Table13[[#This Row],[Unit_Price_Cleaned]]*(1-Table13[[#This Row],[Discount Cleaned]]))</f>
        <v>1018.8462581818178</v>
      </c>
      <c r="P26" t="str">
        <f t="shared" si="4"/>
        <v>Profit</v>
      </c>
      <c r="Q26" t="str" cm="1">
        <f t="array" ref="Q26">IF(K26="",INDEX($K$2:$K$2501,MATCH(MAX(COUNTIF($K$2:$K$2501,$K$2:$K$2501)),COUNTIF($K$2:$K$2501,$K$2:$K$2501),0)),K26)</f>
        <v>B2B</v>
      </c>
    </row>
    <row r="27" spans="1:17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 s="3">
        <f t="shared" si="0"/>
        <v>18380.32</v>
      </c>
      <c r="I27" s="1">
        <v>45856</v>
      </c>
      <c r="J27" t="s">
        <v>40</v>
      </c>
      <c r="L27" s="2">
        <f t="shared" si="1"/>
        <v>4595.08</v>
      </c>
      <c r="M27" s="4">
        <f t="shared" si="2"/>
        <v>0.6</v>
      </c>
      <c r="N27" s="1">
        <f t="shared" si="3"/>
        <v>45856</v>
      </c>
      <c r="O27" s="3">
        <f>(Table13[[#This Row],[Units_Sold]]*Table13[[#This Row],[Unit_Price_Cleaned]]*(1-Table13[[#This Row],[Discount Cleaned]]))</f>
        <v>7352.1280000000006</v>
      </c>
      <c r="P27" t="str">
        <f t="shared" si="4"/>
        <v>Profit</v>
      </c>
      <c r="Q27" t="str" cm="1">
        <f t="array" ref="Q27">IF(K27="",INDEX($K$2:$K$2501,MATCH(MAX(COUNTIF($K$2:$K$2501,$K$2:$K$2501)),COUNTIF($K$2:$K$2501,$K$2:$K$2501),0)),K27)</f>
        <v>B2B</v>
      </c>
    </row>
    <row r="28" spans="1:17" x14ac:dyDescent="0.3">
      <c r="A28">
        <v>1026</v>
      </c>
      <c r="B28" t="s">
        <v>69</v>
      </c>
      <c r="C28" t="s">
        <v>29</v>
      </c>
      <c r="D28" t="s">
        <v>42</v>
      </c>
      <c r="E28">
        <v>2</v>
      </c>
      <c r="H28" s="3">
        <f t="shared" si="0"/>
        <v>5119.3334615384629</v>
      </c>
      <c r="I28" s="1">
        <v>45647</v>
      </c>
      <c r="J28" t="s">
        <v>18</v>
      </c>
      <c r="K28" t="s">
        <v>23</v>
      </c>
      <c r="L28" s="2">
        <f t="shared" si="1"/>
        <v>2559.6667307692314</v>
      </c>
      <c r="M28" s="4">
        <f t="shared" si="2"/>
        <v>0.6</v>
      </c>
      <c r="N28" s="1">
        <f t="shared" si="3"/>
        <v>45647</v>
      </c>
      <c r="O28" s="3">
        <f>(Table13[[#This Row],[Units_Sold]]*Table13[[#This Row],[Unit_Price_Cleaned]]*(1-Table13[[#This Row],[Discount Cleaned]]))</f>
        <v>2047.7333846153851</v>
      </c>
      <c r="P28" t="str">
        <f t="shared" si="4"/>
        <v>Profit</v>
      </c>
      <c r="Q28" t="str" cm="1">
        <f t="array" ref="Q28">IF(K28="",INDEX($K$2:$K$2501,MATCH(MAX(COUNTIF($K$2:$K$2501,$K$2:$K$2501)),COUNTIF($K$2:$K$2501,$K$2:$K$2501),0)),K28)</f>
        <v>B2B</v>
      </c>
    </row>
    <row r="29" spans="1:17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 s="3">
        <f t="shared" si="0"/>
        <v>2617.6390384615388</v>
      </c>
      <c r="J29" t="s">
        <v>56</v>
      </c>
      <c r="K29" t="s">
        <v>23</v>
      </c>
      <c r="L29" s="2">
        <f t="shared" si="1"/>
        <v>2617.6390384615388</v>
      </c>
      <c r="M29" s="4">
        <f t="shared" si="2"/>
        <v>0.6</v>
      </c>
      <c r="N29" s="1">
        <f t="shared" si="3"/>
        <v>45782</v>
      </c>
      <c r="O29" s="3">
        <f>(Table13[[#This Row],[Units_Sold]]*Table13[[#This Row],[Unit_Price_Cleaned]]*(1-Table13[[#This Row],[Discount Cleaned]]))</f>
        <v>1047.0556153846155</v>
      </c>
      <c r="P29" t="str">
        <f t="shared" si="4"/>
        <v>Profit</v>
      </c>
      <c r="Q29" t="str" cm="1">
        <f t="array" ref="Q29">IF(K29="",INDEX($K$2:$K$2501,MATCH(MAX(COUNTIF($K$2:$K$2501,$K$2:$K$2501)),COUNTIF($K$2:$K$2501,$K$2:$K$2501),0)),K29)</f>
        <v>B2B</v>
      </c>
    </row>
    <row r="30" spans="1:17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 s="3">
        <f t="shared" si="0"/>
        <v>-5431.091698113205</v>
      </c>
      <c r="J30" t="s">
        <v>56</v>
      </c>
      <c r="K30" t="s">
        <v>23</v>
      </c>
      <c r="L30" s="2">
        <f t="shared" si="1"/>
        <v>2715.5458490566025</v>
      </c>
      <c r="M30" s="4">
        <f t="shared" si="2"/>
        <v>0.6</v>
      </c>
      <c r="N30" s="1">
        <f t="shared" si="3"/>
        <v>45782</v>
      </c>
      <c r="O30" s="3">
        <f>(Table13[[#This Row],[Units_Sold]]*Table13[[#This Row],[Unit_Price_Cleaned]]*(1-Table13[[#This Row],[Discount Cleaned]]))</f>
        <v>-2172.436679245282</v>
      </c>
      <c r="P30" t="str">
        <f t="shared" si="4"/>
        <v>Loss</v>
      </c>
      <c r="Q30" t="str" cm="1">
        <f t="array" ref="Q30">IF(K30="",INDEX($K$2:$K$2501,MATCH(MAX(COUNTIF($K$2:$K$2501,$K$2:$K$2501)),COUNTIF($K$2:$K$2501,$K$2:$K$2501),0)),K30)</f>
        <v>B2B</v>
      </c>
    </row>
    <row r="31" spans="1:17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 s="3">
        <f t="shared" si="0"/>
        <v>10862.18339622641</v>
      </c>
      <c r="J31" t="s">
        <v>22</v>
      </c>
      <c r="L31" s="2">
        <f t="shared" si="1"/>
        <v>2715.5458490566025</v>
      </c>
      <c r="M31" s="4">
        <f t="shared" si="2"/>
        <v>0.6</v>
      </c>
      <c r="N31" s="1">
        <f t="shared" si="3"/>
        <v>45782</v>
      </c>
      <c r="O31" s="3">
        <f>(Table13[[#This Row],[Units_Sold]]*Table13[[#This Row],[Unit_Price_Cleaned]]*(1-Table13[[#This Row],[Discount Cleaned]]))</f>
        <v>4344.873358490564</v>
      </c>
      <c r="P31" t="str">
        <f t="shared" si="4"/>
        <v>Profit</v>
      </c>
      <c r="Q31" t="str" cm="1">
        <f t="array" ref="Q31">IF(K31="",INDEX($K$2:$K$2501,MATCH(MAX(COUNTIF($K$2:$K$2501,$K$2:$K$2501)),COUNTIF($K$2:$K$2501,$K$2:$K$2501),0)),K31)</f>
        <v>B2B</v>
      </c>
    </row>
    <row r="32" spans="1:17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 s="3">
        <f t="shared" si="0"/>
        <v>3209.31</v>
      </c>
      <c r="I32" s="1">
        <v>45172</v>
      </c>
      <c r="J32" t="s">
        <v>56</v>
      </c>
      <c r="K32" t="s">
        <v>16</v>
      </c>
      <c r="L32" s="2">
        <f t="shared" si="1"/>
        <v>1069.77</v>
      </c>
      <c r="M32" s="4">
        <f t="shared" si="2"/>
        <v>0.6</v>
      </c>
      <c r="N32" s="1">
        <f t="shared" si="3"/>
        <v>45172</v>
      </c>
      <c r="O32" s="3">
        <f>(Table13[[#This Row],[Units_Sold]]*Table13[[#This Row],[Unit_Price_Cleaned]]*(1-Table13[[#This Row],[Discount Cleaned]]))</f>
        <v>1283.7240000000002</v>
      </c>
      <c r="P32" t="str">
        <f t="shared" si="4"/>
        <v>Profit</v>
      </c>
      <c r="Q32" t="str" cm="1">
        <f t="array" ref="Q32">IF(K32="",INDEX($K$2:$K$2501,MATCH(MAX(COUNTIF($K$2:$K$2501,$K$2:$K$2501)),COUNTIF($K$2:$K$2501,$K$2:$K$2501),0)),K32)</f>
        <v>B2C</v>
      </c>
    </row>
    <row r="33" spans="1:17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 s="3">
        <f t="shared" si="0"/>
        <v>11380.967868852464</v>
      </c>
      <c r="I33" s="1">
        <v>45688</v>
      </c>
      <c r="J33" t="s">
        <v>40</v>
      </c>
      <c r="K33" t="s">
        <v>23</v>
      </c>
      <c r="L33" s="2">
        <f t="shared" si="1"/>
        <v>2845.2419672131159</v>
      </c>
      <c r="M33" s="4">
        <f t="shared" si="2"/>
        <v>0.6</v>
      </c>
      <c r="N33" s="1">
        <f t="shared" si="3"/>
        <v>45688</v>
      </c>
      <c r="O33" s="3">
        <f>(Table13[[#This Row],[Units_Sold]]*Table13[[#This Row],[Unit_Price_Cleaned]]*(1-Table13[[#This Row],[Discount Cleaned]]))</f>
        <v>4552.387147540986</v>
      </c>
      <c r="P33" t="str">
        <f t="shared" si="4"/>
        <v>Profit</v>
      </c>
      <c r="Q33" t="str" cm="1">
        <f t="array" ref="Q33">IF(K33="",INDEX($K$2:$K$2501,MATCH(MAX(COUNTIF($K$2:$K$2501,$K$2:$K$2501)),COUNTIF($K$2:$K$2501,$K$2:$K$2501),0)),K33)</f>
        <v>B2B</v>
      </c>
    </row>
    <row r="34" spans="1:17" x14ac:dyDescent="0.3">
      <c r="A34">
        <v>1032</v>
      </c>
      <c r="B34" t="s">
        <v>76</v>
      </c>
      <c r="C34" t="s">
        <v>13</v>
      </c>
      <c r="D34" t="s">
        <v>36</v>
      </c>
      <c r="E34">
        <v>2</v>
      </c>
      <c r="F34">
        <v>2182.0100000000002</v>
      </c>
      <c r="H34" s="3">
        <f t="shared" si="0"/>
        <v>4364.0200000000004</v>
      </c>
      <c r="I34" s="1">
        <v>45682</v>
      </c>
      <c r="J34" t="s">
        <v>15</v>
      </c>
      <c r="L34" s="2">
        <f t="shared" si="1"/>
        <v>2182.0100000000002</v>
      </c>
      <c r="M34" s="4">
        <f t="shared" si="2"/>
        <v>0.6</v>
      </c>
      <c r="N34" s="1">
        <f t="shared" si="3"/>
        <v>45682</v>
      </c>
      <c r="O34" s="3">
        <f>(Table13[[#This Row],[Units_Sold]]*Table13[[#This Row],[Unit_Price_Cleaned]]*(1-Table13[[#This Row],[Discount Cleaned]]))</f>
        <v>1745.6080000000002</v>
      </c>
      <c r="P34" t="str">
        <f t="shared" si="4"/>
        <v>Profit</v>
      </c>
      <c r="Q34" t="str" cm="1">
        <f t="array" ref="Q34">IF(K34="",INDEX($K$2:$K$2501,MATCH(MAX(COUNTIF($K$2:$K$2501,$K$2:$K$2501)),COUNTIF($K$2:$K$2501,$K$2:$K$2501),0)),K34)</f>
        <v>B2B</v>
      </c>
    </row>
    <row r="35" spans="1:17" x14ac:dyDescent="0.3">
      <c r="A35">
        <v>1033</v>
      </c>
      <c r="B35" t="s">
        <v>77</v>
      </c>
      <c r="C35" t="s">
        <v>13</v>
      </c>
      <c r="D35" t="s">
        <v>49</v>
      </c>
      <c r="E35">
        <v>2</v>
      </c>
      <c r="H35" s="3">
        <f t="shared" si="0"/>
        <v>5570.1755932203387</v>
      </c>
      <c r="I35" s="1">
        <v>45609</v>
      </c>
      <c r="J35" t="s">
        <v>56</v>
      </c>
      <c r="K35" t="s">
        <v>23</v>
      </c>
      <c r="L35" s="2">
        <f t="shared" si="1"/>
        <v>2785.0877966101693</v>
      </c>
      <c r="M35" s="4">
        <f t="shared" si="2"/>
        <v>0.6</v>
      </c>
      <c r="N35" s="1">
        <f t="shared" si="3"/>
        <v>45609</v>
      </c>
      <c r="O35" s="3">
        <f>(Table13[[#This Row],[Units_Sold]]*Table13[[#This Row],[Unit_Price_Cleaned]]*(1-Table13[[#This Row],[Discount Cleaned]]))</f>
        <v>2228.0702372881356</v>
      </c>
      <c r="P35" t="str">
        <f t="shared" si="4"/>
        <v>Profit</v>
      </c>
      <c r="Q35" t="str" cm="1">
        <f t="array" ref="Q35">IF(K35="",INDEX($K$2:$K$2501,MATCH(MAX(COUNTIF($K$2:$K$2501,$K$2:$K$2501)),COUNTIF($K$2:$K$2501,$K$2:$K$2501),0)),K35)</f>
        <v>B2B</v>
      </c>
    </row>
    <row r="36" spans="1:17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 s="3">
        <f t="shared" si="0"/>
        <v>0</v>
      </c>
      <c r="I36" s="1">
        <v>45851</v>
      </c>
      <c r="J36" t="s">
        <v>15</v>
      </c>
      <c r="K36" t="s">
        <v>23</v>
      </c>
      <c r="L36" s="2">
        <f t="shared" si="1"/>
        <v>4449.3599999999997</v>
      </c>
      <c r="M36" s="4">
        <f t="shared" si="2"/>
        <v>0.94</v>
      </c>
      <c r="N36" s="1">
        <f t="shared" si="3"/>
        <v>45851</v>
      </c>
      <c r="O36" s="3">
        <f>(Table13[[#This Row],[Units_Sold]]*Table13[[#This Row],[Unit_Price_Cleaned]]*(1-Table13[[#This Row],[Discount Cleaned]]))</f>
        <v>0</v>
      </c>
      <c r="P36" t="str">
        <f t="shared" si="4"/>
        <v>Loss</v>
      </c>
      <c r="Q36" t="str" cm="1">
        <f t="array" ref="Q36">IF(K36="",INDEX($K$2:$K$2501,MATCH(MAX(COUNTIF($K$2:$K$2501,$K$2:$K$2501)),COUNTIF($K$2:$K$2501,$K$2:$K$2501),0)),K36)</f>
        <v>B2B</v>
      </c>
    </row>
    <row r="37" spans="1:17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 s="3">
        <f t="shared" si="0"/>
        <v>-2483.5844000000002</v>
      </c>
      <c r="J37" t="s">
        <v>18</v>
      </c>
      <c r="K37" t="s">
        <v>16</v>
      </c>
      <c r="L37" s="2">
        <f t="shared" si="1"/>
        <v>2483.5844000000002</v>
      </c>
      <c r="M37" s="4">
        <f t="shared" si="2"/>
        <v>0.94</v>
      </c>
      <c r="N37" s="1">
        <f t="shared" si="3"/>
        <v>45782</v>
      </c>
      <c r="O37" s="3">
        <f>(Table13[[#This Row],[Units_Sold]]*Table13[[#This Row],[Unit_Price_Cleaned]]*(1-Table13[[#This Row],[Discount Cleaned]]))</f>
        <v>-149.01506400000014</v>
      </c>
      <c r="P37" t="str">
        <f t="shared" si="4"/>
        <v>Loss</v>
      </c>
      <c r="Q37" t="str" cm="1">
        <f t="array" ref="Q37">IF(K37="",INDEX($K$2:$K$2501,MATCH(MAX(COUNTIF($K$2:$K$2501,$K$2:$K$2501)),COUNTIF($K$2:$K$2501,$K$2:$K$2501),0)),K37)</f>
        <v>B2C</v>
      </c>
    </row>
    <row r="38" spans="1:17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 s="3">
        <f t="shared" si="0"/>
        <v>-5443.66</v>
      </c>
      <c r="I38" s="1">
        <v>45388</v>
      </c>
      <c r="J38" t="s">
        <v>18</v>
      </c>
      <c r="K38" t="s">
        <v>23</v>
      </c>
      <c r="L38" s="2">
        <f t="shared" si="1"/>
        <v>2721.83</v>
      </c>
      <c r="M38" s="4">
        <f t="shared" si="2"/>
        <v>0.6</v>
      </c>
      <c r="N38" s="1">
        <f t="shared" si="3"/>
        <v>45388</v>
      </c>
      <c r="O38" s="3">
        <f>(Table13[[#This Row],[Units_Sold]]*Table13[[#This Row],[Unit_Price_Cleaned]]*(1-Table13[[#This Row],[Discount Cleaned]]))</f>
        <v>-2177.4639999999999</v>
      </c>
      <c r="P38" t="str">
        <f t="shared" si="4"/>
        <v>Loss</v>
      </c>
      <c r="Q38" t="str" cm="1">
        <f t="array" ref="Q38">IF(K38="",INDEX($K$2:$K$2501,MATCH(MAX(COUNTIF($K$2:$K$2501,$K$2:$K$2501)),COUNTIF($K$2:$K$2501,$K$2:$K$2501),0)),K38)</f>
        <v>B2B</v>
      </c>
    </row>
    <row r="39" spans="1:17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 s="3">
        <f t="shared" si="0"/>
        <v>5119.3334615384629</v>
      </c>
      <c r="J39" t="s">
        <v>18</v>
      </c>
      <c r="K39" t="s">
        <v>23</v>
      </c>
      <c r="L39" s="2">
        <f t="shared" si="1"/>
        <v>2559.6667307692314</v>
      </c>
      <c r="M39" s="4">
        <f t="shared" si="2"/>
        <v>1.1000000000000001</v>
      </c>
      <c r="N39" s="1">
        <f t="shared" si="3"/>
        <v>45782</v>
      </c>
      <c r="O39" s="3">
        <f>(Table13[[#This Row],[Units_Sold]]*Table13[[#This Row],[Unit_Price_Cleaned]]*(1-Table13[[#This Row],[Discount Cleaned]]))</f>
        <v>-511.93334615384674</v>
      </c>
      <c r="P39" t="str">
        <f t="shared" si="4"/>
        <v>Loss</v>
      </c>
      <c r="Q39" t="str" cm="1">
        <f t="array" ref="Q39">IF(K39="",INDEX($K$2:$K$2501,MATCH(MAX(COUNTIF($K$2:$K$2501,$K$2:$K$2501)),COUNTIF($K$2:$K$2501,$K$2:$K$2501),0)),K39)</f>
        <v>B2B</v>
      </c>
    </row>
    <row r="40" spans="1:17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 s="3">
        <f t="shared" si="0"/>
        <v>5077.1400000000003</v>
      </c>
      <c r="I40" s="1">
        <v>45311</v>
      </c>
      <c r="J40" t="s">
        <v>40</v>
      </c>
      <c r="K40" t="s">
        <v>16</v>
      </c>
      <c r="L40" s="2">
        <f t="shared" si="1"/>
        <v>1692.38</v>
      </c>
      <c r="M40" s="4">
        <f t="shared" si="2"/>
        <v>0.6</v>
      </c>
      <c r="N40" s="1">
        <f t="shared" si="3"/>
        <v>45311</v>
      </c>
      <c r="O40" s="3">
        <f>(Table13[[#This Row],[Units_Sold]]*Table13[[#This Row],[Unit_Price_Cleaned]]*(1-Table13[[#This Row],[Discount Cleaned]]))</f>
        <v>2030.8560000000002</v>
      </c>
      <c r="P40" t="str">
        <f t="shared" si="4"/>
        <v>Profit</v>
      </c>
      <c r="Q40" t="str" cm="1">
        <f t="array" ref="Q40">IF(K40="",INDEX($K$2:$K$2501,MATCH(MAX(COUNTIF($K$2:$K$2501,$K$2:$K$2501)),COUNTIF($K$2:$K$2501,$K$2:$K$2501),0)),K40)</f>
        <v>B2C</v>
      </c>
    </row>
    <row r="41" spans="1:17" x14ac:dyDescent="0.3">
      <c r="A41">
        <v>1039</v>
      </c>
      <c r="B41" t="s">
        <v>85</v>
      </c>
      <c r="C41" t="s">
        <v>25</v>
      </c>
      <c r="D41" t="s">
        <v>86</v>
      </c>
      <c r="E41">
        <v>2</v>
      </c>
      <c r="F41">
        <v>1372.16</v>
      </c>
      <c r="G41">
        <v>0.56000000000000005</v>
      </c>
      <c r="H41" s="3">
        <f t="shared" si="0"/>
        <v>2744.32</v>
      </c>
      <c r="I41" s="1">
        <v>45797</v>
      </c>
      <c r="J41" t="s">
        <v>56</v>
      </c>
      <c r="K41" t="s">
        <v>16</v>
      </c>
      <c r="L41" s="2">
        <f t="shared" si="1"/>
        <v>1372.16</v>
      </c>
      <c r="M41" s="4">
        <f t="shared" si="2"/>
        <v>0.56000000000000005</v>
      </c>
      <c r="N41" s="1">
        <f t="shared" si="3"/>
        <v>45797</v>
      </c>
      <c r="O41" s="3">
        <f>(Table13[[#This Row],[Units_Sold]]*Table13[[#This Row],[Unit_Price_Cleaned]]*(1-Table13[[#This Row],[Discount Cleaned]]))</f>
        <v>1207.5008</v>
      </c>
      <c r="P41" t="str">
        <f t="shared" si="4"/>
        <v>Profit</v>
      </c>
      <c r="Q41" t="str" cm="1">
        <f t="array" ref="Q41">IF(K41="",INDEX($K$2:$K$2501,MATCH(MAX(COUNTIF($K$2:$K$2501,$K$2:$K$2501)),COUNTIF($K$2:$K$2501,$K$2:$K$2501),0)),K41)</f>
        <v>B2C</v>
      </c>
    </row>
    <row r="42" spans="1:17" x14ac:dyDescent="0.3">
      <c r="A42">
        <v>1040</v>
      </c>
      <c r="B42" t="s">
        <v>87</v>
      </c>
      <c r="C42" t="s">
        <v>20</v>
      </c>
      <c r="D42" t="s">
        <v>88</v>
      </c>
      <c r="E42">
        <v>2</v>
      </c>
      <c r="H42" s="3">
        <f t="shared" si="0"/>
        <v>5451.7114285714297</v>
      </c>
      <c r="I42" s="1">
        <v>45611</v>
      </c>
      <c r="J42" t="s">
        <v>18</v>
      </c>
      <c r="K42" t="s">
        <v>16</v>
      </c>
      <c r="L42" s="2">
        <f t="shared" si="1"/>
        <v>2725.8557142857148</v>
      </c>
      <c r="M42" s="4">
        <f t="shared" si="2"/>
        <v>0.6</v>
      </c>
      <c r="N42" s="1">
        <f t="shared" si="3"/>
        <v>45611</v>
      </c>
      <c r="O42" s="3">
        <f>(Table13[[#This Row],[Units_Sold]]*Table13[[#This Row],[Unit_Price_Cleaned]]*(1-Table13[[#This Row],[Discount Cleaned]]))</f>
        <v>2180.6845714285719</v>
      </c>
      <c r="P42" t="str">
        <f t="shared" si="4"/>
        <v>Profit</v>
      </c>
      <c r="Q42" t="str" cm="1">
        <f t="array" ref="Q42">IF(K42="",INDEX($K$2:$K$2501,MATCH(MAX(COUNTIF($K$2:$K$2501,$K$2:$K$2501)),COUNTIF($K$2:$K$2501,$K$2:$K$2501),0)),K42)</f>
        <v>B2C</v>
      </c>
    </row>
    <row r="43" spans="1:17" x14ac:dyDescent="0.3">
      <c r="A43">
        <v>1041</v>
      </c>
      <c r="B43" t="s">
        <v>89</v>
      </c>
      <c r="C43" t="s">
        <v>20</v>
      </c>
      <c r="D43" t="s">
        <v>21</v>
      </c>
      <c r="E43">
        <v>2</v>
      </c>
      <c r="H43" s="3">
        <f t="shared" si="0"/>
        <v>5362.348727272727</v>
      </c>
      <c r="I43" s="1">
        <v>45723</v>
      </c>
      <c r="J43" t="s">
        <v>18</v>
      </c>
      <c r="K43" t="s">
        <v>16</v>
      </c>
      <c r="L43" s="2">
        <f t="shared" si="1"/>
        <v>2681.1743636363635</v>
      </c>
      <c r="M43" s="4">
        <f t="shared" si="2"/>
        <v>0.6</v>
      </c>
      <c r="N43" s="1">
        <f t="shared" si="3"/>
        <v>45723</v>
      </c>
      <c r="O43" s="3">
        <f>(Table13[[#This Row],[Units_Sold]]*Table13[[#This Row],[Unit_Price_Cleaned]]*(1-Table13[[#This Row],[Discount Cleaned]]))</f>
        <v>2144.9394909090911</v>
      </c>
      <c r="P43" t="str">
        <f t="shared" si="4"/>
        <v>Profit</v>
      </c>
      <c r="Q43" t="str" cm="1">
        <f t="array" ref="Q43">IF(K43="",INDEX($K$2:$K$2501,MATCH(MAX(COUNTIF($K$2:$K$2501,$K$2:$K$2501)),COUNTIF($K$2:$K$2501,$K$2:$K$2501),0)),K43)</f>
        <v>B2C</v>
      </c>
    </row>
    <row r="44" spans="1:17" x14ac:dyDescent="0.3">
      <c r="A44">
        <v>1042</v>
      </c>
      <c r="B44" t="s">
        <v>90</v>
      </c>
      <c r="C44" t="s">
        <v>38</v>
      </c>
      <c r="D44" t="s">
        <v>91</v>
      </c>
      <c r="E44">
        <v>2</v>
      </c>
      <c r="H44" s="3">
        <f t="shared" si="0"/>
        <v>5737.5536363636356</v>
      </c>
      <c r="I44" s="1">
        <v>45759</v>
      </c>
      <c r="J44" t="s">
        <v>46</v>
      </c>
      <c r="L44" s="2">
        <f t="shared" si="1"/>
        <v>2868.7768181818178</v>
      </c>
      <c r="M44" s="4">
        <f t="shared" si="2"/>
        <v>0.6</v>
      </c>
      <c r="N44" s="1">
        <f t="shared" si="3"/>
        <v>45759</v>
      </c>
      <c r="O44" s="3">
        <f>(Table13[[#This Row],[Units_Sold]]*Table13[[#This Row],[Unit_Price_Cleaned]]*(1-Table13[[#This Row],[Discount Cleaned]]))</f>
        <v>2295.0214545454542</v>
      </c>
      <c r="P44" t="str">
        <f t="shared" si="4"/>
        <v>Profit</v>
      </c>
      <c r="Q44" t="str" cm="1">
        <f t="array" ref="Q44">IF(K44="",INDEX($K$2:$K$2501,MATCH(MAX(COUNTIF($K$2:$K$2501,$K$2:$K$2501)),COUNTIF($K$2:$K$2501,$K$2:$K$2501),0)),K44)</f>
        <v>B2B</v>
      </c>
    </row>
    <row r="45" spans="1:17" x14ac:dyDescent="0.3">
      <c r="A45">
        <v>1043</v>
      </c>
      <c r="B45" t="s">
        <v>92</v>
      </c>
      <c r="C45" t="s">
        <v>33</v>
      </c>
      <c r="D45" t="s">
        <v>82</v>
      </c>
      <c r="E45">
        <v>2</v>
      </c>
      <c r="F45">
        <v>4575.93</v>
      </c>
      <c r="G45">
        <v>0.56000000000000005</v>
      </c>
      <c r="H45" s="3">
        <f t="shared" si="0"/>
        <v>9151.86</v>
      </c>
      <c r="I45" s="1">
        <v>45752</v>
      </c>
      <c r="J45" t="s">
        <v>18</v>
      </c>
      <c r="L45" s="2">
        <f t="shared" si="1"/>
        <v>4575.93</v>
      </c>
      <c r="M45" s="4">
        <f t="shared" si="2"/>
        <v>0.56000000000000005</v>
      </c>
      <c r="N45" s="1">
        <f t="shared" si="3"/>
        <v>45752</v>
      </c>
      <c r="O45" s="3">
        <f>(Table13[[#This Row],[Units_Sold]]*Table13[[#This Row],[Unit_Price_Cleaned]]*(1-Table13[[#This Row],[Discount Cleaned]]))</f>
        <v>4026.8183999999997</v>
      </c>
      <c r="P45" t="str">
        <f t="shared" si="4"/>
        <v>Profit</v>
      </c>
      <c r="Q45" t="str" cm="1">
        <f t="array" ref="Q45">IF(K45="",INDEX($K$2:$K$2501,MATCH(MAX(COUNTIF($K$2:$K$2501,$K$2:$K$2501)),COUNTIF($K$2:$K$2501,$K$2:$K$2501),0)),K45)</f>
        <v>B2B</v>
      </c>
    </row>
    <row r="46" spans="1:17" x14ac:dyDescent="0.3">
      <c r="A46">
        <v>1044</v>
      </c>
      <c r="B46" t="s">
        <v>93</v>
      </c>
      <c r="C46" t="s">
        <v>33</v>
      </c>
      <c r="D46" t="s">
        <v>72</v>
      </c>
      <c r="E46">
        <v>2</v>
      </c>
      <c r="H46" s="3">
        <f t="shared" si="0"/>
        <v>5431.091698113205</v>
      </c>
      <c r="I46" s="1">
        <v>45547</v>
      </c>
      <c r="J46" t="s">
        <v>40</v>
      </c>
      <c r="K46" t="s">
        <v>23</v>
      </c>
      <c r="L46" s="2">
        <f t="shared" si="1"/>
        <v>2715.5458490566025</v>
      </c>
      <c r="M46" s="4">
        <f t="shared" si="2"/>
        <v>0.6</v>
      </c>
      <c r="N46" s="1">
        <f t="shared" si="3"/>
        <v>45547</v>
      </c>
      <c r="O46" s="3">
        <f>(Table13[[#This Row],[Units_Sold]]*Table13[[#This Row],[Unit_Price_Cleaned]]*(1-Table13[[#This Row],[Discount Cleaned]]))</f>
        <v>2172.436679245282</v>
      </c>
      <c r="P46" t="str">
        <f t="shared" si="4"/>
        <v>Profit</v>
      </c>
      <c r="Q46" t="str" cm="1">
        <f t="array" ref="Q46">IF(K46="",INDEX($K$2:$K$2501,MATCH(MAX(COUNTIF($K$2:$K$2501,$K$2:$K$2501)),COUNTIF($K$2:$K$2501,$K$2:$K$2501),0)),K46)</f>
        <v>B2B</v>
      </c>
    </row>
    <row r="47" spans="1:17" x14ac:dyDescent="0.3">
      <c r="A47">
        <v>1045</v>
      </c>
      <c r="B47" t="s">
        <v>94</v>
      </c>
      <c r="C47" t="s">
        <v>29</v>
      </c>
      <c r="D47" t="s">
        <v>42</v>
      </c>
      <c r="E47">
        <v>2</v>
      </c>
      <c r="F47">
        <v>3477.16</v>
      </c>
      <c r="H47" s="3">
        <f t="shared" si="0"/>
        <v>6954.32</v>
      </c>
      <c r="I47" s="1">
        <v>45698</v>
      </c>
      <c r="J47" t="s">
        <v>56</v>
      </c>
      <c r="K47" t="s">
        <v>23</v>
      </c>
      <c r="L47" s="2">
        <f t="shared" si="1"/>
        <v>3477.16</v>
      </c>
      <c r="M47" s="4">
        <f t="shared" si="2"/>
        <v>0.6</v>
      </c>
      <c r="N47" s="1">
        <f t="shared" si="3"/>
        <v>45698</v>
      </c>
      <c r="O47" s="3">
        <f>(Table13[[#This Row],[Units_Sold]]*Table13[[#This Row],[Unit_Price_Cleaned]]*(1-Table13[[#This Row],[Discount Cleaned]]))</f>
        <v>2781.7280000000001</v>
      </c>
      <c r="P47" t="str">
        <f t="shared" si="4"/>
        <v>Profit</v>
      </c>
      <c r="Q47" t="str" cm="1">
        <f t="array" ref="Q47">IF(K47="",INDEX($K$2:$K$2501,MATCH(MAX(COUNTIF($K$2:$K$2501,$K$2:$K$2501)),COUNTIF($K$2:$K$2501,$K$2:$K$2501),0)),K47)</f>
        <v>B2B</v>
      </c>
    </row>
    <row r="48" spans="1:17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 s="3">
        <f t="shared" si="0"/>
        <v>-2441.92</v>
      </c>
      <c r="J48" t="s">
        <v>15</v>
      </c>
      <c r="L48" s="2">
        <f t="shared" si="1"/>
        <v>2441.92</v>
      </c>
      <c r="M48" s="4">
        <f t="shared" si="2"/>
        <v>0.92</v>
      </c>
      <c r="N48" s="1">
        <f t="shared" si="3"/>
        <v>45782</v>
      </c>
      <c r="O48" s="3">
        <f>(Table13[[#This Row],[Units_Sold]]*Table13[[#This Row],[Unit_Price_Cleaned]]*(1-Table13[[#This Row],[Discount Cleaned]]))</f>
        <v>-195.35359999999991</v>
      </c>
      <c r="P48" t="str">
        <f t="shared" si="4"/>
        <v>Loss</v>
      </c>
      <c r="Q48" t="str" cm="1">
        <f t="array" ref="Q48">IF(K48="",INDEX($K$2:$K$2501,MATCH(MAX(COUNTIF($K$2:$K$2501,$K$2:$K$2501)),COUNTIF($K$2:$K$2501,$K$2:$K$2501),0)),K48)</f>
        <v>B2B</v>
      </c>
    </row>
    <row r="49" spans="1:17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 s="3">
        <f t="shared" si="0"/>
        <v>8355.2633898305085</v>
      </c>
      <c r="I49" s="1">
        <v>45820</v>
      </c>
      <c r="J49" t="s">
        <v>56</v>
      </c>
      <c r="K49" t="s">
        <v>16</v>
      </c>
      <c r="L49" s="2">
        <f t="shared" si="1"/>
        <v>2785.0877966101693</v>
      </c>
      <c r="M49" s="4">
        <f t="shared" si="2"/>
        <v>0.6</v>
      </c>
      <c r="N49" s="1">
        <f t="shared" si="3"/>
        <v>45820</v>
      </c>
      <c r="O49" s="3">
        <f>(Table13[[#This Row],[Units_Sold]]*Table13[[#This Row],[Unit_Price_Cleaned]]*(1-Table13[[#This Row],[Discount Cleaned]]))</f>
        <v>3342.1053559322036</v>
      </c>
      <c r="P49" t="str">
        <f t="shared" si="4"/>
        <v>Profit</v>
      </c>
      <c r="Q49" t="str" cm="1">
        <f t="array" ref="Q49">IF(K49="",INDEX($K$2:$K$2501,MATCH(MAX(COUNTIF($K$2:$K$2501,$K$2:$K$2501)),COUNTIF($K$2:$K$2501,$K$2:$K$2501),0)),K49)</f>
        <v>B2C</v>
      </c>
    </row>
    <row r="50" spans="1:17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 s="3">
        <f t="shared" si="0"/>
        <v>13925.438983050846</v>
      </c>
      <c r="I50" s="1">
        <v>45581</v>
      </c>
      <c r="J50" t="s">
        <v>15</v>
      </c>
      <c r="L50" s="2">
        <f t="shared" si="1"/>
        <v>2785.0877966101693</v>
      </c>
      <c r="M50" s="4">
        <f t="shared" si="2"/>
        <v>0.41</v>
      </c>
      <c r="N50" s="1">
        <f t="shared" si="3"/>
        <v>45581</v>
      </c>
      <c r="O50" s="3">
        <f>(Table13[[#This Row],[Units_Sold]]*Table13[[#This Row],[Unit_Price_Cleaned]]*(1-Table13[[#This Row],[Discount Cleaned]]))</f>
        <v>8216.009</v>
      </c>
      <c r="P50" t="str">
        <f t="shared" si="4"/>
        <v>Profit</v>
      </c>
      <c r="Q50" t="str" cm="1">
        <f t="array" ref="Q50">IF(K50="",INDEX($K$2:$K$2501,MATCH(MAX(COUNTIF($K$2:$K$2501,$K$2:$K$2501)),COUNTIF($K$2:$K$2501,$K$2:$K$2501),0)),K50)</f>
        <v>B2B</v>
      </c>
    </row>
    <row r="51" spans="1:17" x14ac:dyDescent="0.3">
      <c r="A51">
        <v>1049</v>
      </c>
      <c r="B51" t="s">
        <v>98</v>
      </c>
      <c r="C51" t="s">
        <v>33</v>
      </c>
      <c r="D51" t="s">
        <v>82</v>
      </c>
      <c r="E51">
        <v>2</v>
      </c>
      <c r="H51" s="3">
        <f t="shared" si="0"/>
        <v>5552.4404000000004</v>
      </c>
      <c r="J51" t="s">
        <v>22</v>
      </c>
      <c r="K51" t="s">
        <v>16</v>
      </c>
      <c r="L51" s="2">
        <f t="shared" si="1"/>
        <v>2776.2202000000002</v>
      </c>
      <c r="M51" s="4">
        <f t="shared" si="2"/>
        <v>0.6</v>
      </c>
      <c r="N51" s="1">
        <f t="shared" si="3"/>
        <v>45782</v>
      </c>
      <c r="O51" s="3">
        <f>(Table13[[#This Row],[Units_Sold]]*Table13[[#This Row],[Unit_Price_Cleaned]]*(1-Table13[[#This Row],[Discount Cleaned]]))</f>
        <v>2220.9761600000002</v>
      </c>
      <c r="P51" t="str">
        <f t="shared" si="4"/>
        <v>Profit</v>
      </c>
      <c r="Q51" t="str" cm="1">
        <f t="array" ref="Q51">IF(K51="",INDEX($K$2:$K$2501,MATCH(MAX(COUNTIF($K$2:$K$2501,$K$2:$K$2501)),COUNTIF($K$2:$K$2501,$K$2:$K$2501),0)),K51)</f>
        <v>B2C</v>
      </c>
    </row>
    <row r="52" spans="1:17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 s="3">
        <f t="shared" si="0"/>
        <v>-1083.1600000000001</v>
      </c>
      <c r="I52" s="1">
        <v>45846</v>
      </c>
      <c r="J52" t="s">
        <v>46</v>
      </c>
      <c r="K52" t="s">
        <v>16</v>
      </c>
      <c r="L52" s="2">
        <f t="shared" si="1"/>
        <v>1083.1600000000001</v>
      </c>
      <c r="M52" s="4">
        <f t="shared" si="2"/>
        <v>0.6</v>
      </c>
      <c r="N52" s="1">
        <f t="shared" si="3"/>
        <v>45846</v>
      </c>
      <c r="O52" s="3">
        <f>(Table13[[#This Row],[Units_Sold]]*Table13[[#This Row],[Unit_Price_Cleaned]]*(1-Table13[[#This Row],[Discount Cleaned]]))</f>
        <v>-433.26400000000007</v>
      </c>
      <c r="P52" t="str">
        <f t="shared" si="4"/>
        <v>Loss</v>
      </c>
      <c r="Q52" t="str" cm="1">
        <f t="array" ref="Q52">IF(K52="",INDEX($K$2:$K$2501,MATCH(MAX(COUNTIF($K$2:$K$2501,$K$2:$K$2501)),COUNTIF($K$2:$K$2501,$K$2:$K$2501),0)),K52)</f>
        <v>B2C</v>
      </c>
    </row>
    <row r="53" spans="1:17" x14ac:dyDescent="0.3">
      <c r="A53">
        <v>1051</v>
      </c>
      <c r="B53" t="s">
        <v>100</v>
      </c>
      <c r="C53" t="s">
        <v>13</v>
      </c>
      <c r="D53" t="s">
        <v>36</v>
      </c>
      <c r="E53">
        <v>2</v>
      </c>
      <c r="G53">
        <v>0.56999999999999995</v>
      </c>
      <c r="H53" s="3">
        <f t="shared" si="0"/>
        <v>5765.0093103448271</v>
      </c>
      <c r="I53" s="1">
        <v>45773</v>
      </c>
      <c r="J53" t="s">
        <v>15</v>
      </c>
      <c r="K53" t="s">
        <v>16</v>
      </c>
      <c r="L53" s="2">
        <f t="shared" si="1"/>
        <v>2882.5046551724135</v>
      </c>
      <c r="M53" s="4">
        <f t="shared" si="2"/>
        <v>0.56999999999999995</v>
      </c>
      <c r="N53" s="1">
        <f t="shared" si="3"/>
        <v>45773</v>
      </c>
      <c r="O53" s="3">
        <f>(Table13[[#This Row],[Units_Sold]]*Table13[[#This Row],[Unit_Price_Cleaned]]*(1-Table13[[#This Row],[Discount Cleaned]]))</f>
        <v>2478.9540034482761</v>
      </c>
      <c r="P53" t="str">
        <f t="shared" si="4"/>
        <v>Profit</v>
      </c>
      <c r="Q53" t="str" cm="1">
        <f t="array" ref="Q53">IF(K53="",INDEX($K$2:$K$2501,MATCH(MAX(COUNTIF($K$2:$K$2501,$K$2:$K$2501)),COUNTIF($K$2:$K$2501,$K$2:$K$2501),0)),K53)</f>
        <v>B2C</v>
      </c>
    </row>
    <row r="54" spans="1:17" x14ac:dyDescent="0.3">
      <c r="A54">
        <v>1052</v>
      </c>
      <c r="B54" t="s">
        <v>101</v>
      </c>
      <c r="C54" t="s">
        <v>13</v>
      </c>
      <c r="D54" t="s">
        <v>102</v>
      </c>
      <c r="E54">
        <v>2</v>
      </c>
      <c r="F54">
        <v>3252.49</v>
      </c>
      <c r="G54">
        <v>0.56000000000000005</v>
      </c>
      <c r="H54" s="3">
        <f t="shared" si="0"/>
        <v>6504.98</v>
      </c>
      <c r="I54" s="1">
        <v>45268</v>
      </c>
      <c r="J54" t="s">
        <v>40</v>
      </c>
      <c r="L54" s="2">
        <f t="shared" si="1"/>
        <v>3252.49</v>
      </c>
      <c r="M54" s="4">
        <f t="shared" si="2"/>
        <v>0.56000000000000005</v>
      </c>
      <c r="N54" s="1">
        <f t="shared" si="3"/>
        <v>45268</v>
      </c>
      <c r="O54" s="3">
        <f>(Table13[[#This Row],[Units_Sold]]*Table13[[#This Row],[Unit_Price_Cleaned]]*(1-Table13[[#This Row],[Discount Cleaned]]))</f>
        <v>2862.1911999999993</v>
      </c>
      <c r="P54" t="str">
        <f t="shared" si="4"/>
        <v>Profit</v>
      </c>
      <c r="Q54" t="str" cm="1">
        <f t="array" ref="Q54">IF(K54="",INDEX($K$2:$K$2501,MATCH(MAX(COUNTIF($K$2:$K$2501,$K$2:$K$2501)),COUNTIF($K$2:$K$2501,$K$2:$K$2501),0)),K54)</f>
        <v>B2B</v>
      </c>
    </row>
    <row r="55" spans="1:17" x14ac:dyDescent="0.3">
      <c r="A55">
        <v>1053</v>
      </c>
      <c r="B55" t="s">
        <v>103</v>
      </c>
      <c r="C55" t="s">
        <v>38</v>
      </c>
      <c r="D55" t="s">
        <v>59</v>
      </c>
      <c r="E55">
        <v>2</v>
      </c>
      <c r="F55">
        <v>714.23</v>
      </c>
      <c r="G55">
        <v>1.29</v>
      </c>
      <c r="H55" s="3">
        <f t="shared" si="0"/>
        <v>1428.46</v>
      </c>
      <c r="I55" s="1">
        <v>45859</v>
      </c>
      <c r="J55" t="s">
        <v>15</v>
      </c>
      <c r="L55" s="2">
        <f t="shared" si="1"/>
        <v>714.23</v>
      </c>
      <c r="M55" s="4">
        <f t="shared" si="2"/>
        <v>1.29</v>
      </c>
      <c r="N55" s="1">
        <f t="shared" si="3"/>
        <v>45859</v>
      </c>
      <c r="O55" s="3">
        <f>(Table13[[#This Row],[Units_Sold]]*Table13[[#This Row],[Unit_Price_Cleaned]]*(1-Table13[[#This Row],[Discount Cleaned]]))</f>
        <v>-414.25340000000006</v>
      </c>
      <c r="P55" t="str">
        <f t="shared" si="4"/>
        <v>Loss</v>
      </c>
      <c r="Q55" t="str" cm="1">
        <f t="array" ref="Q55">IF(K55="",INDEX($K$2:$K$2501,MATCH(MAX(COUNTIF($K$2:$K$2501,$K$2:$K$2501)),COUNTIF($K$2:$K$2501,$K$2:$K$2501),0)),K55)</f>
        <v>B2B</v>
      </c>
    </row>
    <row r="56" spans="1:17" x14ac:dyDescent="0.3">
      <c r="A56">
        <v>1054</v>
      </c>
      <c r="B56" t="s">
        <v>104</v>
      </c>
      <c r="C56" t="s">
        <v>33</v>
      </c>
      <c r="D56" t="s">
        <v>72</v>
      </c>
      <c r="E56">
        <v>2</v>
      </c>
      <c r="H56" s="3">
        <f t="shared" si="0"/>
        <v>5431.091698113205</v>
      </c>
      <c r="I56" s="1">
        <v>45700</v>
      </c>
      <c r="J56" t="s">
        <v>46</v>
      </c>
      <c r="L56" s="2">
        <f t="shared" si="1"/>
        <v>2715.5458490566025</v>
      </c>
      <c r="M56" s="4">
        <f t="shared" si="2"/>
        <v>0.6</v>
      </c>
      <c r="N56" s="1">
        <f t="shared" si="3"/>
        <v>45700</v>
      </c>
      <c r="O56" s="3">
        <f>(Table13[[#This Row],[Units_Sold]]*Table13[[#This Row],[Unit_Price_Cleaned]]*(1-Table13[[#This Row],[Discount Cleaned]]))</f>
        <v>2172.436679245282</v>
      </c>
      <c r="P56" t="str">
        <f t="shared" si="4"/>
        <v>Profit</v>
      </c>
      <c r="Q56" t="str" cm="1">
        <f t="array" ref="Q56">IF(K56="",INDEX($K$2:$K$2501,MATCH(MAX(COUNTIF($K$2:$K$2501,$K$2:$K$2501)),COUNTIF($K$2:$K$2501,$K$2:$K$2501),0)),K56)</f>
        <v>B2B</v>
      </c>
    </row>
    <row r="57" spans="1:17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 s="3">
        <f t="shared" si="0"/>
        <v>0</v>
      </c>
      <c r="I57" s="1">
        <v>45353</v>
      </c>
      <c r="J57" t="s">
        <v>46</v>
      </c>
      <c r="K57" t="s">
        <v>23</v>
      </c>
      <c r="L57" s="2">
        <f t="shared" si="1"/>
        <v>2882.5046551724135</v>
      </c>
      <c r="M57" s="4">
        <f t="shared" si="2"/>
        <v>0.6</v>
      </c>
      <c r="N57" s="1">
        <f t="shared" si="3"/>
        <v>45353</v>
      </c>
      <c r="O57" s="3">
        <f>(Table13[[#This Row],[Units_Sold]]*Table13[[#This Row],[Unit_Price_Cleaned]]*(1-Table13[[#This Row],[Discount Cleaned]]))</f>
        <v>0</v>
      </c>
      <c r="P57" t="str">
        <f t="shared" si="4"/>
        <v>Loss</v>
      </c>
      <c r="Q57" t="str" cm="1">
        <f t="array" ref="Q57">IF(K57="",INDEX($K$2:$K$2501,MATCH(MAX(COUNTIF($K$2:$K$2501,$K$2:$K$2501)),COUNTIF($K$2:$K$2501,$K$2:$K$2501),0)),K57)</f>
        <v>B2B</v>
      </c>
    </row>
    <row r="58" spans="1:17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 s="3">
        <f t="shared" si="0"/>
        <v>15358.000384615389</v>
      </c>
      <c r="I58" s="1">
        <v>45849</v>
      </c>
      <c r="J58" t="s">
        <v>22</v>
      </c>
      <c r="K58" t="s">
        <v>16</v>
      </c>
      <c r="L58" s="2">
        <f t="shared" si="1"/>
        <v>2559.6667307692314</v>
      </c>
      <c r="M58" s="4">
        <f t="shared" si="2"/>
        <v>0.6</v>
      </c>
      <c r="N58" s="1">
        <f t="shared" si="3"/>
        <v>45849</v>
      </c>
      <c r="O58" s="3">
        <f>(Table13[[#This Row],[Units_Sold]]*Table13[[#This Row],[Unit_Price_Cleaned]]*(1-Table13[[#This Row],[Discount Cleaned]]))</f>
        <v>6143.2001538461554</v>
      </c>
      <c r="P58" t="str">
        <f t="shared" si="4"/>
        <v>Profit</v>
      </c>
      <c r="Q58" t="str" cm="1">
        <f t="array" ref="Q58">IF(K58="",INDEX($K$2:$K$2501,MATCH(MAX(COUNTIF($K$2:$K$2501,$K$2:$K$2501)),COUNTIF($K$2:$K$2501,$K$2:$K$2501),0)),K58)</f>
        <v>B2C</v>
      </c>
    </row>
    <row r="59" spans="1:17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 s="3">
        <f t="shared" si="0"/>
        <v>10724.697454545454</v>
      </c>
      <c r="I59" s="1">
        <v>45649</v>
      </c>
      <c r="J59" t="s">
        <v>46</v>
      </c>
      <c r="L59" s="2">
        <f t="shared" si="1"/>
        <v>2681.1743636363635</v>
      </c>
      <c r="M59" s="4">
        <f t="shared" si="2"/>
        <v>0.04</v>
      </c>
      <c r="N59" s="1">
        <f t="shared" si="3"/>
        <v>45649</v>
      </c>
      <c r="O59" s="3">
        <f>(Table13[[#This Row],[Units_Sold]]*Table13[[#This Row],[Unit_Price_Cleaned]]*(1-Table13[[#This Row],[Discount Cleaned]]))</f>
        <v>10295.709556363636</v>
      </c>
      <c r="P59" t="str">
        <f t="shared" si="4"/>
        <v>Profit</v>
      </c>
      <c r="Q59" t="str" cm="1">
        <f t="array" ref="Q59">IF(K59="",INDEX($K$2:$K$2501,MATCH(MAX(COUNTIF($K$2:$K$2501,$K$2:$K$2501)),COUNTIF($K$2:$K$2501,$K$2:$K$2501),0)),K59)</f>
        <v>B2B</v>
      </c>
    </row>
    <row r="60" spans="1:17" x14ac:dyDescent="0.3">
      <c r="A60">
        <v>1058</v>
      </c>
      <c r="B60" t="s">
        <v>108</v>
      </c>
      <c r="C60" t="s">
        <v>33</v>
      </c>
      <c r="D60" t="s">
        <v>44</v>
      </c>
      <c r="E60">
        <v>2</v>
      </c>
      <c r="F60">
        <v>3982.53</v>
      </c>
      <c r="G60">
        <v>1.08</v>
      </c>
      <c r="H60" s="3">
        <f t="shared" si="0"/>
        <v>7965.06</v>
      </c>
      <c r="I60" s="1">
        <v>45518</v>
      </c>
      <c r="J60" t="s">
        <v>46</v>
      </c>
      <c r="K60" t="s">
        <v>16</v>
      </c>
      <c r="L60" s="2">
        <f t="shared" si="1"/>
        <v>3982.53</v>
      </c>
      <c r="M60" s="4">
        <f t="shared" si="2"/>
        <v>1.08</v>
      </c>
      <c r="N60" s="1">
        <f t="shared" si="3"/>
        <v>45518</v>
      </c>
      <c r="O60" s="3">
        <f>(Table13[[#This Row],[Units_Sold]]*Table13[[#This Row],[Unit_Price_Cleaned]]*(1-Table13[[#This Row],[Discount Cleaned]]))</f>
        <v>-637.20480000000055</v>
      </c>
      <c r="P60" t="str">
        <f t="shared" si="4"/>
        <v>Loss</v>
      </c>
      <c r="Q60" t="str" cm="1">
        <f t="array" ref="Q60">IF(K60="",INDEX($K$2:$K$2501,MATCH(MAX(COUNTIF($K$2:$K$2501,$K$2:$K$2501)),COUNTIF($K$2:$K$2501,$K$2:$K$2501),0)),K60)</f>
        <v>B2C</v>
      </c>
    </row>
    <row r="61" spans="1:17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 s="3">
        <f t="shared" si="0"/>
        <v>0</v>
      </c>
      <c r="J61" t="s">
        <v>15</v>
      </c>
      <c r="L61" s="2">
        <f t="shared" si="1"/>
        <v>2927.57</v>
      </c>
      <c r="M61" s="4">
        <f t="shared" si="2"/>
        <v>0.19</v>
      </c>
      <c r="N61" s="1">
        <f t="shared" si="3"/>
        <v>45782</v>
      </c>
      <c r="O61" s="3">
        <f>(Table13[[#This Row],[Units_Sold]]*Table13[[#This Row],[Unit_Price_Cleaned]]*(1-Table13[[#This Row],[Discount Cleaned]]))</f>
        <v>0</v>
      </c>
      <c r="P61" t="str">
        <f t="shared" si="4"/>
        <v>Loss</v>
      </c>
      <c r="Q61" t="str" cm="1">
        <f t="array" ref="Q61">IF(K61="",INDEX($K$2:$K$2501,MATCH(MAX(COUNTIF($K$2:$K$2501,$K$2:$K$2501)),COUNTIF($K$2:$K$2501,$K$2:$K$2501),0)),K61)</f>
        <v>B2B</v>
      </c>
    </row>
    <row r="62" spans="1:17" x14ac:dyDescent="0.3">
      <c r="A62">
        <v>1060</v>
      </c>
      <c r="B62" t="s">
        <v>110</v>
      </c>
      <c r="C62" t="s">
        <v>13</v>
      </c>
      <c r="D62" t="s">
        <v>102</v>
      </c>
      <c r="E62">
        <v>2</v>
      </c>
      <c r="F62">
        <v>2813.51</v>
      </c>
      <c r="H62" s="3">
        <f t="shared" si="0"/>
        <v>5627.02</v>
      </c>
      <c r="I62" s="1">
        <v>45852</v>
      </c>
      <c r="J62" t="s">
        <v>46</v>
      </c>
      <c r="L62" s="2">
        <f t="shared" si="1"/>
        <v>2813.51</v>
      </c>
      <c r="M62" s="4">
        <f t="shared" si="2"/>
        <v>0.6</v>
      </c>
      <c r="N62" s="1">
        <f t="shared" si="3"/>
        <v>45852</v>
      </c>
      <c r="O62" s="3">
        <f>(Table13[[#This Row],[Units_Sold]]*Table13[[#This Row],[Unit_Price_Cleaned]]*(1-Table13[[#This Row],[Discount Cleaned]]))</f>
        <v>2250.8080000000004</v>
      </c>
      <c r="P62" t="str">
        <f t="shared" si="4"/>
        <v>Profit</v>
      </c>
      <c r="Q62" t="str" cm="1">
        <f t="array" ref="Q62">IF(K62="",INDEX($K$2:$K$2501,MATCH(MAX(COUNTIF($K$2:$K$2501,$K$2:$K$2501)),COUNTIF($K$2:$K$2501,$K$2:$K$2501),0)),K62)</f>
        <v>B2B</v>
      </c>
    </row>
    <row r="63" spans="1:17" x14ac:dyDescent="0.3">
      <c r="A63">
        <v>1061</v>
      </c>
      <c r="B63" t="s">
        <v>111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 s="3">
        <f t="shared" si="0"/>
        <v>4582.3</v>
      </c>
      <c r="I63" s="1">
        <v>45601</v>
      </c>
      <c r="J63" t="s">
        <v>22</v>
      </c>
      <c r="K63" t="s">
        <v>23</v>
      </c>
      <c r="L63" s="2">
        <f t="shared" si="1"/>
        <v>2291.15</v>
      </c>
      <c r="M63" s="4">
        <f t="shared" si="2"/>
        <v>0.33</v>
      </c>
      <c r="N63" s="1">
        <f t="shared" si="3"/>
        <v>45601</v>
      </c>
      <c r="O63" s="3">
        <f>(Table13[[#This Row],[Units_Sold]]*Table13[[#This Row],[Unit_Price_Cleaned]]*(1-Table13[[#This Row],[Discount Cleaned]]))</f>
        <v>3070.1409999999996</v>
      </c>
      <c r="P63" t="str">
        <f t="shared" si="4"/>
        <v>Profit</v>
      </c>
      <c r="Q63" t="str" cm="1">
        <f t="array" ref="Q63">IF(K63="",INDEX($K$2:$K$2501,MATCH(MAX(COUNTIF($K$2:$K$2501,$K$2:$K$2501)),COUNTIF($K$2:$K$2501,$K$2:$K$2501),0)),K63)</f>
        <v>B2B</v>
      </c>
    </row>
    <row r="64" spans="1:17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 s="3">
        <f t="shared" si="0"/>
        <v>-2576.3056896551716</v>
      </c>
      <c r="J64" t="s">
        <v>46</v>
      </c>
      <c r="K64" t="s">
        <v>16</v>
      </c>
      <c r="L64" s="2">
        <f t="shared" si="1"/>
        <v>2576.3056896551716</v>
      </c>
      <c r="M64" s="4">
        <f t="shared" si="2"/>
        <v>0.6</v>
      </c>
      <c r="N64" s="1">
        <f t="shared" si="3"/>
        <v>45782</v>
      </c>
      <c r="O64" s="3">
        <f>(Table13[[#This Row],[Units_Sold]]*Table13[[#This Row],[Unit_Price_Cleaned]]*(1-Table13[[#This Row],[Discount Cleaned]]))</f>
        <v>-1030.5222758620687</v>
      </c>
      <c r="P64" t="str">
        <f t="shared" si="4"/>
        <v>Loss</v>
      </c>
      <c r="Q64" t="str" cm="1">
        <f t="array" ref="Q64">IF(K64="",INDEX($K$2:$K$2501,MATCH(MAX(COUNTIF($K$2:$K$2501,$K$2:$K$2501)),COUNTIF($K$2:$K$2501,$K$2:$K$2501),0)),K64)</f>
        <v>B2C</v>
      </c>
    </row>
    <row r="65" spans="1:17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 s="3">
        <f t="shared" si="0"/>
        <v>2776.2202000000002</v>
      </c>
      <c r="I65" s="1">
        <v>45836</v>
      </c>
      <c r="J65" t="s">
        <v>40</v>
      </c>
      <c r="K65" t="s">
        <v>16</v>
      </c>
      <c r="L65" s="2">
        <f t="shared" si="1"/>
        <v>2776.2202000000002</v>
      </c>
      <c r="M65" s="4">
        <f t="shared" si="2"/>
        <v>0.6</v>
      </c>
      <c r="N65" s="1">
        <f t="shared" si="3"/>
        <v>45836</v>
      </c>
      <c r="O65" s="3">
        <f>(Table13[[#This Row],[Units_Sold]]*Table13[[#This Row],[Unit_Price_Cleaned]]*(1-Table13[[#This Row],[Discount Cleaned]]))</f>
        <v>1110.4880800000001</v>
      </c>
      <c r="P65" t="str">
        <f t="shared" si="4"/>
        <v>Profit</v>
      </c>
      <c r="Q65" t="str" cm="1">
        <f t="array" ref="Q65">IF(K65="",INDEX($K$2:$K$2501,MATCH(MAX(COUNTIF($K$2:$K$2501,$K$2:$K$2501)),COUNTIF($K$2:$K$2501,$K$2:$K$2501),0)),K65)</f>
        <v>B2C</v>
      </c>
    </row>
    <row r="66" spans="1:17" x14ac:dyDescent="0.3">
      <c r="A66">
        <v>1064</v>
      </c>
      <c r="B66" t="s">
        <v>114</v>
      </c>
      <c r="C66" t="s">
        <v>20</v>
      </c>
      <c r="D66" t="s">
        <v>88</v>
      </c>
      <c r="E66">
        <v>2</v>
      </c>
      <c r="G66">
        <v>1.3</v>
      </c>
      <c r="H66" s="3">
        <f t="shared" ref="H66:H129" si="5">(L66*E66)</f>
        <v>5451.7114285714297</v>
      </c>
      <c r="J66" t="s">
        <v>40</v>
      </c>
      <c r="L66" s="2">
        <f t="shared" ref="L66:L129" si="6">IF(F66="",AVERAGEIF($D$2:$D$2501,D66,$F$2:$F$2501),F66)</f>
        <v>2725.8557142857148</v>
      </c>
      <c r="M66" s="4">
        <f t="shared" ref="M66:M129" si="7">IF(G66="",MEDIAN($G$2,$G$2501),G66)</f>
        <v>1.3</v>
      </c>
      <c r="N66" s="1">
        <f t="shared" ref="N66:N129" si="8">IF(I66="",MODE($I$32:$I$2501),I66)</f>
        <v>45782</v>
      </c>
      <c r="O66" s="3">
        <f>(Table13[[#This Row],[Units_Sold]]*Table13[[#This Row],[Unit_Price_Cleaned]]*(1-Table13[[#This Row],[Discount Cleaned]]))</f>
        <v>-1635.5134285714291</v>
      </c>
      <c r="P66" t="str">
        <f t="shared" ref="P66:P129" si="9">IF(O66&gt;500,"Profit","Loss")</f>
        <v>Loss</v>
      </c>
      <c r="Q66" t="str" cm="1">
        <f t="array" ref="Q66">IF(K66="",INDEX($K$2:$K$2501,MATCH(MAX(COUNTIF($K$2:$K$2501,$K$2:$K$2501)),COUNTIF($K$2:$K$2501,$K$2:$K$2501),0)),K66)</f>
        <v>B2B</v>
      </c>
    </row>
    <row r="67" spans="1:17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 s="3">
        <f t="shared" si="5"/>
        <v>14412.523275862068</v>
      </c>
      <c r="I67" s="1">
        <v>45440</v>
      </c>
      <c r="J67" t="s">
        <v>40</v>
      </c>
      <c r="L67" s="2">
        <f t="shared" si="6"/>
        <v>2882.5046551724135</v>
      </c>
      <c r="M67" s="4">
        <f t="shared" si="7"/>
        <v>0.6</v>
      </c>
      <c r="N67" s="1">
        <f t="shared" si="8"/>
        <v>45440</v>
      </c>
      <c r="O67" s="3">
        <f>(Table13[[#This Row],[Units_Sold]]*Table13[[#This Row],[Unit_Price_Cleaned]]*(1-Table13[[#This Row],[Discount Cleaned]]))</f>
        <v>5765.0093103448271</v>
      </c>
      <c r="P67" t="str">
        <f t="shared" si="9"/>
        <v>Profit</v>
      </c>
      <c r="Q67" t="str" cm="1">
        <f t="array" ref="Q67">IF(K67="",INDEX($K$2:$K$2501,MATCH(MAX(COUNTIF($K$2:$K$2501,$K$2:$K$2501)),COUNTIF($K$2:$K$2501,$K$2:$K$2501),0)),K67)</f>
        <v>B2B</v>
      </c>
    </row>
    <row r="68" spans="1:17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 s="3">
        <f t="shared" si="5"/>
        <v>-6958.88</v>
      </c>
      <c r="I68" s="1">
        <v>45672</v>
      </c>
      <c r="J68" t="s">
        <v>15</v>
      </c>
      <c r="L68" s="2">
        <f t="shared" si="6"/>
        <v>3479.44</v>
      </c>
      <c r="M68" s="4">
        <f t="shared" si="7"/>
        <v>0.6</v>
      </c>
      <c r="N68" s="1">
        <f t="shared" si="8"/>
        <v>45672</v>
      </c>
      <c r="O68" s="3">
        <f>(Table13[[#This Row],[Units_Sold]]*Table13[[#This Row],[Unit_Price_Cleaned]]*(1-Table13[[#This Row],[Discount Cleaned]]))</f>
        <v>-2783.5520000000001</v>
      </c>
      <c r="P68" t="str">
        <f t="shared" si="9"/>
        <v>Loss</v>
      </c>
      <c r="Q68" t="str" cm="1">
        <f t="array" ref="Q68">IF(K68="",INDEX($K$2:$K$2501,MATCH(MAX(COUNTIF($K$2:$K$2501,$K$2:$K$2501)),COUNTIF($K$2:$K$2501,$K$2:$K$2501),0)),K68)</f>
        <v>B2B</v>
      </c>
    </row>
    <row r="69" spans="1:17" x14ac:dyDescent="0.3">
      <c r="A69">
        <v>1067</v>
      </c>
      <c r="B69" t="s">
        <v>117</v>
      </c>
      <c r="C69" t="s">
        <v>38</v>
      </c>
      <c r="D69" t="s">
        <v>39</v>
      </c>
      <c r="E69">
        <v>2</v>
      </c>
      <c r="F69">
        <v>3945.25</v>
      </c>
      <c r="H69" s="3">
        <f t="shared" si="5"/>
        <v>7890.5</v>
      </c>
      <c r="I69" s="1">
        <v>45838</v>
      </c>
      <c r="J69" t="s">
        <v>40</v>
      </c>
      <c r="K69" t="s">
        <v>23</v>
      </c>
      <c r="L69" s="2">
        <f t="shared" si="6"/>
        <v>3945.25</v>
      </c>
      <c r="M69" s="4">
        <f t="shared" si="7"/>
        <v>0.6</v>
      </c>
      <c r="N69" s="1">
        <f t="shared" si="8"/>
        <v>45838</v>
      </c>
      <c r="O69" s="3">
        <f>(Table13[[#This Row],[Units_Sold]]*Table13[[#This Row],[Unit_Price_Cleaned]]*(1-Table13[[#This Row],[Discount Cleaned]]))</f>
        <v>3156.2000000000003</v>
      </c>
      <c r="P69" t="str">
        <f t="shared" si="9"/>
        <v>Profit</v>
      </c>
      <c r="Q69" t="str" cm="1">
        <f t="array" ref="Q69">IF(K69="",INDEX($K$2:$K$2501,MATCH(MAX(COUNTIF($K$2:$K$2501,$K$2:$K$2501)),COUNTIF($K$2:$K$2501,$K$2:$K$2501),0)),K69)</f>
        <v>B2B</v>
      </c>
    </row>
    <row r="70" spans="1:17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 s="3">
        <f t="shared" si="5"/>
        <v>11061.04</v>
      </c>
      <c r="J70" t="s">
        <v>18</v>
      </c>
      <c r="K70" t="s">
        <v>16</v>
      </c>
      <c r="L70" s="2">
        <f t="shared" si="6"/>
        <v>2765.26</v>
      </c>
      <c r="M70" s="4">
        <f t="shared" si="7"/>
        <v>0.6</v>
      </c>
      <c r="N70" s="1">
        <f t="shared" si="8"/>
        <v>45782</v>
      </c>
      <c r="O70" s="3">
        <f>(Table13[[#This Row],[Units_Sold]]*Table13[[#This Row],[Unit_Price_Cleaned]]*(1-Table13[[#This Row],[Discount Cleaned]]))</f>
        <v>4424.4160000000002</v>
      </c>
      <c r="P70" t="str">
        <f t="shared" si="9"/>
        <v>Profit</v>
      </c>
      <c r="Q70" t="str" cm="1">
        <f t="array" ref="Q70">IF(K70="",INDEX($K$2:$K$2501,MATCH(MAX(COUNTIF($K$2:$K$2501,$K$2:$K$2501)),COUNTIF($K$2:$K$2501,$K$2:$K$2501),0)),K70)</f>
        <v>B2C</v>
      </c>
    </row>
    <row r="71" spans="1:17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 s="3">
        <f t="shared" si="5"/>
        <v>4204.04</v>
      </c>
      <c r="I71" s="1">
        <v>45362</v>
      </c>
      <c r="J71" t="s">
        <v>15</v>
      </c>
      <c r="K71" t="s">
        <v>23</v>
      </c>
      <c r="L71" s="2">
        <f t="shared" si="6"/>
        <v>2102.02</v>
      </c>
      <c r="M71" s="4">
        <f t="shared" si="7"/>
        <v>1.1299999999999999</v>
      </c>
      <c r="N71" s="1">
        <f t="shared" si="8"/>
        <v>45362</v>
      </c>
      <c r="O71" s="3">
        <f>(Table13[[#This Row],[Units_Sold]]*Table13[[#This Row],[Unit_Price_Cleaned]]*(1-Table13[[#This Row],[Discount Cleaned]]))</f>
        <v>-546.52519999999959</v>
      </c>
      <c r="P71" t="str">
        <f t="shared" si="9"/>
        <v>Loss</v>
      </c>
      <c r="Q71" t="str" cm="1">
        <f t="array" ref="Q71">IF(K71="",INDEX($K$2:$K$2501,MATCH(MAX(COUNTIF($K$2:$K$2501,$K$2:$K$2501)),COUNTIF($K$2:$K$2501,$K$2:$K$2501),0)),K71)</f>
        <v>B2B</v>
      </c>
    </row>
    <row r="72" spans="1:17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 s="3">
        <f t="shared" si="5"/>
        <v>13500.631521739126</v>
      </c>
      <c r="I72" s="1">
        <v>45753</v>
      </c>
      <c r="J72" t="s">
        <v>56</v>
      </c>
      <c r="K72" t="s">
        <v>23</v>
      </c>
      <c r="L72" s="2">
        <f t="shared" si="6"/>
        <v>2700.1263043478252</v>
      </c>
      <c r="M72" s="4">
        <f t="shared" si="7"/>
        <v>0.6</v>
      </c>
      <c r="N72" s="1">
        <f t="shared" si="8"/>
        <v>45753</v>
      </c>
      <c r="O72" s="3">
        <f>(Table13[[#This Row],[Units_Sold]]*Table13[[#This Row],[Unit_Price_Cleaned]]*(1-Table13[[#This Row],[Discount Cleaned]]))</f>
        <v>5400.2526086956505</v>
      </c>
      <c r="P72" t="str">
        <f t="shared" si="9"/>
        <v>Profit</v>
      </c>
      <c r="Q72" t="str" cm="1">
        <f t="array" ref="Q72">IF(K72="",INDEX($K$2:$K$2501,MATCH(MAX(COUNTIF($K$2:$K$2501,$K$2:$K$2501)),COUNTIF($K$2:$K$2501,$K$2:$K$2501),0)),K72)</f>
        <v>B2B</v>
      </c>
    </row>
    <row r="73" spans="1:17" x14ac:dyDescent="0.3">
      <c r="A73">
        <v>1071</v>
      </c>
      <c r="B73" t="s">
        <v>123</v>
      </c>
      <c r="C73" t="s">
        <v>29</v>
      </c>
      <c r="D73" t="s">
        <v>42</v>
      </c>
      <c r="E73">
        <v>2</v>
      </c>
      <c r="F73">
        <v>1000.76</v>
      </c>
      <c r="H73" s="3">
        <f t="shared" si="5"/>
        <v>2001.52</v>
      </c>
      <c r="J73" t="s">
        <v>15</v>
      </c>
      <c r="K73" t="s">
        <v>23</v>
      </c>
      <c r="L73" s="2">
        <f t="shared" si="6"/>
        <v>1000.76</v>
      </c>
      <c r="M73" s="4">
        <f t="shared" si="7"/>
        <v>0.6</v>
      </c>
      <c r="N73" s="1">
        <f t="shared" si="8"/>
        <v>45782</v>
      </c>
      <c r="O73" s="3">
        <f>(Table13[[#This Row],[Units_Sold]]*Table13[[#This Row],[Unit_Price_Cleaned]]*(1-Table13[[#This Row],[Discount Cleaned]]))</f>
        <v>800.60800000000006</v>
      </c>
      <c r="P73" t="str">
        <f t="shared" si="9"/>
        <v>Profit</v>
      </c>
      <c r="Q73" t="str" cm="1">
        <f t="array" ref="Q73">IF(K73="",INDEX($K$2:$K$2501,MATCH(MAX(COUNTIF($K$2:$K$2501,$K$2:$K$2501)),COUNTIF($K$2:$K$2501,$K$2:$K$2501),0)),K73)</f>
        <v>B2B</v>
      </c>
    </row>
    <row r="74" spans="1:17" x14ac:dyDescent="0.3">
      <c r="A74">
        <v>1072</v>
      </c>
      <c r="B74" t="s">
        <v>124</v>
      </c>
      <c r="C74" t="s">
        <v>38</v>
      </c>
      <c r="D74" t="s">
        <v>59</v>
      </c>
      <c r="E74">
        <v>2</v>
      </c>
      <c r="H74" s="3">
        <f t="shared" si="5"/>
        <v>5608.5303846153838</v>
      </c>
      <c r="J74" t="s">
        <v>40</v>
      </c>
      <c r="K74" t="s">
        <v>16</v>
      </c>
      <c r="L74" s="2">
        <f t="shared" si="6"/>
        <v>2804.2651923076919</v>
      </c>
      <c r="M74" s="4">
        <f t="shared" si="7"/>
        <v>0.6</v>
      </c>
      <c r="N74" s="1">
        <f t="shared" si="8"/>
        <v>45782</v>
      </c>
      <c r="O74" s="3">
        <f>(Table13[[#This Row],[Units_Sold]]*Table13[[#This Row],[Unit_Price_Cleaned]]*(1-Table13[[#This Row],[Discount Cleaned]]))</f>
        <v>2243.4121538461536</v>
      </c>
      <c r="P74" t="str">
        <f t="shared" si="9"/>
        <v>Profit</v>
      </c>
      <c r="Q74" t="str" cm="1">
        <f t="array" ref="Q74">IF(K74="",INDEX($K$2:$K$2501,MATCH(MAX(COUNTIF($K$2:$K$2501,$K$2:$K$2501)),COUNTIF($K$2:$K$2501,$K$2:$K$2501),0)),K74)</f>
        <v>B2C</v>
      </c>
    </row>
    <row r="75" spans="1:17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 s="3">
        <f t="shared" si="5"/>
        <v>-5570.1755932203387</v>
      </c>
      <c r="J75" t="s">
        <v>46</v>
      </c>
      <c r="L75" s="2">
        <f t="shared" si="6"/>
        <v>2785.0877966101693</v>
      </c>
      <c r="M75" s="4">
        <f t="shared" si="7"/>
        <v>0.18</v>
      </c>
      <c r="N75" s="1">
        <f t="shared" si="8"/>
        <v>45782</v>
      </c>
      <c r="O75" s="3">
        <f>(Table13[[#This Row],[Units_Sold]]*Table13[[#This Row],[Unit_Price_Cleaned]]*(1-Table13[[#This Row],[Discount Cleaned]]))</f>
        <v>-4567.5439864406781</v>
      </c>
      <c r="P75" t="str">
        <f t="shared" si="9"/>
        <v>Loss</v>
      </c>
      <c r="Q75" t="str" cm="1">
        <f t="array" ref="Q75">IF(K75="",INDEX($K$2:$K$2501,MATCH(MAX(COUNTIF($K$2:$K$2501,$K$2:$K$2501)),COUNTIF($K$2:$K$2501,$K$2:$K$2501),0)),K75)</f>
        <v>B2B</v>
      </c>
    </row>
    <row r="76" spans="1:17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 s="3">
        <f t="shared" si="5"/>
        <v>-6016.7688888888888</v>
      </c>
      <c r="I76" s="1">
        <v>45682</v>
      </c>
      <c r="J76" t="s">
        <v>56</v>
      </c>
      <c r="L76" s="2">
        <f t="shared" si="6"/>
        <v>3008.3844444444444</v>
      </c>
      <c r="M76" s="4">
        <f t="shared" si="7"/>
        <v>1.06</v>
      </c>
      <c r="N76" s="1">
        <f t="shared" si="8"/>
        <v>45682</v>
      </c>
      <c r="O76" s="3">
        <f>(Table13[[#This Row],[Units_Sold]]*Table13[[#This Row],[Unit_Price_Cleaned]]*(1-Table13[[#This Row],[Discount Cleaned]]))</f>
        <v>361.00613333333365</v>
      </c>
      <c r="P76" t="str">
        <f t="shared" si="9"/>
        <v>Loss</v>
      </c>
      <c r="Q76" t="str" cm="1">
        <f t="array" ref="Q76">IF(K76="",INDEX($K$2:$K$2501,MATCH(MAX(COUNTIF($K$2:$K$2501,$K$2:$K$2501)),COUNTIF($K$2:$K$2501,$K$2:$K$2501),0)),K76)</f>
        <v>B2B</v>
      </c>
    </row>
    <row r="77" spans="1:17" x14ac:dyDescent="0.3">
      <c r="A77">
        <v>1075</v>
      </c>
      <c r="B77" t="s">
        <v>127</v>
      </c>
      <c r="C77" t="s">
        <v>33</v>
      </c>
      <c r="D77" t="s">
        <v>34</v>
      </c>
      <c r="E77">
        <v>2</v>
      </c>
      <c r="F77">
        <v>795.85</v>
      </c>
      <c r="H77" s="3">
        <f t="shared" si="5"/>
        <v>1591.7</v>
      </c>
      <c r="J77" t="s">
        <v>46</v>
      </c>
      <c r="K77" t="s">
        <v>23</v>
      </c>
      <c r="L77" s="2">
        <f t="shared" si="6"/>
        <v>795.85</v>
      </c>
      <c r="M77" s="4">
        <f t="shared" si="7"/>
        <v>0.6</v>
      </c>
      <c r="N77" s="1">
        <f t="shared" si="8"/>
        <v>45782</v>
      </c>
      <c r="O77" s="3">
        <f>(Table13[[#This Row],[Units_Sold]]*Table13[[#This Row],[Unit_Price_Cleaned]]*(1-Table13[[#This Row],[Discount Cleaned]]))</f>
        <v>636.68000000000006</v>
      </c>
      <c r="P77" t="str">
        <f t="shared" si="9"/>
        <v>Profit</v>
      </c>
      <c r="Q77" t="str" cm="1">
        <f t="array" ref="Q77">IF(K77="",INDEX($K$2:$K$2501,MATCH(MAX(COUNTIF($K$2:$K$2501,$K$2:$K$2501)),COUNTIF($K$2:$K$2501,$K$2:$K$2501),0)),K77)</f>
        <v>B2B</v>
      </c>
    </row>
    <row r="78" spans="1:17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 s="3">
        <f t="shared" si="5"/>
        <v>5683.5261224489814</v>
      </c>
      <c r="I78" s="1">
        <v>45664</v>
      </c>
      <c r="J78" t="s">
        <v>40</v>
      </c>
      <c r="L78" s="2">
        <f t="shared" si="6"/>
        <v>2841.7630612244907</v>
      </c>
      <c r="M78" s="4">
        <f t="shared" si="7"/>
        <v>0.6</v>
      </c>
      <c r="N78" s="1">
        <f t="shared" si="8"/>
        <v>45664</v>
      </c>
      <c r="O78" s="3">
        <f>(Table13[[#This Row],[Units_Sold]]*Table13[[#This Row],[Unit_Price_Cleaned]]*(1-Table13[[#This Row],[Discount Cleaned]]))</f>
        <v>2273.4104489795927</v>
      </c>
      <c r="P78" t="str">
        <f t="shared" si="9"/>
        <v>Profit</v>
      </c>
      <c r="Q78" t="str" cm="1">
        <f t="array" ref="Q78">IF(K78="",INDEX($K$2:$K$2501,MATCH(MAX(COUNTIF($K$2:$K$2501,$K$2:$K$2501)),COUNTIF($K$2:$K$2501,$K$2:$K$2501),0)),K78)</f>
        <v>B2B</v>
      </c>
    </row>
    <row r="79" spans="1:17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 s="3">
        <f t="shared" si="5"/>
        <v>5683.5261224489814</v>
      </c>
      <c r="I79" s="1">
        <v>45555</v>
      </c>
      <c r="J79" t="s">
        <v>56</v>
      </c>
      <c r="K79" t="s">
        <v>23</v>
      </c>
      <c r="L79" s="2">
        <f t="shared" si="6"/>
        <v>2841.7630612244907</v>
      </c>
      <c r="M79" s="4">
        <f t="shared" si="7"/>
        <v>0.6</v>
      </c>
      <c r="N79" s="1">
        <f t="shared" si="8"/>
        <v>45555</v>
      </c>
      <c r="O79" s="3">
        <f>(Table13[[#This Row],[Units_Sold]]*Table13[[#This Row],[Unit_Price_Cleaned]]*(1-Table13[[#This Row],[Discount Cleaned]]))</f>
        <v>2273.4104489795927</v>
      </c>
      <c r="P79" t="str">
        <f t="shared" si="9"/>
        <v>Profit</v>
      </c>
      <c r="Q79" t="str" cm="1">
        <f t="array" ref="Q79">IF(K79="",INDEX($K$2:$K$2501,MATCH(MAX(COUNTIF($K$2:$K$2501,$K$2:$K$2501)),COUNTIF($K$2:$K$2501,$K$2:$K$2501),0)),K79)</f>
        <v>B2B</v>
      </c>
    </row>
    <row r="80" spans="1:17" x14ac:dyDescent="0.3">
      <c r="A80">
        <v>1078</v>
      </c>
      <c r="B80" t="s">
        <v>130</v>
      </c>
      <c r="C80" t="s">
        <v>20</v>
      </c>
      <c r="D80" t="s">
        <v>122</v>
      </c>
      <c r="E80">
        <v>2</v>
      </c>
      <c r="F80">
        <v>4059.56</v>
      </c>
      <c r="H80" s="3">
        <f t="shared" si="5"/>
        <v>8119.12</v>
      </c>
      <c r="I80" s="1">
        <v>45701</v>
      </c>
      <c r="J80" t="s">
        <v>46</v>
      </c>
      <c r="K80" t="s">
        <v>16</v>
      </c>
      <c r="L80" s="2">
        <f t="shared" si="6"/>
        <v>4059.56</v>
      </c>
      <c r="M80" s="4">
        <f t="shared" si="7"/>
        <v>0.6</v>
      </c>
      <c r="N80" s="1">
        <f t="shared" si="8"/>
        <v>45701</v>
      </c>
      <c r="O80" s="3">
        <f>(Table13[[#This Row],[Units_Sold]]*Table13[[#This Row],[Unit_Price_Cleaned]]*(1-Table13[[#This Row],[Discount Cleaned]]))</f>
        <v>3247.6480000000001</v>
      </c>
      <c r="P80" t="str">
        <f t="shared" si="9"/>
        <v>Profit</v>
      </c>
      <c r="Q80" t="str" cm="1">
        <f t="array" ref="Q80">IF(K80="",INDEX($K$2:$K$2501,MATCH(MAX(COUNTIF($K$2:$K$2501,$K$2:$K$2501)),COUNTIF($K$2:$K$2501,$K$2:$K$2501),0)),K80)</f>
        <v>B2C</v>
      </c>
    </row>
    <row r="81" spans="1:17" x14ac:dyDescent="0.3">
      <c r="A81">
        <v>1079</v>
      </c>
      <c r="B81" t="s">
        <v>131</v>
      </c>
      <c r="C81" t="s">
        <v>33</v>
      </c>
      <c r="D81" t="s">
        <v>72</v>
      </c>
      <c r="E81">
        <v>2</v>
      </c>
      <c r="H81" s="3">
        <f t="shared" si="5"/>
        <v>5431.091698113205</v>
      </c>
      <c r="J81" t="s">
        <v>56</v>
      </c>
      <c r="K81" t="s">
        <v>23</v>
      </c>
      <c r="L81" s="2">
        <f t="shared" si="6"/>
        <v>2715.5458490566025</v>
      </c>
      <c r="M81" s="4">
        <f t="shared" si="7"/>
        <v>0.6</v>
      </c>
      <c r="N81" s="1">
        <f t="shared" si="8"/>
        <v>45782</v>
      </c>
      <c r="O81" s="3">
        <f>(Table13[[#This Row],[Units_Sold]]*Table13[[#This Row],[Unit_Price_Cleaned]]*(1-Table13[[#This Row],[Discount Cleaned]]))</f>
        <v>2172.436679245282</v>
      </c>
      <c r="P81" t="str">
        <f t="shared" si="9"/>
        <v>Profit</v>
      </c>
      <c r="Q81" t="str" cm="1">
        <f t="array" ref="Q81">IF(K81="",INDEX($K$2:$K$2501,MATCH(MAX(COUNTIF($K$2:$K$2501,$K$2:$K$2501)),COUNTIF($K$2:$K$2501,$K$2:$K$2501),0)),K81)</f>
        <v>B2B</v>
      </c>
    </row>
    <row r="82" spans="1:17" x14ac:dyDescent="0.3">
      <c r="A82">
        <v>1080</v>
      </c>
      <c r="B82" t="s">
        <v>132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 s="3">
        <f t="shared" si="5"/>
        <v>7744.44</v>
      </c>
      <c r="J82" t="s">
        <v>22</v>
      </c>
      <c r="K82" t="s">
        <v>16</v>
      </c>
      <c r="L82" s="2">
        <f t="shared" si="6"/>
        <v>3872.22</v>
      </c>
      <c r="M82" s="4">
        <f t="shared" si="7"/>
        <v>1.1499999999999999</v>
      </c>
      <c r="N82" s="1">
        <f t="shared" si="8"/>
        <v>45782</v>
      </c>
      <c r="O82" s="3">
        <f>(Table13[[#This Row],[Units_Sold]]*Table13[[#This Row],[Unit_Price_Cleaned]]*(1-Table13[[#This Row],[Discount Cleaned]]))</f>
        <v>-1161.6659999999993</v>
      </c>
      <c r="P82" t="str">
        <f t="shared" si="9"/>
        <v>Loss</v>
      </c>
      <c r="Q82" t="str" cm="1">
        <f t="array" ref="Q82">IF(K82="",INDEX($K$2:$K$2501,MATCH(MAX(COUNTIF($K$2:$K$2501,$K$2:$K$2501)),COUNTIF($K$2:$K$2501,$K$2:$K$2501),0)),K82)</f>
        <v>B2C</v>
      </c>
    </row>
    <row r="83" spans="1:17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 s="3">
        <f t="shared" si="5"/>
        <v>28788.36</v>
      </c>
      <c r="J83" t="s">
        <v>56</v>
      </c>
      <c r="K83" t="s">
        <v>23</v>
      </c>
      <c r="L83" s="2">
        <f t="shared" si="6"/>
        <v>4798.0600000000004</v>
      </c>
      <c r="M83" s="4">
        <f t="shared" si="7"/>
        <v>0.81</v>
      </c>
      <c r="N83" s="1">
        <f t="shared" si="8"/>
        <v>45782</v>
      </c>
      <c r="O83" s="3">
        <f>(Table13[[#This Row],[Units_Sold]]*Table13[[#This Row],[Unit_Price_Cleaned]]*(1-Table13[[#This Row],[Discount Cleaned]]))</f>
        <v>5469.7883999999985</v>
      </c>
      <c r="P83" t="str">
        <f t="shared" si="9"/>
        <v>Profit</v>
      </c>
      <c r="Q83" t="str" cm="1">
        <f t="array" ref="Q83">IF(K83="",INDEX($K$2:$K$2501,MATCH(MAX(COUNTIF($K$2:$K$2501,$K$2:$K$2501)),COUNTIF($K$2:$K$2501,$K$2:$K$2501),0)),K83)</f>
        <v>B2B</v>
      </c>
    </row>
    <row r="84" spans="1:17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 s="3">
        <f t="shared" si="5"/>
        <v>0</v>
      </c>
      <c r="J84" t="s">
        <v>40</v>
      </c>
      <c r="K84" t="s">
        <v>23</v>
      </c>
      <c r="L84" s="2">
        <f t="shared" si="6"/>
        <v>2868.7768181818178</v>
      </c>
      <c r="M84" s="4">
        <f t="shared" si="7"/>
        <v>0.6</v>
      </c>
      <c r="N84" s="1">
        <f t="shared" si="8"/>
        <v>45782</v>
      </c>
      <c r="O84" s="3">
        <f>(Table13[[#This Row],[Units_Sold]]*Table13[[#This Row],[Unit_Price_Cleaned]]*(1-Table13[[#This Row],[Discount Cleaned]]))</f>
        <v>0</v>
      </c>
      <c r="P84" t="str">
        <f t="shared" si="9"/>
        <v>Loss</v>
      </c>
      <c r="Q84" t="str" cm="1">
        <f t="array" ref="Q84">IF(K84="",INDEX($K$2:$K$2501,MATCH(MAX(COUNTIF($K$2:$K$2501,$K$2:$K$2501)),COUNTIF($K$2:$K$2501,$K$2:$K$2501),0)),K84)</f>
        <v>B2B</v>
      </c>
    </row>
    <row r="85" spans="1:17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 s="3">
        <f t="shared" si="5"/>
        <v>2483.5844000000002</v>
      </c>
      <c r="J85" t="s">
        <v>46</v>
      </c>
      <c r="K85" t="s">
        <v>23</v>
      </c>
      <c r="L85" s="2">
        <f t="shared" si="6"/>
        <v>2483.5844000000002</v>
      </c>
      <c r="M85" s="4">
        <f t="shared" si="7"/>
        <v>1.28</v>
      </c>
      <c r="N85" s="1">
        <f t="shared" si="8"/>
        <v>45782</v>
      </c>
      <c r="O85" s="3">
        <f>(Table13[[#This Row],[Units_Sold]]*Table13[[#This Row],[Unit_Price_Cleaned]]*(1-Table13[[#This Row],[Discount Cleaned]]))</f>
        <v>-695.40363200000013</v>
      </c>
      <c r="P85" t="str">
        <f t="shared" si="9"/>
        <v>Loss</v>
      </c>
      <c r="Q85" t="str" cm="1">
        <f t="array" ref="Q85">IF(K85="",INDEX($K$2:$K$2501,MATCH(MAX(COUNTIF($K$2:$K$2501,$K$2:$K$2501)),COUNTIF($K$2:$K$2501,$K$2:$K$2501),0)),K85)</f>
        <v>B2B</v>
      </c>
    </row>
    <row r="86" spans="1:17" x14ac:dyDescent="0.3">
      <c r="A86">
        <v>1084</v>
      </c>
      <c r="B86" t="s">
        <v>136</v>
      </c>
      <c r="C86" t="s">
        <v>25</v>
      </c>
      <c r="D86" t="s">
        <v>26</v>
      </c>
      <c r="E86">
        <v>2</v>
      </c>
      <c r="G86">
        <v>0.53</v>
      </c>
      <c r="H86" s="3">
        <f t="shared" si="5"/>
        <v>5777.7428571428572</v>
      </c>
      <c r="I86" s="1">
        <v>45650</v>
      </c>
      <c r="J86" t="s">
        <v>46</v>
      </c>
      <c r="K86" t="s">
        <v>23</v>
      </c>
      <c r="L86" s="2">
        <f t="shared" si="6"/>
        <v>2888.8714285714286</v>
      </c>
      <c r="M86" s="4">
        <f t="shared" si="7"/>
        <v>0.53</v>
      </c>
      <c r="N86" s="1">
        <f t="shared" si="8"/>
        <v>45650</v>
      </c>
      <c r="O86" s="3">
        <f>(Table13[[#This Row],[Units_Sold]]*Table13[[#This Row],[Unit_Price_Cleaned]]*(1-Table13[[#This Row],[Discount Cleaned]]))</f>
        <v>2715.5391428571429</v>
      </c>
      <c r="P86" t="str">
        <f t="shared" si="9"/>
        <v>Profit</v>
      </c>
      <c r="Q86" t="str" cm="1">
        <f t="array" ref="Q86">IF(K86="",INDEX($K$2:$K$2501,MATCH(MAX(COUNTIF($K$2:$K$2501,$K$2:$K$2501)),COUNTIF($K$2:$K$2501,$K$2:$K$2501),0)),K86)</f>
        <v>B2B</v>
      </c>
    </row>
    <row r="87" spans="1:17" x14ac:dyDescent="0.3">
      <c r="A87">
        <v>1085</v>
      </c>
      <c r="B87" t="s">
        <v>137</v>
      </c>
      <c r="C87" t="s">
        <v>25</v>
      </c>
      <c r="D87" t="s">
        <v>66</v>
      </c>
      <c r="E87">
        <v>2</v>
      </c>
      <c r="G87">
        <v>0.02</v>
      </c>
      <c r="H87" s="3">
        <f t="shared" si="5"/>
        <v>5145.5528000000013</v>
      </c>
      <c r="I87" s="1">
        <v>45217</v>
      </c>
      <c r="J87" t="s">
        <v>46</v>
      </c>
      <c r="K87" t="s">
        <v>23</v>
      </c>
      <c r="L87" s="2">
        <f t="shared" si="6"/>
        <v>2572.7764000000006</v>
      </c>
      <c r="M87" s="4">
        <f t="shared" si="7"/>
        <v>0.02</v>
      </c>
      <c r="N87" s="1">
        <f t="shared" si="8"/>
        <v>45217</v>
      </c>
      <c r="O87" s="3">
        <f>(Table13[[#This Row],[Units_Sold]]*Table13[[#This Row],[Unit_Price_Cleaned]]*(1-Table13[[#This Row],[Discount Cleaned]]))</f>
        <v>5042.6417440000014</v>
      </c>
      <c r="P87" t="str">
        <f t="shared" si="9"/>
        <v>Profit</v>
      </c>
      <c r="Q87" t="str" cm="1">
        <f t="array" ref="Q87">IF(K87="",INDEX($K$2:$K$2501,MATCH(MAX(COUNTIF($K$2:$K$2501,$K$2:$K$2501)),COUNTIF($K$2:$K$2501,$K$2:$K$2501),0)),K87)</f>
        <v>B2B</v>
      </c>
    </row>
    <row r="88" spans="1:17" x14ac:dyDescent="0.3">
      <c r="A88">
        <v>1086</v>
      </c>
      <c r="B88" t="s">
        <v>138</v>
      </c>
      <c r="C88" t="s">
        <v>29</v>
      </c>
      <c r="D88" t="s">
        <v>42</v>
      </c>
      <c r="E88">
        <v>2</v>
      </c>
      <c r="F88">
        <v>948.33</v>
      </c>
      <c r="G88">
        <v>0.46</v>
      </c>
      <c r="H88" s="3">
        <f t="shared" si="5"/>
        <v>1896.66</v>
      </c>
      <c r="I88" s="1">
        <v>45732</v>
      </c>
      <c r="J88" t="s">
        <v>40</v>
      </c>
      <c r="K88" t="s">
        <v>16</v>
      </c>
      <c r="L88" s="2">
        <f t="shared" si="6"/>
        <v>948.33</v>
      </c>
      <c r="M88" s="4">
        <f t="shared" si="7"/>
        <v>0.46</v>
      </c>
      <c r="N88" s="1">
        <f t="shared" si="8"/>
        <v>45732</v>
      </c>
      <c r="O88" s="3">
        <f>(Table13[[#This Row],[Units_Sold]]*Table13[[#This Row],[Unit_Price_Cleaned]]*(1-Table13[[#This Row],[Discount Cleaned]]))</f>
        <v>1024.1964</v>
      </c>
      <c r="P88" t="str">
        <f t="shared" si="9"/>
        <v>Profit</v>
      </c>
      <c r="Q88" t="str" cm="1">
        <f t="array" ref="Q88">IF(K88="",INDEX($K$2:$K$2501,MATCH(MAX(COUNTIF($K$2:$K$2501,$K$2:$K$2501)),COUNTIF($K$2:$K$2501,$K$2:$K$2501),0)),K88)</f>
        <v>B2C</v>
      </c>
    </row>
    <row r="89" spans="1:17" x14ac:dyDescent="0.3">
      <c r="A89">
        <v>1087</v>
      </c>
      <c r="B89" t="s">
        <v>139</v>
      </c>
      <c r="C89" t="s">
        <v>13</v>
      </c>
      <c r="D89" t="s">
        <v>102</v>
      </c>
      <c r="E89">
        <v>2</v>
      </c>
      <c r="F89">
        <v>1976.75</v>
      </c>
      <c r="G89">
        <v>0.81</v>
      </c>
      <c r="H89" s="3">
        <f t="shared" si="5"/>
        <v>3953.5</v>
      </c>
      <c r="I89" s="1">
        <v>45846</v>
      </c>
      <c r="J89" t="s">
        <v>22</v>
      </c>
      <c r="K89" t="s">
        <v>16</v>
      </c>
      <c r="L89" s="2">
        <f t="shared" si="6"/>
        <v>1976.75</v>
      </c>
      <c r="M89" s="4">
        <f t="shared" si="7"/>
        <v>0.81</v>
      </c>
      <c r="N89" s="1">
        <f t="shared" si="8"/>
        <v>45846</v>
      </c>
      <c r="O89" s="3">
        <f>(Table13[[#This Row],[Units_Sold]]*Table13[[#This Row],[Unit_Price_Cleaned]]*(1-Table13[[#This Row],[Discount Cleaned]]))</f>
        <v>751.16499999999974</v>
      </c>
      <c r="P89" t="str">
        <f t="shared" si="9"/>
        <v>Profit</v>
      </c>
      <c r="Q89" t="str" cm="1">
        <f t="array" ref="Q89">IF(K89="",INDEX($K$2:$K$2501,MATCH(MAX(COUNTIF($K$2:$K$2501,$K$2:$K$2501)),COUNTIF($K$2:$K$2501,$K$2:$K$2501),0)),K89)</f>
        <v>B2C</v>
      </c>
    </row>
    <row r="90" spans="1:17" x14ac:dyDescent="0.3">
      <c r="A90">
        <v>1088</v>
      </c>
      <c r="B90" t="s">
        <v>140</v>
      </c>
      <c r="C90" t="s">
        <v>29</v>
      </c>
      <c r="D90" t="s">
        <v>141</v>
      </c>
      <c r="E90">
        <v>2</v>
      </c>
      <c r="F90">
        <v>3891.14</v>
      </c>
      <c r="H90" s="3">
        <f t="shared" si="5"/>
        <v>7782.28</v>
      </c>
      <c r="I90" s="1">
        <v>45785</v>
      </c>
      <c r="J90" t="s">
        <v>46</v>
      </c>
      <c r="K90" t="s">
        <v>16</v>
      </c>
      <c r="L90" s="2">
        <f t="shared" si="6"/>
        <v>3891.14</v>
      </c>
      <c r="M90" s="4">
        <f t="shared" si="7"/>
        <v>0.6</v>
      </c>
      <c r="N90" s="1">
        <f t="shared" si="8"/>
        <v>45785</v>
      </c>
      <c r="O90" s="3">
        <f>(Table13[[#This Row],[Units_Sold]]*Table13[[#This Row],[Unit_Price_Cleaned]]*(1-Table13[[#This Row],[Discount Cleaned]]))</f>
        <v>3112.9120000000003</v>
      </c>
      <c r="P90" t="str">
        <f t="shared" si="9"/>
        <v>Profit</v>
      </c>
      <c r="Q90" t="str" cm="1">
        <f t="array" ref="Q90">IF(K90="",INDEX($K$2:$K$2501,MATCH(MAX(COUNTIF($K$2:$K$2501,$K$2:$K$2501)),COUNTIF($K$2:$K$2501,$K$2:$K$2501),0)),K90)</f>
        <v>B2C</v>
      </c>
    </row>
    <row r="91" spans="1:17" x14ac:dyDescent="0.3">
      <c r="A91">
        <v>1089</v>
      </c>
      <c r="B91" t="s">
        <v>142</v>
      </c>
      <c r="C91" t="s">
        <v>25</v>
      </c>
      <c r="D91" t="s">
        <v>66</v>
      </c>
      <c r="E91">
        <v>2</v>
      </c>
      <c r="F91">
        <v>1412.17</v>
      </c>
      <c r="G91">
        <v>0.88</v>
      </c>
      <c r="H91" s="3">
        <f t="shared" si="5"/>
        <v>2824.34</v>
      </c>
      <c r="I91" s="1">
        <v>45710</v>
      </c>
      <c r="J91" t="s">
        <v>22</v>
      </c>
      <c r="L91" s="2">
        <f t="shared" si="6"/>
        <v>1412.17</v>
      </c>
      <c r="M91" s="4">
        <f t="shared" si="7"/>
        <v>0.88</v>
      </c>
      <c r="N91" s="1">
        <f t="shared" si="8"/>
        <v>45710</v>
      </c>
      <c r="O91" s="3">
        <f>(Table13[[#This Row],[Units_Sold]]*Table13[[#This Row],[Unit_Price_Cleaned]]*(1-Table13[[#This Row],[Discount Cleaned]]))</f>
        <v>338.92079999999999</v>
      </c>
      <c r="P91" t="str">
        <f t="shared" si="9"/>
        <v>Loss</v>
      </c>
      <c r="Q91" t="str" cm="1">
        <f t="array" ref="Q91">IF(K91="",INDEX($K$2:$K$2501,MATCH(MAX(COUNTIF($K$2:$K$2501,$K$2:$K$2501)),COUNTIF($K$2:$K$2501,$K$2:$K$2501),0)),K91)</f>
        <v>B2B</v>
      </c>
    </row>
    <row r="92" spans="1:17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 s="3">
        <f t="shared" si="5"/>
        <v>12389.1</v>
      </c>
      <c r="I92" s="1">
        <v>45605</v>
      </c>
      <c r="J92" t="s">
        <v>18</v>
      </c>
      <c r="K92" t="s">
        <v>16</v>
      </c>
      <c r="L92" s="2">
        <f t="shared" si="6"/>
        <v>2477.8200000000002</v>
      </c>
      <c r="M92" s="4">
        <f t="shared" si="7"/>
        <v>0.6</v>
      </c>
      <c r="N92" s="1">
        <f t="shared" si="8"/>
        <v>45605</v>
      </c>
      <c r="O92" s="3">
        <f>(Table13[[#This Row],[Units_Sold]]*Table13[[#This Row],[Unit_Price_Cleaned]]*(1-Table13[[#This Row],[Discount Cleaned]]))</f>
        <v>4955.6400000000003</v>
      </c>
      <c r="P92" t="str">
        <f t="shared" si="9"/>
        <v>Profit</v>
      </c>
      <c r="Q92" t="str" cm="1">
        <f t="array" ref="Q92">IF(K92="",INDEX($K$2:$K$2501,MATCH(MAX(COUNTIF($K$2:$K$2501,$K$2:$K$2501)),COUNTIF($K$2:$K$2501,$K$2:$K$2501),0)),K92)</f>
        <v>B2C</v>
      </c>
    </row>
    <row r="93" spans="1:17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 s="3">
        <f t="shared" si="5"/>
        <v>2617.6390384615388</v>
      </c>
      <c r="I93" s="1">
        <v>45135</v>
      </c>
      <c r="J93" t="s">
        <v>15</v>
      </c>
      <c r="L93" s="2">
        <f t="shared" si="6"/>
        <v>2617.6390384615388</v>
      </c>
      <c r="M93" s="4">
        <f t="shared" si="7"/>
        <v>0.6</v>
      </c>
      <c r="N93" s="1">
        <f t="shared" si="8"/>
        <v>45135</v>
      </c>
      <c r="O93" s="3">
        <f>(Table13[[#This Row],[Units_Sold]]*Table13[[#This Row],[Unit_Price_Cleaned]]*(1-Table13[[#This Row],[Discount Cleaned]]))</f>
        <v>1047.0556153846155</v>
      </c>
      <c r="P93" t="str">
        <f t="shared" si="9"/>
        <v>Profit</v>
      </c>
      <c r="Q93" t="str" cm="1">
        <f t="array" ref="Q93">IF(K93="",INDEX($K$2:$K$2501,MATCH(MAX(COUNTIF($K$2:$K$2501,$K$2:$K$2501)),COUNTIF($K$2:$K$2501,$K$2:$K$2501),0)),K93)</f>
        <v>B2B</v>
      </c>
    </row>
    <row r="94" spans="1:17" x14ac:dyDescent="0.3">
      <c r="A94">
        <v>1092</v>
      </c>
      <c r="B94" t="s">
        <v>145</v>
      </c>
      <c r="C94" t="s">
        <v>38</v>
      </c>
      <c r="D94" t="s">
        <v>91</v>
      </c>
      <c r="E94">
        <v>2</v>
      </c>
      <c r="H94" s="3">
        <f t="shared" si="5"/>
        <v>5737.5536363636356</v>
      </c>
      <c r="J94" t="s">
        <v>46</v>
      </c>
      <c r="L94" s="2">
        <f t="shared" si="6"/>
        <v>2868.7768181818178</v>
      </c>
      <c r="M94" s="4">
        <f t="shared" si="7"/>
        <v>0.6</v>
      </c>
      <c r="N94" s="1">
        <f t="shared" si="8"/>
        <v>45782</v>
      </c>
      <c r="O94" s="3">
        <f>(Table13[[#This Row],[Units_Sold]]*Table13[[#This Row],[Unit_Price_Cleaned]]*(1-Table13[[#This Row],[Discount Cleaned]]))</f>
        <v>2295.0214545454542</v>
      </c>
      <c r="P94" t="str">
        <f t="shared" si="9"/>
        <v>Profit</v>
      </c>
      <c r="Q94" t="str" cm="1">
        <f t="array" ref="Q94">IF(K94="",INDEX($K$2:$K$2501,MATCH(MAX(COUNTIF($K$2:$K$2501,$K$2:$K$2501)),COUNTIF($K$2:$K$2501,$K$2:$K$2501),0)),K94)</f>
        <v>B2B</v>
      </c>
    </row>
    <row r="95" spans="1:17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 s="3">
        <f t="shared" si="5"/>
        <v>-5737.5536363636356</v>
      </c>
      <c r="I95" s="1">
        <v>45629</v>
      </c>
      <c r="J95" t="s">
        <v>40</v>
      </c>
      <c r="K95" t="s">
        <v>23</v>
      </c>
      <c r="L95" s="2">
        <f t="shared" si="6"/>
        <v>2868.7768181818178</v>
      </c>
      <c r="M95" s="4">
        <f t="shared" si="7"/>
        <v>0.6</v>
      </c>
      <c r="N95" s="1">
        <f t="shared" si="8"/>
        <v>45629</v>
      </c>
      <c r="O95" s="3">
        <f>(Table13[[#This Row],[Units_Sold]]*Table13[[#This Row],[Unit_Price_Cleaned]]*(1-Table13[[#This Row],[Discount Cleaned]]))</f>
        <v>-2295.0214545454542</v>
      </c>
      <c r="P95" t="str">
        <f t="shared" si="9"/>
        <v>Loss</v>
      </c>
      <c r="Q95" t="str" cm="1">
        <f t="array" ref="Q95">IF(K95="",INDEX($K$2:$K$2501,MATCH(MAX(COUNTIF($K$2:$K$2501,$K$2:$K$2501)),COUNTIF($K$2:$K$2501,$K$2:$K$2501),0)),K95)</f>
        <v>B2B</v>
      </c>
    </row>
    <row r="96" spans="1:17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 s="3">
        <f t="shared" si="5"/>
        <v>-4741.41</v>
      </c>
      <c r="J96" t="s">
        <v>22</v>
      </c>
      <c r="K96" t="s">
        <v>16</v>
      </c>
      <c r="L96" s="2">
        <f t="shared" si="6"/>
        <v>4741.41</v>
      </c>
      <c r="M96" s="4">
        <f t="shared" si="7"/>
        <v>0.6</v>
      </c>
      <c r="N96" s="1">
        <f t="shared" si="8"/>
        <v>45782</v>
      </c>
      <c r="O96" s="3">
        <f>(Table13[[#This Row],[Units_Sold]]*Table13[[#This Row],[Unit_Price_Cleaned]]*(1-Table13[[#This Row],[Discount Cleaned]]))</f>
        <v>-1896.5640000000001</v>
      </c>
      <c r="P96" t="str">
        <f t="shared" si="9"/>
        <v>Loss</v>
      </c>
      <c r="Q96" t="str" cm="1">
        <f t="array" ref="Q96">IF(K96="",INDEX($K$2:$K$2501,MATCH(MAX(COUNTIF($K$2:$K$2501,$K$2:$K$2501)),COUNTIF($K$2:$K$2501,$K$2:$K$2501),0)),K96)</f>
        <v>B2C</v>
      </c>
    </row>
    <row r="97" spans="1:17" x14ac:dyDescent="0.3">
      <c r="A97">
        <v>1035</v>
      </c>
      <c r="B97" t="s">
        <v>148</v>
      </c>
      <c r="C97" t="s">
        <v>29</v>
      </c>
      <c r="D97" t="s">
        <v>30</v>
      </c>
      <c r="E97">
        <v>2</v>
      </c>
      <c r="H97" s="3">
        <f t="shared" si="5"/>
        <v>5235.2780769230776</v>
      </c>
      <c r="I97" s="1">
        <v>45661</v>
      </c>
      <c r="J97" t="s">
        <v>22</v>
      </c>
      <c r="K97" t="s">
        <v>16</v>
      </c>
      <c r="L97" s="2">
        <f t="shared" si="6"/>
        <v>2617.6390384615388</v>
      </c>
      <c r="M97" s="4">
        <f t="shared" si="7"/>
        <v>0.6</v>
      </c>
      <c r="N97" s="1">
        <f t="shared" si="8"/>
        <v>45661</v>
      </c>
      <c r="O97" s="3">
        <f>(Table13[[#This Row],[Units_Sold]]*Table13[[#This Row],[Unit_Price_Cleaned]]*(1-Table13[[#This Row],[Discount Cleaned]]))</f>
        <v>2094.111230769231</v>
      </c>
      <c r="P97" t="str">
        <f t="shared" si="9"/>
        <v>Profit</v>
      </c>
      <c r="Q97" t="str" cm="1">
        <f t="array" ref="Q97">IF(K97="",INDEX($K$2:$K$2501,MATCH(MAX(COUNTIF($K$2:$K$2501,$K$2:$K$2501)),COUNTIF($K$2:$K$2501,$K$2:$K$2501),0)),K97)</f>
        <v>B2C</v>
      </c>
    </row>
    <row r="98" spans="1:17" x14ac:dyDescent="0.3">
      <c r="A98">
        <v>1033</v>
      </c>
      <c r="B98" t="s">
        <v>149</v>
      </c>
      <c r="C98" t="s">
        <v>29</v>
      </c>
      <c r="D98" t="s">
        <v>30</v>
      </c>
      <c r="E98">
        <v>2</v>
      </c>
      <c r="F98">
        <v>421.92</v>
      </c>
      <c r="H98" s="3">
        <f t="shared" si="5"/>
        <v>843.84</v>
      </c>
      <c r="J98" t="s">
        <v>56</v>
      </c>
      <c r="L98" s="2">
        <f t="shared" si="6"/>
        <v>421.92</v>
      </c>
      <c r="M98" s="4">
        <f t="shared" si="7"/>
        <v>0.6</v>
      </c>
      <c r="N98" s="1">
        <f t="shared" si="8"/>
        <v>45782</v>
      </c>
      <c r="O98" s="3">
        <f>(Table13[[#This Row],[Units_Sold]]*Table13[[#This Row],[Unit_Price_Cleaned]]*(1-Table13[[#This Row],[Discount Cleaned]]))</f>
        <v>337.53600000000006</v>
      </c>
      <c r="P98" t="str">
        <f t="shared" si="9"/>
        <v>Loss</v>
      </c>
      <c r="Q98" t="str" cm="1">
        <f t="array" ref="Q98">IF(K98="",INDEX($K$2:$K$2501,MATCH(MAX(COUNTIF($K$2:$K$2501,$K$2:$K$2501)),COUNTIF($K$2:$K$2501,$K$2:$K$2501),0)),K98)</f>
        <v>B2B</v>
      </c>
    </row>
    <row r="99" spans="1:17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 s="3">
        <f t="shared" si="5"/>
        <v>0</v>
      </c>
      <c r="I99" s="1">
        <v>45675</v>
      </c>
      <c r="J99" t="s">
        <v>22</v>
      </c>
      <c r="L99" s="2">
        <f t="shared" si="6"/>
        <v>2559.6667307692314</v>
      </c>
      <c r="M99" s="4">
        <f t="shared" si="7"/>
        <v>0.6</v>
      </c>
      <c r="N99" s="1">
        <f t="shared" si="8"/>
        <v>45675</v>
      </c>
      <c r="O99" s="3">
        <f>(Table13[[#This Row],[Units_Sold]]*Table13[[#This Row],[Unit_Price_Cleaned]]*(1-Table13[[#This Row],[Discount Cleaned]]))</f>
        <v>0</v>
      </c>
      <c r="P99" t="str">
        <f t="shared" si="9"/>
        <v>Loss</v>
      </c>
      <c r="Q99" t="str" cm="1">
        <f t="array" ref="Q99">IF(K99="",INDEX($K$2:$K$2501,MATCH(MAX(COUNTIF($K$2:$K$2501,$K$2:$K$2501)),COUNTIF($K$2:$K$2501,$K$2:$K$2501),0)),K99)</f>
        <v>B2B</v>
      </c>
    </row>
    <row r="100" spans="1:17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 s="3">
        <f t="shared" si="5"/>
        <v>0</v>
      </c>
      <c r="I100" s="1">
        <v>45543</v>
      </c>
      <c r="J100" t="s">
        <v>18</v>
      </c>
      <c r="K100" t="s">
        <v>16</v>
      </c>
      <c r="L100" s="2">
        <f t="shared" si="6"/>
        <v>4752.04</v>
      </c>
      <c r="M100" s="4">
        <f t="shared" si="7"/>
        <v>0.6</v>
      </c>
      <c r="N100" s="1">
        <f t="shared" si="8"/>
        <v>45543</v>
      </c>
      <c r="O100" s="3">
        <f>(Table13[[#This Row],[Units_Sold]]*Table13[[#This Row],[Unit_Price_Cleaned]]*(1-Table13[[#This Row],[Discount Cleaned]]))</f>
        <v>0</v>
      </c>
      <c r="P100" t="str">
        <f t="shared" si="9"/>
        <v>Loss</v>
      </c>
      <c r="Q100" t="str" cm="1">
        <f t="array" ref="Q100">IF(K100="",INDEX($K$2:$K$2501,MATCH(MAX(COUNTIF($K$2:$K$2501,$K$2:$K$2501)),COUNTIF($K$2:$K$2501,$K$2:$K$2501),0)),K100)</f>
        <v>B2C</v>
      </c>
    </row>
    <row r="101" spans="1:17" x14ac:dyDescent="0.3">
      <c r="A101">
        <v>1099</v>
      </c>
      <c r="B101" t="s">
        <v>152</v>
      </c>
      <c r="C101" t="s">
        <v>25</v>
      </c>
      <c r="D101" t="s">
        <v>26</v>
      </c>
      <c r="E101">
        <v>2</v>
      </c>
      <c r="H101" s="3">
        <f t="shared" si="5"/>
        <v>5777.7428571428572</v>
      </c>
      <c r="I101" s="1">
        <v>45344</v>
      </c>
      <c r="J101" t="s">
        <v>46</v>
      </c>
      <c r="K101" t="s">
        <v>23</v>
      </c>
      <c r="L101" s="2">
        <f t="shared" si="6"/>
        <v>2888.8714285714286</v>
      </c>
      <c r="M101" s="4">
        <f t="shared" si="7"/>
        <v>0.6</v>
      </c>
      <c r="N101" s="1">
        <f t="shared" si="8"/>
        <v>45344</v>
      </c>
      <c r="O101" s="3">
        <f>(Table13[[#This Row],[Units_Sold]]*Table13[[#This Row],[Unit_Price_Cleaned]]*(1-Table13[[#This Row],[Discount Cleaned]]))</f>
        <v>2311.0971428571429</v>
      </c>
      <c r="P101" t="str">
        <f t="shared" si="9"/>
        <v>Profit</v>
      </c>
      <c r="Q101" t="str" cm="1">
        <f t="array" ref="Q101">IF(K101="",INDEX($K$2:$K$2501,MATCH(MAX(COUNTIF($K$2:$K$2501,$K$2:$K$2501)),COUNTIF($K$2:$K$2501,$K$2:$K$2501),0)),K101)</f>
        <v>B2B</v>
      </c>
    </row>
    <row r="102" spans="1:17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 s="3">
        <f t="shared" si="5"/>
        <v>4023.46</v>
      </c>
      <c r="I102" s="1">
        <v>45656</v>
      </c>
      <c r="J102" t="s">
        <v>56</v>
      </c>
      <c r="K102" t="s">
        <v>16</v>
      </c>
      <c r="L102" s="2">
        <f t="shared" si="6"/>
        <v>2011.73</v>
      </c>
      <c r="M102" s="4">
        <f t="shared" si="7"/>
        <v>0.6</v>
      </c>
      <c r="N102" s="1">
        <f t="shared" si="8"/>
        <v>45656</v>
      </c>
      <c r="O102" s="3">
        <f>(Table13[[#This Row],[Units_Sold]]*Table13[[#This Row],[Unit_Price_Cleaned]]*(1-Table13[[#This Row],[Discount Cleaned]]))</f>
        <v>1609.384</v>
      </c>
      <c r="P102" t="str">
        <f t="shared" si="9"/>
        <v>Profit</v>
      </c>
      <c r="Q102" t="str" cm="1">
        <f t="array" ref="Q102">IF(K102="",INDEX($K$2:$K$2501,MATCH(MAX(COUNTIF($K$2:$K$2501,$K$2:$K$2501)),COUNTIF($K$2:$K$2501,$K$2:$K$2501),0)),K102)</f>
        <v>B2C</v>
      </c>
    </row>
    <row r="103" spans="1:17" x14ac:dyDescent="0.3">
      <c r="A103">
        <v>1101</v>
      </c>
      <c r="B103" t="s">
        <v>154</v>
      </c>
      <c r="C103" t="s">
        <v>13</v>
      </c>
      <c r="D103" t="s">
        <v>36</v>
      </c>
      <c r="E103">
        <v>2</v>
      </c>
      <c r="G103">
        <v>0.22</v>
      </c>
      <c r="H103" s="3">
        <f t="shared" si="5"/>
        <v>5765.0093103448271</v>
      </c>
      <c r="I103" s="1">
        <v>45720</v>
      </c>
      <c r="J103" t="s">
        <v>46</v>
      </c>
      <c r="K103" t="s">
        <v>16</v>
      </c>
      <c r="L103" s="2">
        <f t="shared" si="6"/>
        <v>2882.5046551724135</v>
      </c>
      <c r="M103" s="4">
        <f t="shared" si="7"/>
        <v>0.22</v>
      </c>
      <c r="N103" s="1">
        <f t="shared" si="8"/>
        <v>45720</v>
      </c>
      <c r="O103" s="3">
        <f>(Table13[[#This Row],[Units_Sold]]*Table13[[#This Row],[Unit_Price_Cleaned]]*(1-Table13[[#This Row],[Discount Cleaned]]))</f>
        <v>4496.7072620689651</v>
      </c>
      <c r="P103" t="str">
        <f t="shared" si="9"/>
        <v>Profit</v>
      </c>
      <c r="Q103" t="str" cm="1">
        <f t="array" ref="Q103">IF(K103="",INDEX($K$2:$K$2501,MATCH(MAX(COUNTIF($K$2:$K$2501,$K$2:$K$2501)),COUNTIF($K$2:$K$2501,$K$2:$K$2501),0)),K103)</f>
        <v>B2C</v>
      </c>
    </row>
    <row r="104" spans="1:17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 s="3">
        <f t="shared" si="5"/>
        <v>14412.523275862068</v>
      </c>
      <c r="I104" s="1">
        <v>45762</v>
      </c>
      <c r="J104" t="s">
        <v>56</v>
      </c>
      <c r="L104" s="2">
        <f t="shared" si="6"/>
        <v>2882.5046551724135</v>
      </c>
      <c r="M104" s="4">
        <f t="shared" si="7"/>
        <v>0.6</v>
      </c>
      <c r="N104" s="1">
        <f t="shared" si="8"/>
        <v>45762</v>
      </c>
      <c r="O104" s="3">
        <f>(Table13[[#This Row],[Units_Sold]]*Table13[[#This Row],[Unit_Price_Cleaned]]*(1-Table13[[#This Row],[Discount Cleaned]]))</f>
        <v>5765.0093103448271</v>
      </c>
      <c r="P104" t="str">
        <f t="shared" si="9"/>
        <v>Profit</v>
      </c>
      <c r="Q104" t="str" cm="1">
        <f t="array" ref="Q104">IF(K104="",INDEX($K$2:$K$2501,MATCH(MAX(COUNTIF($K$2:$K$2501,$K$2:$K$2501)),COUNTIF($K$2:$K$2501,$K$2:$K$2501),0)),K104)</f>
        <v>B2B</v>
      </c>
    </row>
    <row r="105" spans="1:17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 s="3">
        <f t="shared" si="5"/>
        <v>7607.3</v>
      </c>
      <c r="I105" s="1">
        <v>45819</v>
      </c>
      <c r="J105" t="s">
        <v>40</v>
      </c>
      <c r="K105" t="s">
        <v>23</v>
      </c>
      <c r="L105" s="2">
        <f t="shared" si="6"/>
        <v>1521.46</v>
      </c>
      <c r="M105" s="4">
        <f t="shared" si="7"/>
        <v>0.6</v>
      </c>
      <c r="N105" s="1">
        <f t="shared" si="8"/>
        <v>45819</v>
      </c>
      <c r="O105" s="3">
        <f>(Table13[[#This Row],[Units_Sold]]*Table13[[#This Row],[Unit_Price_Cleaned]]*(1-Table13[[#This Row],[Discount Cleaned]]))</f>
        <v>3042.92</v>
      </c>
      <c r="P105" t="str">
        <f t="shared" si="9"/>
        <v>Profit</v>
      </c>
      <c r="Q105" t="str" cm="1">
        <f t="array" ref="Q105">IF(K105="",INDEX($K$2:$K$2501,MATCH(MAX(COUNTIF($K$2:$K$2501,$K$2:$K$2501)),COUNTIF($K$2:$K$2501,$K$2:$K$2501),0)),K105)</f>
        <v>B2B</v>
      </c>
    </row>
    <row r="106" spans="1:17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 s="3">
        <f t="shared" si="5"/>
        <v>8258.130000000001</v>
      </c>
      <c r="I106" s="1">
        <v>45454</v>
      </c>
      <c r="J106" t="s">
        <v>18</v>
      </c>
      <c r="K106" t="s">
        <v>23</v>
      </c>
      <c r="L106" s="2">
        <f t="shared" si="6"/>
        <v>2752.71</v>
      </c>
      <c r="M106" s="4">
        <f t="shared" si="7"/>
        <v>0.6</v>
      </c>
      <c r="N106" s="1">
        <f t="shared" si="8"/>
        <v>45454</v>
      </c>
      <c r="O106" s="3">
        <f>(Table13[[#This Row],[Units_Sold]]*Table13[[#This Row],[Unit_Price_Cleaned]]*(1-Table13[[#This Row],[Discount Cleaned]]))</f>
        <v>3303.2520000000004</v>
      </c>
      <c r="P106" t="str">
        <f t="shared" si="9"/>
        <v>Profit</v>
      </c>
      <c r="Q106" t="str" cm="1">
        <f t="array" ref="Q106">IF(K106="",INDEX($K$2:$K$2501,MATCH(MAX(COUNTIF($K$2:$K$2501,$K$2:$K$2501)),COUNTIF($K$2:$K$2501,$K$2:$K$2501),0)),K106)</f>
        <v>B2B</v>
      </c>
    </row>
    <row r="107" spans="1:17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 s="3">
        <f t="shared" si="5"/>
        <v>-5608.5303846153838</v>
      </c>
      <c r="J107" t="s">
        <v>18</v>
      </c>
      <c r="K107" t="s">
        <v>23</v>
      </c>
      <c r="L107" s="2">
        <f t="shared" si="6"/>
        <v>2804.2651923076919</v>
      </c>
      <c r="M107" s="4">
        <f t="shared" si="7"/>
        <v>0.6</v>
      </c>
      <c r="N107" s="1">
        <f t="shared" si="8"/>
        <v>45782</v>
      </c>
      <c r="O107" s="3">
        <f>(Table13[[#This Row],[Units_Sold]]*Table13[[#This Row],[Unit_Price_Cleaned]]*(1-Table13[[#This Row],[Discount Cleaned]]))</f>
        <v>-2243.4121538461536</v>
      </c>
      <c r="P107" t="str">
        <f t="shared" si="9"/>
        <v>Loss</v>
      </c>
      <c r="Q107" t="str" cm="1">
        <f t="array" ref="Q107">IF(K107="",INDEX($K$2:$K$2501,MATCH(MAX(COUNTIF($K$2:$K$2501,$K$2:$K$2501)),COUNTIF($K$2:$K$2501,$K$2:$K$2501),0)),K107)</f>
        <v>B2B</v>
      </c>
    </row>
    <row r="108" spans="1:17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 s="3">
        <f t="shared" si="5"/>
        <v>8647.5139655172406</v>
      </c>
      <c r="I108" s="1">
        <v>45748</v>
      </c>
      <c r="J108" t="s">
        <v>46</v>
      </c>
      <c r="K108" t="s">
        <v>16</v>
      </c>
      <c r="L108" s="2">
        <f t="shared" si="6"/>
        <v>2882.5046551724135</v>
      </c>
      <c r="M108" s="4">
        <f t="shared" si="7"/>
        <v>0.6</v>
      </c>
      <c r="N108" s="1">
        <f t="shared" si="8"/>
        <v>45748</v>
      </c>
      <c r="O108" s="3">
        <f>(Table13[[#This Row],[Units_Sold]]*Table13[[#This Row],[Unit_Price_Cleaned]]*(1-Table13[[#This Row],[Discount Cleaned]]))</f>
        <v>3459.0055862068966</v>
      </c>
      <c r="P108" t="str">
        <f t="shared" si="9"/>
        <v>Profit</v>
      </c>
      <c r="Q108" t="str" cm="1">
        <f t="array" ref="Q108">IF(K108="",INDEX($K$2:$K$2501,MATCH(MAX(COUNTIF($K$2:$K$2501,$K$2:$K$2501)),COUNTIF($K$2:$K$2501,$K$2:$K$2501),0)),K108)</f>
        <v>B2C</v>
      </c>
    </row>
    <row r="109" spans="1:17" x14ac:dyDescent="0.3">
      <c r="A109">
        <v>1107</v>
      </c>
      <c r="B109" t="s">
        <v>160</v>
      </c>
      <c r="C109" t="s">
        <v>13</v>
      </c>
      <c r="D109" t="s">
        <v>49</v>
      </c>
      <c r="E109">
        <v>2</v>
      </c>
      <c r="F109">
        <v>4948</v>
      </c>
      <c r="H109" s="3">
        <f t="shared" si="5"/>
        <v>9896</v>
      </c>
      <c r="J109" t="s">
        <v>15</v>
      </c>
      <c r="K109" t="s">
        <v>16</v>
      </c>
      <c r="L109" s="2">
        <f t="shared" si="6"/>
        <v>4948</v>
      </c>
      <c r="M109" s="4">
        <f t="shared" si="7"/>
        <v>0.6</v>
      </c>
      <c r="N109" s="1">
        <f t="shared" si="8"/>
        <v>45782</v>
      </c>
      <c r="O109" s="3">
        <f>(Table13[[#This Row],[Units_Sold]]*Table13[[#This Row],[Unit_Price_Cleaned]]*(1-Table13[[#This Row],[Discount Cleaned]]))</f>
        <v>3958.4</v>
      </c>
      <c r="P109" t="str">
        <f t="shared" si="9"/>
        <v>Profit</v>
      </c>
      <c r="Q109" t="str" cm="1">
        <f t="array" ref="Q109">IF(K109="",INDEX($K$2:$K$2501,MATCH(MAX(COUNTIF($K$2:$K$2501,$K$2:$K$2501)),COUNTIF($K$2:$K$2501,$K$2:$K$2501),0)),K109)</f>
        <v>B2C</v>
      </c>
    </row>
    <row r="110" spans="1:17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 s="3">
        <f t="shared" si="5"/>
        <v>4601.4399999999996</v>
      </c>
      <c r="I110" s="1">
        <v>45642</v>
      </c>
      <c r="J110" t="s">
        <v>22</v>
      </c>
      <c r="K110" t="s">
        <v>16</v>
      </c>
      <c r="L110" s="2">
        <f t="shared" si="6"/>
        <v>4601.4399999999996</v>
      </c>
      <c r="M110" s="4">
        <f t="shared" si="7"/>
        <v>0.6</v>
      </c>
      <c r="N110" s="1">
        <f t="shared" si="8"/>
        <v>45642</v>
      </c>
      <c r="O110" s="3">
        <f>(Table13[[#This Row],[Units_Sold]]*Table13[[#This Row],[Unit_Price_Cleaned]]*(1-Table13[[#This Row],[Discount Cleaned]]))</f>
        <v>1840.576</v>
      </c>
      <c r="P110" t="str">
        <f t="shared" si="9"/>
        <v>Profit</v>
      </c>
      <c r="Q110" t="str" cm="1">
        <f t="array" ref="Q110">IF(K110="",INDEX($K$2:$K$2501,MATCH(MAX(COUNTIF($K$2:$K$2501,$K$2:$K$2501)),COUNTIF($K$2:$K$2501,$K$2:$K$2501),0)),K110)</f>
        <v>B2C</v>
      </c>
    </row>
    <row r="111" spans="1:17" x14ac:dyDescent="0.3">
      <c r="A111">
        <v>1109</v>
      </c>
      <c r="B111" t="s">
        <v>162</v>
      </c>
      <c r="C111" t="s">
        <v>13</v>
      </c>
      <c r="D111" t="s">
        <v>102</v>
      </c>
      <c r="E111">
        <v>2</v>
      </c>
      <c r="H111" s="3">
        <f t="shared" si="5"/>
        <v>5152.6113793103432</v>
      </c>
      <c r="I111" s="1">
        <v>45779</v>
      </c>
      <c r="J111" t="s">
        <v>56</v>
      </c>
      <c r="K111" t="s">
        <v>16</v>
      </c>
      <c r="L111" s="2">
        <f t="shared" si="6"/>
        <v>2576.3056896551716</v>
      </c>
      <c r="M111" s="4">
        <f t="shared" si="7"/>
        <v>0.6</v>
      </c>
      <c r="N111" s="1">
        <f t="shared" si="8"/>
        <v>45779</v>
      </c>
      <c r="O111" s="3">
        <f>(Table13[[#This Row],[Units_Sold]]*Table13[[#This Row],[Unit_Price_Cleaned]]*(1-Table13[[#This Row],[Discount Cleaned]]))</f>
        <v>2061.0445517241374</v>
      </c>
      <c r="P111" t="str">
        <f t="shared" si="9"/>
        <v>Profit</v>
      </c>
      <c r="Q111" t="str" cm="1">
        <f t="array" ref="Q111">IF(K111="",INDEX($K$2:$K$2501,MATCH(MAX(COUNTIF($K$2:$K$2501,$K$2:$K$2501)),COUNTIF($K$2:$K$2501,$K$2:$K$2501),0)),K111)</f>
        <v>B2C</v>
      </c>
    </row>
    <row r="112" spans="1:17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 s="3">
        <f t="shared" si="5"/>
        <v>9525.0710344827585</v>
      </c>
      <c r="I112" s="1">
        <v>45834</v>
      </c>
      <c r="J112" t="s">
        <v>22</v>
      </c>
      <c r="K112" t="s">
        <v>16</v>
      </c>
      <c r="L112" s="2">
        <f t="shared" si="6"/>
        <v>2381.2677586206896</v>
      </c>
      <c r="M112" s="4">
        <f t="shared" si="7"/>
        <v>0.6</v>
      </c>
      <c r="N112" s="1">
        <f t="shared" si="8"/>
        <v>45834</v>
      </c>
      <c r="O112" s="3">
        <f>(Table13[[#This Row],[Units_Sold]]*Table13[[#This Row],[Unit_Price_Cleaned]]*(1-Table13[[#This Row],[Discount Cleaned]]))</f>
        <v>3810.0284137931035</v>
      </c>
      <c r="P112" t="str">
        <f t="shared" si="9"/>
        <v>Profit</v>
      </c>
      <c r="Q112" t="str" cm="1">
        <f t="array" ref="Q112">IF(K112="",INDEX($K$2:$K$2501,MATCH(MAX(COUNTIF($K$2:$K$2501,$K$2:$K$2501)),COUNTIF($K$2:$K$2501,$K$2:$K$2501),0)),K112)</f>
        <v>B2C</v>
      </c>
    </row>
    <row r="113" spans="1:17" x14ac:dyDescent="0.3">
      <c r="A113">
        <v>1111</v>
      </c>
      <c r="B113" t="s">
        <v>164</v>
      </c>
      <c r="C113" t="s">
        <v>33</v>
      </c>
      <c r="D113" t="s">
        <v>72</v>
      </c>
      <c r="E113">
        <v>2</v>
      </c>
      <c r="H113" s="3">
        <f t="shared" si="5"/>
        <v>5431.091698113205</v>
      </c>
      <c r="J113" t="s">
        <v>18</v>
      </c>
      <c r="K113" t="s">
        <v>16</v>
      </c>
      <c r="L113" s="2">
        <f t="shared" si="6"/>
        <v>2715.5458490566025</v>
      </c>
      <c r="M113" s="4">
        <f t="shared" si="7"/>
        <v>0.6</v>
      </c>
      <c r="N113" s="1">
        <f t="shared" si="8"/>
        <v>45782</v>
      </c>
      <c r="O113" s="3">
        <f>(Table13[[#This Row],[Units_Sold]]*Table13[[#This Row],[Unit_Price_Cleaned]]*(1-Table13[[#This Row],[Discount Cleaned]]))</f>
        <v>2172.436679245282</v>
      </c>
      <c r="P113" t="str">
        <f t="shared" si="9"/>
        <v>Profit</v>
      </c>
      <c r="Q113" t="str" cm="1">
        <f t="array" ref="Q113">IF(K113="",INDEX($K$2:$K$2501,MATCH(MAX(COUNTIF($K$2:$K$2501,$K$2:$K$2501)),COUNTIF($K$2:$K$2501,$K$2:$K$2501),0)),K113)</f>
        <v>B2C</v>
      </c>
    </row>
    <row r="114" spans="1:17" x14ac:dyDescent="0.3">
      <c r="A114">
        <v>1112</v>
      </c>
      <c r="B114" t="s">
        <v>165</v>
      </c>
      <c r="C114" t="s">
        <v>38</v>
      </c>
      <c r="D114" t="s">
        <v>39</v>
      </c>
      <c r="E114">
        <v>2</v>
      </c>
      <c r="F114">
        <v>1027.56</v>
      </c>
      <c r="H114" s="3">
        <f t="shared" si="5"/>
        <v>2055.12</v>
      </c>
      <c r="J114" t="s">
        <v>22</v>
      </c>
      <c r="L114" s="2">
        <f t="shared" si="6"/>
        <v>1027.56</v>
      </c>
      <c r="M114" s="4">
        <f t="shared" si="7"/>
        <v>0.6</v>
      </c>
      <c r="N114" s="1">
        <f t="shared" si="8"/>
        <v>45782</v>
      </c>
      <c r="O114" s="3">
        <f>(Table13[[#This Row],[Units_Sold]]*Table13[[#This Row],[Unit_Price_Cleaned]]*(1-Table13[[#This Row],[Discount Cleaned]]))</f>
        <v>822.048</v>
      </c>
      <c r="P114" t="str">
        <f t="shared" si="9"/>
        <v>Profit</v>
      </c>
      <c r="Q114" t="str" cm="1">
        <f t="array" ref="Q114">IF(K114="",INDEX($K$2:$K$2501,MATCH(MAX(COUNTIF($K$2:$K$2501,$K$2:$K$2501)),COUNTIF($K$2:$K$2501,$K$2:$K$2501),0)),K114)</f>
        <v>B2B</v>
      </c>
    </row>
    <row r="115" spans="1:17" x14ac:dyDescent="0.3">
      <c r="A115">
        <v>1113</v>
      </c>
      <c r="B115" t="s">
        <v>166</v>
      </c>
      <c r="C115" t="s">
        <v>20</v>
      </c>
      <c r="D115" t="s">
        <v>21</v>
      </c>
      <c r="E115">
        <v>2</v>
      </c>
      <c r="F115">
        <v>3864.5</v>
      </c>
      <c r="H115" s="3">
        <f t="shared" si="5"/>
        <v>7729</v>
      </c>
      <c r="J115" t="s">
        <v>18</v>
      </c>
      <c r="K115" t="s">
        <v>16</v>
      </c>
      <c r="L115" s="2">
        <f t="shared" si="6"/>
        <v>3864.5</v>
      </c>
      <c r="M115" s="4">
        <f t="shared" si="7"/>
        <v>0.6</v>
      </c>
      <c r="N115" s="1">
        <f t="shared" si="8"/>
        <v>45782</v>
      </c>
      <c r="O115" s="3">
        <f>(Table13[[#This Row],[Units_Sold]]*Table13[[#This Row],[Unit_Price_Cleaned]]*(1-Table13[[#This Row],[Discount Cleaned]]))</f>
        <v>3091.6000000000004</v>
      </c>
      <c r="P115" t="str">
        <f t="shared" si="9"/>
        <v>Profit</v>
      </c>
      <c r="Q115" t="str" cm="1">
        <f t="array" ref="Q115">IF(K115="",INDEX($K$2:$K$2501,MATCH(MAX(COUNTIF($K$2:$K$2501,$K$2:$K$2501)),COUNTIF($K$2:$K$2501,$K$2:$K$2501),0)),K115)</f>
        <v>B2C</v>
      </c>
    </row>
    <row r="116" spans="1:17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 s="3">
        <f t="shared" si="5"/>
        <v>3411.66</v>
      </c>
      <c r="I116" s="1">
        <v>45706</v>
      </c>
      <c r="J116" t="s">
        <v>15</v>
      </c>
      <c r="K116" t="s">
        <v>16</v>
      </c>
      <c r="L116" s="2">
        <f t="shared" si="6"/>
        <v>568.61</v>
      </c>
      <c r="M116" s="4">
        <f t="shared" si="7"/>
        <v>0.2</v>
      </c>
      <c r="N116" s="1">
        <f t="shared" si="8"/>
        <v>45706</v>
      </c>
      <c r="O116" s="3">
        <f>(Table13[[#This Row],[Units_Sold]]*Table13[[#This Row],[Unit_Price_Cleaned]]*(1-Table13[[#This Row],[Discount Cleaned]]))</f>
        <v>2729.328</v>
      </c>
      <c r="P116" t="str">
        <f t="shared" si="9"/>
        <v>Profit</v>
      </c>
      <c r="Q116" t="str" cm="1">
        <f t="array" ref="Q116">IF(K116="",INDEX($K$2:$K$2501,MATCH(MAX(COUNTIF($K$2:$K$2501,$K$2:$K$2501)),COUNTIF($K$2:$K$2501,$K$2:$K$2501),0)),K116)</f>
        <v>B2C</v>
      </c>
    </row>
    <row r="117" spans="1:17" x14ac:dyDescent="0.3">
      <c r="A117">
        <v>1115</v>
      </c>
      <c r="B117" t="s">
        <v>168</v>
      </c>
      <c r="C117" t="s">
        <v>29</v>
      </c>
      <c r="D117" t="s">
        <v>30</v>
      </c>
      <c r="E117">
        <v>2</v>
      </c>
      <c r="H117" s="3">
        <f t="shared" si="5"/>
        <v>5235.2780769230776</v>
      </c>
      <c r="I117" s="1">
        <v>45826</v>
      </c>
      <c r="J117" t="s">
        <v>18</v>
      </c>
      <c r="L117" s="2">
        <f t="shared" si="6"/>
        <v>2617.6390384615388</v>
      </c>
      <c r="M117" s="4">
        <f t="shared" si="7"/>
        <v>0.6</v>
      </c>
      <c r="N117" s="1">
        <f t="shared" si="8"/>
        <v>45826</v>
      </c>
      <c r="O117" s="3">
        <f>(Table13[[#This Row],[Units_Sold]]*Table13[[#This Row],[Unit_Price_Cleaned]]*(1-Table13[[#This Row],[Discount Cleaned]]))</f>
        <v>2094.111230769231</v>
      </c>
      <c r="P117" t="str">
        <f t="shared" si="9"/>
        <v>Profit</v>
      </c>
      <c r="Q117" t="str" cm="1">
        <f t="array" ref="Q117">IF(K117="",INDEX($K$2:$K$2501,MATCH(MAX(COUNTIF($K$2:$K$2501,$K$2:$K$2501)),COUNTIF($K$2:$K$2501,$K$2:$K$2501),0)),K117)</f>
        <v>B2B</v>
      </c>
    </row>
    <row r="118" spans="1:17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 s="3">
        <f t="shared" si="5"/>
        <v>2483.5844000000002</v>
      </c>
      <c r="I118" s="1">
        <v>45718</v>
      </c>
      <c r="J118" t="s">
        <v>15</v>
      </c>
      <c r="K118" t="s">
        <v>16</v>
      </c>
      <c r="L118" s="2">
        <f t="shared" si="6"/>
        <v>2483.5844000000002</v>
      </c>
      <c r="M118" s="4">
        <f t="shared" si="7"/>
        <v>0.6</v>
      </c>
      <c r="N118" s="1">
        <f t="shared" si="8"/>
        <v>45718</v>
      </c>
      <c r="O118" s="3">
        <f>(Table13[[#This Row],[Units_Sold]]*Table13[[#This Row],[Unit_Price_Cleaned]]*(1-Table13[[#This Row],[Discount Cleaned]]))</f>
        <v>993.43376000000012</v>
      </c>
      <c r="P118" t="str">
        <f t="shared" si="9"/>
        <v>Profit</v>
      </c>
      <c r="Q118" t="str" cm="1">
        <f t="array" ref="Q118">IF(K118="",INDEX($K$2:$K$2501,MATCH(MAX(COUNTIF($K$2:$K$2501,$K$2:$K$2501)),COUNTIF($K$2:$K$2501,$K$2:$K$2501),0)),K118)</f>
        <v>B2C</v>
      </c>
    </row>
    <row r="119" spans="1:17" x14ac:dyDescent="0.3">
      <c r="A119">
        <v>1117</v>
      </c>
      <c r="B119" t="s">
        <v>170</v>
      </c>
      <c r="C119" t="s">
        <v>20</v>
      </c>
      <c r="D119" t="s">
        <v>21</v>
      </c>
      <c r="E119">
        <v>2</v>
      </c>
      <c r="F119">
        <v>3567.55</v>
      </c>
      <c r="H119" s="3">
        <f t="shared" si="5"/>
        <v>7135.1</v>
      </c>
      <c r="J119" t="s">
        <v>40</v>
      </c>
      <c r="L119" s="2">
        <f t="shared" si="6"/>
        <v>3567.55</v>
      </c>
      <c r="M119" s="4">
        <f t="shared" si="7"/>
        <v>0.6</v>
      </c>
      <c r="N119" s="1">
        <f t="shared" si="8"/>
        <v>45782</v>
      </c>
      <c r="O119" s="3">
        <f>(Table13[[#This Row],[Units_Sold]]*Table13[[#This Row],[Unit_Price_Cleaned]]*(1-Table13[[#This Row],[Discount Cleaned]]))</f>
        <v>2854.0400000000004</v>
      </c>
      <c r="P119" t="str">
        <f t="shared" si="9"/>
        <v>Profit</v>
      </c>
      <c r="Q119" t="str" cm="1">
        <f t="array" ref="Q119">IF(K119="",INDEX($K$2:$K$2501,MATCH(MAX(COUNTIF($K$2:$K$2501,$K$2:$K$2501)),COUNTIF($K$2:$K$2501,$K$2:$K$2501),0)),K119)</f>
        <v>B2B</v>
      </c>
    </row>
    <row r="120" spans="1:17" x14ac:dyDescent="0.3">
      <c r="A120">
        <v>1118</v>
      </c>
      <c r="B120" t="s">
        <v>171</v>
      </c>
      <c r="C120" t="s">
        <v>29</v>
      </c>
      <c r="D120" t="s">
        <v>30</v>
      </c>
      <c r="E120">
        <v>2</v>
      </c>
      <c r="H120" s="3">
        <f t="shared" si="5"/>
        <v>5235.2780769230776</v>
      </c>
      <c r="I120" s="1">
        <v>45778</v>
      </c>
      <c r="J120" t="s">
        <v>40</v>
      </c>
      <c r="K120" t="s">
        <v>16</v>
      </c>
      <c r="L120" s="2">
        <f t="shared" si="6"/>
        <v>2617.6390384615388</v>
      </c>
      <c r="M120" s="4">
        <f t="shared" si="7"/>
        <v>0.6</v>
      </c>
      <c r="N120" s="1">
        <f t="shared" si="8"/>
        <v>45778</v>
      </c>
      <c r="O120" s="3">
        <f>(Table13[[#This Row],[Units_Sold]]*Table13[[#This Row],[Unit_Price_Cleaned]]*(1-Table13[[#This Row],[Discount Cleaned]]))</f>
        <v>2094.111230769231</v>
      </c>
      <c r="P120" t="str">
        <f t="shared" si="9"/>
        <v>Profit</v>
      </c>
      <c r="Q120" t="str" cm="1">
        <f t="array" ref="Q120">IF(K120="",INDEX($K$2:$K$2501,MATCH(MAX(COUNTIF($K$2:$K$2501,$K$2:$K$2501)),COUNTIF($K$2:$K$2501,$K$2:$K$2501),0)),K120)</f>
        <v>B2C</v>
      </c>
    </row>
    <row r="121" spans="1:17" x14ac:dyDescent="0.3">
      <c r="A121">
        <v>1119</v>
      </c>
      <c r="B121" t="s">
        <v>172</v>
      </c>
      <c r="C121" t="s">
        <v>13</v>
      </c>
      <c r="D121" t="s">
        <v>102</v>
      </c>
      <c r="E121">
        <v>2</v>
      </c>
      <c r="H121" s="3">
        <f t="shared" si="5"/>
        <v>5152.6113793103432</v>
      </c>
      <c r="I121" s="1">
        <v>45791</v>
      </c>
      <c r="J121" t="s">
        <v>22</v>
      </c>
      <c r="K121" t="s">
        <v>16</v>
      </c>
      <c r="L121" s="2">
        <f t="shared" si="6"/>
        <v>2576.3056896551716</v>
      </c>
      <c r="M121" s="4">
        <f t="shared" si="7"/>
        <v>0.6</v>
      </c>
      <c r="N121" s="1">
        <f t="shared" si="8"/>
        <v>45791</v>
      </c>
      <c r="O121" s="3">
        <f>(Table13[[#This Row],[Units_Sold]]*Table13[[#This Row],[Unit_Price_Cleaned]]*(1-Table13[[#This Row],[Discount Cleaned]]))</f>
        <v>2061.0445517241374</v>
      </c>
      <c r="P121" t="str">
        <f t="shared" si="9"/>
        <v>Profit</v>
      </c>
      <c r="Q121" t="str" cm="1">
        <f t="array" ref="Q121">IF(K121="",INDEX($K$2:$K$2501,MATCH(MAX(COUNTIF($K$2:$K$2501,$K$2:$K$2501)),COUNTIF($K$2:$K$2501,$K$2:$K$2501),0)),K121)</f>
        <v>B2C</v>
      </c>
    </row>
    <row r="122" spans="1:17" x14ac:dyDescent="0.3">
      <c r="A122">
        <v>1120</v>
      </c>
      <c r="B122" t="s">
        <v>173</v>
      </c>
      <c r="C122" t="s">
        <v>20</v>
      </c>
      <c r="D122" t="s">
        <v>21</v>
      </c>
      <c r="E122">
        <v>2</v>
      </c>
      <c r="F122">
        <v>4709</v>
      </c>
      <c r="H122" s="3">
        <f t="shared" si="5"/>
        <v>9418</v>
      </c>
      <c r="I122" s="1">
        <v>45782</v>
      </c>
      <c r="J122" t="s">
        <v>18</v>
      </c>
      <c r="L122" s="2">
        <f t="shared" si="6"/>
        <v>4709</v>
      </c>
      <c r="M122" s="4">
        <f t="shared" si="7"/>
        <v>0.6</v>
      </c>
      <c r="N122" s="1">
        <f t="shared" si="8"/>
        <v>45782</v>
      </c>
      <c r="O122" s="3">
        <f>(Table13[[#This Row],[Units_Sold]]*Table13[[#This Row],[Unit_Price_Cleaned]]*(1-Table13[[#This Row],[Discount Cleaned]]))</f>
        <v>3767.2000000000003</v>
      </c>
      <c r="P122" t="str">
        <f t="shared" si="9"/>
        <v>Profit</v>
      </c>
      <c r="Q122" t="str" cm="1">
        <f t="array" ref="Q122">IF(K122="",INDEX($K$2:$K$2501,MATCH(MAX(COUNTIF($K$2:$K$2501,$K$2:$K$2501)),COUNTIF($K$2:$K$2501,$K$2:$K$2501),0)),K122)</f>
        <v>B2B</v>
      </c>
    </row>
    <row r="123" spans="1:17" x14ac:dyDescent="0.3">
      <c r="A123">
        <v>1121</v>
      </c>
      <c r="B123" t="s">
        <v>174</v>
      </c>
      <c r="C123" t="s">
        <v>25</v>
      </c>
      <c r="D123" t="s">
        <v>86</v>
      </c>
      <c r="E123">
        <v>2</v>
      </c>
      <c r="F123">
        <v>4109.6000000000004</v>
      </c>
      <c r="G123">
        <v>0.42</v>
      </c>
      <c r="H123" s="3">
        <f t="shared" si="5"/>
        <v>8219.2000000000007</v>
      </c>
      <c r="J123" t="s">
        <v>46</v>
      </c>
      <c r="K123" t="s">
        <v>16</v>
      </c>
      <c r="L123" s="2">
        <f t="shared" si="6"/>
        <v>4109.6000000000004</v>
      </c>
      <c r="M123" s="4">
        <f t="shared" si="7"/>
        <v>0.42</v>
      </c>
      <c r="N123" s="1">
        <f t="shared" si="8"/>
        <v>45782</v>
      </c>
      <c r="O123" s="3">
        <f>(Table13[[#This Row],[Units_Sold]]*Table13[[#This Row],[Unit_Price_Cleaned]]*(1-Table13[[#This Row],[Discount Cleaned]]))</f>
        <v>4767.1360000000013</v>
      </c>
      <c r="P123" t="str">
        <f t="shared" si="9"/>
        <v>Profit</v>
      </c>
      <c r="Q123" t="str" cm="1">
        <f t="array" ref="Q123">IF(K123="",INDEX($K$2:$K$2501,MATCH(MAX(COUNTIF($K$2:$K$2501,$K$2:$K$2501)),COUNTIF($K$2:$K$2501,$K$2:$K$2501),0)),K123)</f>
        <v>B2C</v>
      </c>
    </row>
    <row r="124" spans="1:17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 s="3">
        <f t="shared" si="5"/>
        <v>0</v>
      </c>
      <c r="J124" t="s">
        <v>22</v>
      </c>
      <c r="K124" t="s">
        <v>16</v>
      </c>
      <c r="L124" s="2">
        <f t="shared" si="6"/>
        <v>4745.03</v>
      </c>
      <c r="M124" s="4">
        <f t="shared" si="7"/>
        <v>0.4</v>
      </c>
      <c r="N124" s="1">
        <f t="shared" si="8"/>
        <v>45782</v>
      </c>
      <c r="O124" s="3">
        <f>(Table13[[#This Row],[Units_Sold]]*Table13[[#This Row],[Unit_Price_Cleaned]]*(1-Table13[[#This Row],[Discount Cleaned]]))</f>
        <v>0</v>
      </c>
      <c r="P124" t="str">
        <f t="shared" si="9"/>
        <v>Loss</v>
      </c>
      <c r="Q124" t="str" cm="1">
        <f t="array" ref="Q124">IF(K124="",INDEX($K$2:$K$2501,MATCH(MAX(COUNTIF($K$2:$K$2501,$K$2:$K$2501)),COUNTIF($K$2:$K$2501,$K$2:$K$2501),0)),K124)</f>
        <v>B2C</v>
      </c>
    </row>
    <row r="125" spans="1:17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 s="3">
        <f t="shared" si="5"/>
        <v>19893.800000000003</v>
      </c>
      <c r="I125" s="1">
        <v>45393</v>
      </c>
      <c r="J125" t="s">
        <v>18</v>
      </c>
      <c r="L125" s="2">
        <f t="shared" si="6"/>
        <v>3978.76</v>
      </c>
      <c r="M125" s="4">
        <f t="shared" si="7"/>
        <v>0.6</v>
      </c>
      <c r="N125" s="1">
        <f t="shared" si="8"/>
        <v>45393</v>
      </c>
      <c r="O125" s="3">
        <f>(Table13[[#This Row],[Units_Sold]]*Table13[[#This Row],[Unit_Price_Cleaned]]*(1-Table13[[#This Row],[Discount Cleaned]]))</f>
        <v>7957.5200000000013</v>
      </c>
      <c r="P125" t="str">
        <f t="shared" si="9"/>
        <v>Profit</v>
      </c>
      <c r="Q125" t="str" cm="1">
        <f t="array" ref="Q125">IF(K125="",INDEX($K$2:$K$2501,MATCH(MAX(COUNTIF($K$2:$K$2501,$K$2:$K$2501)),COUNTIF($K$2:$K$2501,$K$2:$K$2501),0)),K125)</f>
        <v>B2B</v>
      </c>
    </row>
    <row r="126" spans="1:17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 s="3">
        <f t="shared" si="5"/>
        <v>2681.1743636363635</v>
      </c>
      <c r="I126" s="1">
        <v>45657</v>
      </c>
      <c r="J126" t="s">
        <v>18</v>
      </c>
      <c r="K126" t="s">
        <v>23</v>
      </c>
      <c r="L126" s="2">
        <f t="shared" si="6"/>
        <v>2681.1743636363635</v>
      </c>
      <c r="M126" s="4">
        <f t="shared" si="7"/>
        <v>0.6</v>
      </c>
      <c r="N126" s="1">
        <f t="shared" si="8"/>
        <v>45657</v>
      </c>
      <c r="O126" s="3">
        <f>(Table13[[#This Row],[Units_Sold]]*Table13[[#This Row],[Unit_Price_Cleaned]]*(1-Table13[[#This Row],[Discount Cleaned]]))</f>
        <v>1072.4697454545455</v>
      </c>
      <c r="P126" t="str">
        <f t="shared" si="9"/>
        <v>Profit</v>
      </c>
      <c r="Q126" t="str" cm="1">
        <f t="array" ref="Q126">IF(K126="",INDEX($K$2:$K$2501,MATCH(MAX(COUNTIF($K$2:$K$2501,$K$2:$K$2501)),COUNTIF($K$2:$K$2501,$K$2:$K$2501),0)),K126)</f>
        <v>B2B</v>
      </c>
    </row>
    <row r="127" spans="1:17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 s="3">
        <f t="shared" si="5"/>
        <v>-5003.0619999999999</v>
      </c>
      <c r="J127" t="s">
        <v>15</v>
      </c>
      <c r="L127" s="2">
        <f t="shared" si="6"/>
        <v>2501.5309999999999</v>
      </c>
      <c r="M127" s="4">
        <f t="shared" si="7"/>
        <v>0.6</v>
      </c>
      <c r="N127" s="1">
        <f t="shared" si="8"/>
        <v>45782</v>
      </c>
      <c r="O127" s="3">
        <f>(Table13[[#This Row],[Units_Sold]]*Table13[[#This Row],[Unit_Price_Cleaned]]*(1-Table13[[#This Row],[Discount Cleaned]]))</f>
        <v>-2001.2248</v>
      </c>
      <c r="P127" t="str">
        <f t="shared" si="9"/>
        <v>Loss</v>
      </c>
      <c r="Q127" t="str" cm="1">
        <f t="array" ref="Q127">IF(K127="",INDEX($K$2:$K$2501,MATCH(MAX(COUNTIF($K$2:$K$2501,$K$2:$K$2501)),COUNTIF($K$2:$K$2501,$K$2:$K$2501),0)),K127)</f>
        <v>B2B</v>
      </c>
    </row>
    <row r="128" spans="1:17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 s="3">
        <f t="shared" si="5"/>
        <v>5765.0093103448271</v>
      </c>
      <c r="J128" t="s">
        <v>46</v>
      </c>
      <c r="K128" t="s">
        <v>16</v>
      </c>
      <c r="L128" s="2">
        <f t="shared" si="6"/>
        <v>2882.5046551724135</v>
      </c>
      <c r="M128" s="4">
        <f t="shared" si="7"/>
        <v>0.59</v>
      </c>
      <c r="N128" s="1">
        <f t="shared" si="8"/>
        <v>45782</v>
      </c>
      <c r="O128" s="3">
        <f>(Table13[[#This Row],[Units_Sold]]*Table13[[#This Row],[Unit_Price_Cleaned]]*(1-Table13[[#This Row],[Discount Cleaned]]))</f>
        <v>2363.6538172413793</v>
      </c>
      <c r="P128" t="str">
        <f t="shared" si="9"/>
        <v>Profit</v>
      </c>
      <c r="Q128" t="str" cm="1">
        <f t="array" ref="Q128">IF(K128="",INDEX($K$2:$K$2501,MATCH(MAX(COUNTIF($K$2:$K$2501,$K$2:$K$2501)),COUNTIF($K$2:$K$2501,$K$2:$K$2501),0)),K128)</f>
        <v>B2C</v>
      </c>
    </row>
    <row r="129" spans="1:17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 s="3">
        <f t="shared" si="5"/>
        <v>14530.32</v>
      </c>
      <c r="I129" s="1">
        <v>45511</v>
      </c>
      <c r="J129" t="s">
        <v>18</v>
      </c>
      <c r="K129" t="s">
        <v>23</v>
      </c>
      <c r="L129" s="2">
        <f t="shared" si="6"/>
        <v>4843.4399999999996</v>
      </c>
      <c r="M129" s="4">
        <f t="shared" si="7"/>
        <v>7.0000000000000007E-2</v>
      </c>
      <c r="N129" s="1">
        <f t="shared" si="8"/>
        <v>45511</v>
      </c>
      <c r="O129" s="3">
        <f>(Table13[[#This Row],[Units_Sold]]*Table13[[#This Row],[Unit_Price_Cleaned]]*(1-Table13[[#This Row],[Discount Cleaned]]))</f>
        <v>13513.1976</v>
      </c>
      <c r="P129" t="str">
        <f t="shared" si="9"/>
        <v>Profit</v>
      </c>
      <c r="Q129" t="str" cm="1">
        <f t="array" ref="Q129">IF(K129="",INDEX($K$2:$K$2501,MATCH(MAX(COUNTIF($K$2:$K$2501,$K$2:$K$2501)),COUNTIF($K$2:$K$2501,$K$2:$K$2501),0)),K129)</f>
        <v>B2B</v>
      </c>
    </row>
    <row r="130" spans="1:17" x14ac:dyDescent="0.3">
      <c r="A130">
        <v>1128</v>
      </c>
      <c r="B130" t="s">
        <v>181</v>
      </c>
      <c r="C130" t="s">
        <v>33</v>
      </c>
      <c r="D130" t="s">
        <v>44</v>
      </c>
      <c r="E130">
        <v>2</v>
      </c>
      <c r="G130">
        <v>0.43</v>
      </c>
      <c r="H130" s="3">
        <f t="shared" ref="H130:H193" si="10">(L130*E130)</f>
        <v>5683.5261224489814</v>
      </c>
      <c r="J130" t="s">
        <v>56</v>
      </c>
      <c r="L130" s="2">
        <f t="shared" ref="L130:L193" si="11">IF(F130="",AVERAGEIF($D$2:$D$2501,D130,$F$2:$F$2501),F130)</f>
        <v>2841.7630612244907</v>
      </c>
      <c r="M130" s="4">
        <f t="shared" ref="M130:M193" si="12">IF(G130="",MEDIAN($G$2,$G$2501),G130)</f>
        <v>0.43</v>
      </c>
      <c r="N130" s="1">
        <f t="shared" ref="N130:N193" si="13">IF(I130="",MODE($I$32:$I$2501),I130)</f>
        <v>45782</v>
      </c>
      <c r="O130" s="3">
        <f>(Table13[[#This Row],[Units_Sold]]*Table13[[#This Row],[Unit_Price_Cleaned]]*(1-Table13[[#This Row],[Discount Cleaned]]))</f>
        <v>3239.6098897959196</v>
      </c>
      <c r="P130" t="str">
        <f t="shared" ref="P130:P193" si="14">IF(O130&gt;500,"Profit","Loss")</f>
        <v>Profit</v>
      </c>
      <c r="Q130" t="str" cm="1">
        <f t="array" ref="Q130">IF(K130="",INDEX($K$2:$K$2501,MATCH(MAX(COUNTIF($K$2:$K$2501,$K$2:$K$2501)),COUNTIF($K$2:$K$2501,$K$2:$K$2501),0)),K130)</f>
        <v>B2B</v>
      </c>
    </row>
    <row r="131" spans="1:17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 s="3">
        <f t="shared" si="10"/>
        <v>-4824.72</v>
      </c>
      <c r="I131" s="1">
        <v>45835</v>
      </c>
      <c r="J131" t="s">
        <v>22</v>
      </c>
      <c r="K131" t="s">
        <v>16</v>
      </c>
      <c r="L131" s="2">
        <f t="shared" si="11"/>
        <v>2412.36</v>
      </c>
      <c r="M131" s="4">
        <f t="shared" si="12"/>
        <v>0.23</v>
      </c>
      <c r="N131" s="1">
        <f t="shared" si="13"/>
        <v>45835</v>
      </c>
      <c r="O131" s="3">
        <f>(Table13[[#This Row],[Units_Sold]]*Table13[[#This Row],[Unit_Price_Cleaned]]*(1-Table13[[#This Row],[Discount Cleaned]]))</f>
        <v>-3715.0344000000005</v>
      </c>
      <c r="P131" t="str">
        <f t="shared" si="14"/>
        <v>Loss</v>
      </c>
      <c r="Q131" t="str" cm="1">
        <f t="array" ref="Q131">IF(K131="",INDEX($K$2:$K$2501,MATCH(MAX(COUNTIF($K$2:$K$2501,$K$2:$K$2501)),COUNTIF($K$2:$K$2501,$K$2:$K$2501),0)),K131)</f>
        <v>B2C</v>
      </c>
    </row>
    <row r="132" spans="1:17" x14ac:dyDescent="0.3">
      <c r="A132">
        <v>1130</v>
      </c>
      <c r="B132" t="s">
        <v>32</v>
      </c>
      <c r="C132" t="s">
        <v>29</v>
      </c>
      <c r="D132" t="s">
        <v>42</v>
      </c>
      <c r="E132">
        <v>2</v>
      </c>
      <c r="H132" s="3">
        <f t="shared" si="10"/>
        <v>5119.3334615384629</v>
      </c>
      <c r="J132" t="s">
        <v>15</v>
      </c>
      <c r="K132" t="s">
        <v>23</v>
      </c>
      <c r="L132" s="2">
        <f t="shared" si="11"/>
        <v>2559.6667307692314</v>
      </c>
      <c r="M132" s="4">
        <f t="shared" si="12"/>
        <v>0.6</v>
      </c>
      <c r="N132" s="1">
        <f t="shared" si="13"/>
        <v>45782</v>
      </c>
      <c r="O132" s="3">
        <f>(Table13[[#This Row],[Units_Sold]]*Table13[[#This Row],[Unit_Price_Cleaned]]*(1-Table13[[#This Row],[Discount Cleaned]]))</f>
        <v>2047.7333846153851</v>
      </c>
      <c r="P132" t="str">
        <f t="shared" si="14"/>
        <v>Profit</v>
      </c>
      <c r="Q132" t="str" cm="1">
        <f t="array" ref="Q132">IF(K132="",INDEX($K$2:$K$2501,MATCH(MAX(COUNTIF($K$2:$K$2501,$K$2:$K$2501)),COUNTIF($K$2:$K$2501,$K$2:$K$2501),0)),K132)</f>
        <v>B2B</v>
      </c>
    </row>
    <row r="133" spans="1:17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 s="3">
        <f t="shared" si="10"/>
        <v>13577.729245283012</v>
      </c>
      <c r="I133" s="1">
        <v>45675</v>
      </c>
      <c r="J133" t="s">
        <v>15</v>
      </c>
      <c r="L133" s="2">
        <f t="shared" si="11"/>
        <v>2715.5458490566025</v>
      </c>
      <c r="M133" s="4">
        <f t="shared" si="12"/>
        <v>0.99</v>
      </c>
      <c r="N133" s="1">
        <f t="shared" si="13"/>
        <v>45675</v>
      </c>
      <c r="O133" s="3">
        <f>(Table13[[#This Row],[Units_Sold]]*Table13[[#This Row],[Unit_Price_Cleaned]]*(1-Table13[[#This Row],[Discount Cleaned]]))</f>
        <v>135.77729245283024</v>
      </c>
      <c r="P133" t="str">
        <f t="shared" si="14"/>
        <v>Loss</v>
      </c>
      <c r="Q133" t="str" cm="1">
        <f t="array" ref="Q133">IF(K133="",INDEX($K$2:$K$2501,MATCH(MAX(COUNTIF($K$2:$K$2501,$K$2:$K$2501)),COUNTIF($K$2:$K$2501,$K$2:$K$2501),0)),K133)</f>
        <v>B2B</v>
      </c>
    </row>
    <row r="134" spans="1:17" x14ac:dyDescent="0.3">
      <c r="A134">
        <v>1132</v>
      </c>
      <c r="B134" t="s">
        <v>184</v>
      </c>
      <c r="C134" t="s">
        <v>20</v>
      </c>
      <c r="D134" t="s">
        <v>80</v>
      </c>
      <c r="E134">
        <v>2</v>
      </c>
      <c r="G134">
        <v>0.57999999999999996</v>
      </c>
      <c r="H134" s="3">
        <f t="shared" si="10"/>
        <v>4967.1688000000004</v>
      </c>
      <c r="J134" t="s">
        <v>15</v>
      </c>
      <c r="K134" t="s">
        <v>23</v>
      </c>
      <c r="L134" s="2">
        <f t="shared" si="11"/>
        <v>2483.5844000000002</v>
      </c>
      <c r="M134" s="4">
        <f t="shared" si="12"/>
        <v>0.57999999999999996</v>
      </c>
      <c r="N134" s="1">
        <f t="shared" si="13"/>
        <v>45782</v>
      </c>
      <c r="O134" s="3">
        <f>(Table13[[#This Row],[Units_Sold]]*Table13[[#This Row],[Unit_Price_Cleaned]]*(1-Table13[[#This Row],[Discount Cleaned]]))</f>
        <v>2086.2108960000005</v>
      </c>
      <c r="P134" t="str">
        <f t="shared" si="14"/>
        <v>Profit</v>
      </c>
      <c r="Q134" t="str" cm="1">
        <f t="array" ref="Q134">IF(K134="",INDEX($K$2:$K$2501,MATCH(MAX(COUNTIF($K$2:$K$2501,$K$2:$K$2501)),COUNTIF($K$2:$K$2501,$K$2:$K$2501),0)),K134)</f>
        <v>B2B</v>
      </c>
    </row>
    <row r="135" spans="1:17" x14ac:dyDescent="0.3">
      <c r="A135">
        <v>1133</v>
      </c>
      <c r="B135" t="s">
        <v>185</v>
      </c>
      <c r="C135" t="s">
        <v>38</v>
      </c>
      <c r="D135" t="s">
        <v>39</v>
      </c>
      <c r="E135">
        <v>2</v>
      </c>
      <c r="G135">
        <v>0.6</v>
      </c>
      <c r="H135" s="3">
        <f t="shared" si="10"/>
        <v>6016.7688888888888</v>
      </c>
      <c r="J135" t="s">
        <v>18</v>
      </c>
      <c r="L135" s="2">
        <f t="shared" si="11"/>
        <v>3008.3844444444444</v>
      </c>
      <c r="M135" s="4">
        <f t="shared" si="12"/>
        <v>0.6</v>
      </c>
      <c r="N135" s="1">
        <f t="shared" si="13"/>
        <v>45782</v>
      </c>
      <c r="O135" s="3">
        <f>(Table13[[#This Row],[Units_Sold]]*Table13[[#This Row],[Unit_Price_Cleaned]]*(1-Table13[[#This Row],[Discount Cleaned]]))</f>
        <v>2406.7075555555557</v>
      </c>
      <c r="P135" t="str">
        <f t="shared" si="14"/>
        <v>Profit</v>
      </c>
      <c r="Q135" t="str" cm="1">
        <f t="array" ref="Q135">IF(K135="",INDEX($K$2:$K$2501,MATCH(MAX(COUNTIF($K$2:$K$2501,$K$2:$K$2501)),COUNTIF($K$2:$K$2501,$K$2:$K$2501),0)),K135)</f>
        <v>B2B</v>
      </c>
    </row>
    <row r="136" spans="1:17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 s="3">
        <f t="shared" si="10"/>
        <v>8535.7259016393473</v>
      </c>
      <c r="I136" s="1">
        <v>45791</v>
      </c>
      <c r="J136" t="s">
        <v>15</v>
      </c>
      <c r="K136" t="s">
        <v>16</v>
      </c>
      <c r="L136" s="2">
        <f t="shared" si="11"/>
        <v>2845.2419672131159</v>
      </c>
      <c r="M136" s="4">
        <f t="shared" si="12"/>
        <v>0.6</v>
      </c>
      <c r="N136" s="1">
        <f t="shared" si="13"/>
        <v>45791</v>
      </c>
      <c r="O136" s="3">
        <f>(Table13[[#This Row],[Units_Sold]]*Table13[[#This Row],[Unit_Price_Cleaned]]*(1-Table13[[#This Row],[Discount Cleaned]]))</f>
        <v>3414.2903606557393</v>
      </c>
      <c r="P136" t="str">
        <f t="shared" si="14"/>
        <v>Profit</v>
      </c>
      <c r="Q136" t="str" cm="1">
        <f t="array" ref="Q136">IF(K136="",INDEX($K$2:$K$2501,MATCH(MAX(COUNTIF($K$2:$K$2501,$K$2:$K$2501)),COUNTIF($K$2:$K$2501,$K$2:$K$2501),0)),K136)</f>
        <v>B2C</v>
      </c>
    </row>
    <row r="137" spans="1:17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 s="3">
        <f t="shared" si="10"/>
        <v>6227.84</v>
      </c>
      <c r="I137" s="1">
        <v>45588</v>
      </c>
      <c r="J137" t="s">
        <v>22</v>
      </c>
      <c r="K137" t="s">
        <v>23</v>
      </c>
      <c r="L137" s="2">
        <f t="shared" si="11"/>
        <v>1556.96</v>
      </c>
      <c r="M137" s="4">
        <f t="shared" si="12"/>
        <v>0.84</v>
      </c>
      <c r="N137" s="1">
        <f t="shared" si="13"/>
        <v>45588</v>
      </c>
      <c r="O137" s="3">
        <f>(Table13[[#This Row],[Units_Sold]]*Table13[[#This Row],[Unit_Price_Cleaned]]*(1-Table13[[#This Row],[Discount Cleaned]]))</f>
        <v>996.45440000000019</v>
      </c>
      <c r="P137" t="str">
        <f t="shared" si="14"/>
        <v>Profit</v>
      </c>
      <c r="Q137" t="str" cm="1">
        <f t="array" ref="Q137">IF(K137="",INDEX($K$2:$K$2501,MATCH(MAX(COUNTIF($K$2:$K$2501,$K$2:$K$2501)),COUNTIF($K$2:$K$2501,$K$2:$K$2501),0)),K137)</f>
        <v>B2B</v>
      </c>
    </row>
    <row r="138" spans="1:17" x14ac:dyDescent="0.3">
      <c r="A138">
        <v>1136</v>
      </c>
      <c r="B138" t="s">
        <v>188</v>
      </c>
      <c r="C138" t="s">
        <v>13</v>
      </c>
      <c r="D138" t="s">
        <v>49</v>
      </c>
      <c r="E138">
        <v>2</v>
      </c>
      <c r="F138">
        <v>3658.42</v>
      </c>
      <c r="G138">
        <v>0.47</v>
      </c>
      <c r="H138" s="3">
        <f t="shared" si="10"/>
        <v>7316.84</v>
      </c>
      <c r="I138" s="1">
        <v>45318</v>
      </c>
      <c r="J138" t="s">
        <v>22</v>
      </c>
      <c r="L138" s="2">
        <f t="shared" si="11"/>
        <v>3658.42</v>
      </c>
      <c r="M138" s="4">
        <f t="shared" si="12"/>
        <v>0.47</v>
      </c>
      <c r="N138" s="1">
        <f t="shared" si="13"/>
        <v>45318</v>
      </c>
      <c r="O138" s="3">
        <f>(Table13[[#This Row],[Units_Sold]]*Table13[[#This Row],[Unit_Price_Cleaned]]*(1-Table13[[#This Row],[Discount Cleaned]]))</f>
        <v>3877.9252000000001</v>
      </c>
      <c r="P138" t="str">
        <f t="shared" si="14"/>
        <v>Profit</v>
      </c>
      <c r="Q138" t="str" cm="1">
        <f t="array" ref="Q138">IF(K138="",INDEX($K$2:$K$2501,MATCH(MAX(COUNTIF($K$2:$K$2501,$K$2:$K$2501)),COUNTIF($K$2:$K$2501,$K$2:$K$2501),0)),K138)</f>
        <v>B2B</v>
      </c>
    </row>
    <row r="139" spans="1:17" x14ac:dyDescent="0.3">
      <c r="A139">
        <v>1137</v>
      </c>
      <c r="B139" t="s">
        <v>189</v>
      </c>
      <c r="C139" t="s">
        <v>25</v>
      </c>
      <c r="D139" t="s">
        <v>54</v>
      </c>
      <c r="E139">
        <v>2</v>
      </c>
      <c r="F139">
        <v>4206.0600000000004</v>
      </c>
      <c r="H139" s="3">
        <f t="shared" si="10"/>
        <v>8412.1200000000008</v>
      </c>
      <c r="I139" s="1">
        <v>45770</v>
      </c>
      <c r="J139" t="s">
        <v>15</v>
      </c>
      <c r="K139" t="s">
        <v>23</v>
      </c>
      <c r="L139" s="2">
        <f t="shared" si="11"/>
        <v>4206.0600000000004</v>
      </c>
      <c r="M139" s="4">
        <f t="shared" si="12"/>
        <v>0.6</v>
      </c>
      <c r="N139" s="1">
        <f t="shared" si="13"/>
        <v>45770</v>
      </c>
      <c r="O139" s="3">
        <f>(Table13[[#This Row],[Units_Sold]]*Table13[[#This Row],[Unit_Price_Cleaned]]*(1-Table13[[#This Row],[Discount Cleaned]]))</f>
        <v>3364.8480000000004</v>
      </c>
      <c r="P139" t="str">
        <f t="shared" si="14"/>
        <v>Profit</v>
      </c>
      <c r="Q139" t="str" cm="1">
        <f t="array" ref="Q139">IF(K139="",INDEX($K$2:$K$2501,MATCH(MAX(COUNTIF($K$2:$K$2501,$K$2:$K$2501)),COUNTIF($K$2:$K$2501,$K$2:$K$2501),0)),K139)</f>
        <v>B2B</v>
      </c>
    </row>
    <row r="140" spans="1:17" x14ac:dyDescent="0.3">
      <c r="A140">
        <v>1138</v>
      </c>
      <c r="B140" t="s">
        <v>190</v>
      </c>
      <c r="C140" t="s">
        <v>38</v>
      </c>
      <c r="D140" t="s">
        <v>91</v>
      </c>
      <c r="E140">
        <v>2</v>
      </c>
      <c r="G140">
        <v>0.26</v>
      </c>
      <c r="H140" s="3">
        <f t="shared" si="10"/>
        <v>5737.5536363636356</v>
      </c>
      <c r="J140" t="s">
        <v>56</v>
      </c>
      <c r="K140" t="s">
        <v>16</v>
      </c>
      <c r="L140" s="2">
        <f t="shared" si="11"/>
        <v>2868.7768181818178</v>
      </c>
      <c r="M140" s="4">
        <f t="shared" si="12"/>
        <v>0.26</v>
      </c>
      <c r="N140" s="1">
        <f t="shared" si="13"/>
        <v>45782</v>
      </c>
      <c r="O140" s="3">
        <f>(Table13[[#This Row],[Units_Sold]]*Table13[[#This Row],[Unit_Price_Cleaned]]*(1-Table13[[#This Row],[Discount Cleaned]]))</f>
        <v>4245.7896909090905</v>
      </c>
      <c r="P140" t="str">
        <f t="shared" si="14"/>
        <v>Profit</v>
      </c>
      <c r="Q140" t="str" cm="1">
        <f t="array" ref="Q140">IF(K140="",INDEX($K$2:$K$2501,MATCH(MAX(COUNTIF($K$2:$K$2501,$K$2:$K$2501)),COUNTIF($K$2:$K$2501,$K$2:$K$2501),0)),K140)</f>
        <v>B2C</v>
      </c>
    </row>
    <row r="141" spans="1:17" x14ac:dyDescent="0.3">
      <c r="A141">
        <v>1139</v>
      </c>
      <c r="B141" t="s">
        <v>191</v>
      </c>
      <c r="C141" t="s">
        <v>33</v>
      </c>
      <c r="D141" t="s">
        <v>82</v>
      </c>
      <c r="E141">
        <v>2</v>
      </c>
      <c r="G141">
        <v>0.21</v>
      </c>
      <c r="H141" s="3">
        <f t="shared" si="10"/>
        <v>5552.4404000000004</v>
      </c>
      <c r="I141" s="1">
        <v>45593</v>
      </c>
      <c r="J141" t="s">
        <v>40</v>
      </c>
      <c r="L141" s="2">
        <f t="shared" si="11"/>
        <v>2776.2202000000002</v>
      </c>
      <c r="M141" s="4">
        <f t="shared" si="12"/>
        <v>0.21</v>
      </c>
      <c r="N141" s="1">
        <f t="shared" si="13"/>
        <v>45593</v>
      </c>
      <c r="O141" s="3">
        <f>(Table13[[#This Row],[Units_Sold]]*Table13[[#This Row],[Unit_Price_Cleaned]]*(1-Table13[[#This Row],[Discount Cleaned]]))</f>
        <v>4386.4279160000006</v>
      </c>
      <c r="P141" t="str">
        <f t="shared" si="14"/>
        <v>Profit</v>
      </c>
      <c r="Q141" t="str" cm="1">
        <f t="array" ref="Q141">IF(K141="",INDEX($K$2:$K$2501,MATCH(MAX(COUNTIF($K$2:$K$2501,$K$2:$K$2501)),COUNTIF($K$2:$K$2501,$K$2:$K$2501),0)),K141)</f>
        <v>B2B</v>
      </c>
    </row>
    <row r="142" spans="1:17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 s="3">
        <f t="shared" si="10"/>
        <v>10470.556153846155</v>
      </c>
      <c r="I142" s="1">
        <v>45517</v>
      </c>
      <c r="J142" t="s">
        <v>56</v>
      </c>
      <c r="K142" t="s">
        <v>23</v>
      </c>
      <c r="L142" s="2">
        <f t="shared" si="11"/>
        <v>2617.6390384615388</v>
      </c>
      <c r="M142" s="4">
        <f t="shared" si="12"/>
        <v>0.6</v>
      </c>
      <c r="N142" s="1">
        <f t="shared" si="13"/>
        <v>45517</v>
      </c>
      <c r="O142" s="3">
        <f>(Table13[[#This Row],[Units_Sold]]*Table13[[#This Row],[Unit_Price_Cleaned]]*(1-Table13[[#This Row],[Discount Cleaned]]))</f>
        <v>4188.2224615384621</v>
      </c>
      <c r="P142" t="str">
        <f t="shared" si="14"/>
        <v>Profit</v>
      </c>
      <c r="Q142" t="str" cm="1">
        <f t="array" ref="Q142">IF(K142="",INDEX($K$2:$K$2501,MATCH(MAX(COUNTIF($K$2:$K$2501,$K$2:$K$2501)),COUNTIF($K$2:$K$2501,$K$2:$K$2501),0)),K142)</f>
        <v>B2B</v>
      </c>
    </row>
    <row r="143" spans="1:17" x14ac:dyDescent="0.3">
      <c r="A143">
        <v>1141</v>
      </c>
      <c r="B143" t="s">
        <v>193</v>
      </c>
      <c r="C143" t="s">
        <v>33</v>
      </c>
      <c r="D143" t="s">
        <v>82</v>
      </c>
      <c r="E143">
        <v>2</v>
      </c>
      <c r="G143">
        <v>1.1499999999999999</v>
      </c>
      <c r="H143" s="3">
        <f t="shared" si="10"/>
        <v>5552.4404000000004</v>
      </c>
      <c r="I143" s="1">
        <v>45401</v>
      </c>
      <c r="J143" t="s">
        <v>15</v>
      </c>
      <c r="K143" t="s">
        <v>16</v>
      </c>
      <c r="L143" s="2">
        <f t="shared" si="11"/>
        <v>2776.2202000000002</v>
      </c>
      <c r="M143" s="4">
        <f t="shared" si="12"/>
        <v>1.1499999999999999</v>
      </c>
      <c r="N143" s="1">
        <f t="shared" si="13"/>
        <v>45401</v>
      </c>
      <c r="O143" s="3">
        <f>(Table13[[#This Row],[Units_Sold]]*Table13[[#This Row],[Unit_Price_Cleaned]]*(1-Table13[[#This Row],[Discount Cleaned]]))</f>
        <v>-832.86605999999961</v>
      </c>
      <c r="P143" t="str">
        <f t="shared" si="14"/>
        <v>Loss</v>
      </c>
      <c r="Q143" t="str" cm="1">
        <f t="array" ref="Q143">IF(K143="",INDEX($K$2:$K$2501,MATCH(MAX(COUNTIF($K$2:$K$2501,$K$2:$K$2501)),COUNTIF($K$2:$K$2501,$K$2:$K$2501),0)),K143)</f>
        <v>B2C</v>
      </c>
    </row>
    <row r="144" spans="1:17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 s="3">
        <f t="shared" si="10"/>
        <v>18027.48</v>
      </c>
      <c r="I144" s="1">
        <v>45344</v>
      </c>
      <c r="J144" t="s">
        <v>56</v>
      </c>
      <c r="K144" t="s">
        <v>16</v>
      </c>
      <c r="L144" s="2">
        <f t="shared" si="11"/>
        <v>3004.58</v>
      </c>
      <c r="M144" s="4">
        <f t="shared" si="12"/>
        <v>0.6</v>
      </c>
      <c r="N144" s="1">
        <f t="shared" si="13"/>
        <v>45344</v>
      </c>
      <c r="O144" s="3">
        <f>(Table13[[#This Row],[Units_Sold]]*Table13[[#This Row],[Unit_Price_Cleaned]]*(1-Table13[[#This Row],[Discount Cleaned]]))</f>
        <v>7210.9920000000002</v>
      </c>
      <c r="P144" t="str">
        <f t="shared" si="14"/>
        <v>Profit</v>
      </c>
      <c r="Q144" t="str" cm="1">
        <f t="array" ref="Q144">IF(K144="",INDEX($K$2:$K$2501,MATCH(MAX(COUNTIF($K$2:$K$2501,$K$2:$K$2501)),COUNTIF($K$2:$K$2501,$K$2:$K$2501),0)),K144)</f>
        <v>B2C</v>
      </c>
    </row>
    <row r="145" spans="1:17" x14ac:dyDescent="0.3">
      <c r="A145">
        <v>1143</v>
      </c>
      <c r="B145" t="s">
        <v>195</v>
      </c>
      <c r="C145" t="s">
        <v>20</v>
      </c>
      <c r="D145" t="s">
        <v>88</v>
      </c>
      <c r="E145">
        <v>2</v>
      </c>
      <c r="H145" s="3">
        <f t="shared" si="10"/>
        <v>5451.7114285714297</v>
      </c>
      <c r="I145" s="1">
        <v>45782</v>
      </c>
      <c r="J145" t="s">
        <v>40</v>
      </c>
      <c r="L145" s="2">
        <f t="shared" si="11"/>
        <v>2725.8557142857148</v>
      </c>
      <c r="M145" s="4">
        <f t="shared" si="12"/>
        <v>0.6</v>
      </c>
      <c r="N145" s="1">
        <f t="shared" si="13"/>
        <v>45782</v>
      </c>
      <c r="O145" s="3">
        <f>(Table13[[#This Row],[Units_Sold]]*Table13[[#This Row],[Unit_Price_Cleaned]]*(1-Table13[[#This Row],[Discount Cleaned]]))</f>
        <v>2180.6845714285719</v>
      </c>
      <c r="P145" t="str">
        <f t="shared" si="14"/>
        <v>Profit</v>
      </c>
      <c r="Q145" t="str" cm="1">
        <f t="array" ref="Q145">IF(K145="",INDEX($K$2:$K$2501,MATCH(MAX(COUNTIF($K$2:$K$2501,$K$2:$K$2501)),COUNTIF($K$2:$K$2501,$K$2:$K$2501),0)),K145)</f>
        <v>B2B</v>
      </c>
    </row>
    <row r="146" spans="1:17" x14ac:dyDescent="0.3">
      <c r="A146">
        <v>1144</v>
      </c>
      <c r="B146" t="s">
        <v>196</v>
      </c>
      <c r="C146" t="s">
        <v>13</v>
      </c>
      <c r="D146" t="s">
        <v>14</v>
      </c>
      <c r="E146">
        <v>2</v>
      </c>
      <c r="G146">
        <v>0.19</v>
      </c>
      <c r="H146" s="3">
        <f t="shared" si="10"/>
        <v>4762.5355172413792</v>
      </c>
      <c r="J146" t="s">
        <v>22</v>
      </c>
      <c r="K146" t="s">
        <v>16</v>
      </c>
      <c r="L146" s="2">
        <f t="shared" si="11"/>
        <v>2381.2677586206896</v>
      </c>
      <c r="M146" s="4">
        <f t="shared" si="12"/>
        <v>0.19</v>
      </c>
      <c r="N146" s="1">
        <f t="shared" si="13"/>
        <v>45782</v>
      </c>
      <c r="O146" s="3">
        <f>(Table13[[#This Row],[Units_Sold]]*Table13[[#This Row],[Unit_Price_Cleaned]]*(1-Table13[[#This Row],[Discount Cleaned]]))</f>
        <v>3857.6537689655174</v>
      </c>
      <c r="P146" t="str">
        <f t="shared" si="14"/>
        <v>Profit</v>
      </c>
      <c r="Q146" t="str" cm="1">
        <f t="array" ref="Q146">IF(K146="",INDEX($K$2:$K$2501,MATCH(MAX(COUNTIF($K$2:$K$2501,$K$2:$K$2501)),COUNTIF($K$2:$K$2501,$K$2:$K$2501),0)),K146)</f>
        <v>B2C</v>
      </c>
    </row>
    <row r="147" spans="1:17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 s="3">
        <f t="shared" si="10"/>
        <v>-7215.8</v>
      </c>
      <c r="I147" s="1">
        <v>45602</v>
      </c>
      <c r="J147" t="s">
        <v>56</v>
      </c>
      <c r="K147" t="s">
        <v>23</v>
      </c>
      <c r="L147" s="2">
        <f t="shared" si="11"/>
        <v>3607.9</v>
      </c>
      <c r="M147" s="4">
        <f t="shared" si="12"/>
        <v>0.94</v>
      </c>
      <c r="N147" s="1">
        <f t="shared" si="13"/>
        <v>45602</v>
      </c>
      <c r="O147" s="3">
        <f>(Table13[[#This Row],[Units_Sold]]*Table13[[#This Row],[Unit_Price_Cleaned]]*(1-Table13[[#This Row],[Discount Cleaned]]))</f>
        <v>-432.94800000000038</v>
      </c>
      <c r="P147" t="str">
        <f t="shared" si="14"/>
        <v>Loss</v>
      </c>
      <c r="Q147" t="str" cm="1">
        <f t="array" ref="Q147">IF(K147="",INDEX($K$2:$K$2501,MATCH(MAX(COUNTIF($K$2:$K$2501,$K$2:$K$2501)),COUNTIF($K$2:$K$2501,$K$2:$K$2501),0)),K147)</f>
        <v>B2B</v>
      </c>
    </row>
    <row r="148" spans="1:17" x14ac:dyDescent="0.3">
      <c r="A148">
        <v>1146</v>
      </c>
      <c r="B148" t="s">
        <v>198</v>
      </c>
      <c r="C148" t="s">
        <v>29</v>
      </c>
      <c r="D148" t="s">
        <v>30</v>
      </c>
      <c r="E148">
        <v>2</v>
      </c>
      <c r="G148">
        <v>1.0900000000000001</v>
      </c>
      <c r="H148" s="3">
        <f t="shared" si="10"/>
        <v>5235.2780769230776</v>
      </c>
      <c r="I148" s="1">
        <v>45719</v>
      </c>
      <c r="J148" t="s">
        <v>46</v>
      </c>
      <c r="K148" t="s">
        <v>16</v>
      </c>
      <c r="L148" s="2">
        <f t="shared" si="11"/>
        <v>2617.6390384615388</v>
      </c>
      <c r="M148" s="4">
        <f t="shared" si="12"/>
        <v>1.0900000000000001</v>
      </c>
      <c r="N148" s="1">
        <f t="shared" si="13"/>
        <v>45719</v>
      </c>
      <c r="O148" s="3">
        <f>(Table13[[#This Row],[Units_Sold]]*Table13[[#This Row],[Unit_Price_Cleaned]]*(1-Table13[[#This Row],[Discount Cleaned]]))</f>
        <v>-471.17502692307738</v>
      </c>
      <c r="P148" t="str">
        <f t="shared" si="14"/>
        <v>Loss</v>
      </c>
      <c r="Q148" t="str" cm="1">
        <f t="array" ref="Q148">IF(K148="",INDEX($K$2:$K$2501,MATCH(MAX(COUNTIF($K$2:$K$2501,$K$2:$K$2501)),COUNTIF($K$2:$K$2501,$K$2:$K$2501),0)),K148)</f>
        <v>B2C</v>
      </c>
    </row>
    <row r="149" spans="1:17" x14ac:dyDescent="0.3">
      <c r="A149">
        <v>1147</v>
      </c>
      <c r="B149" t="s">
        <v>199</v>
      </c>
      <c r="C149" t="s">
        <v>38</v>
      </c>
      <c r="D149" t="s">
        <v>39</v>
      </c>
      <c r="E149">
        <v>2</v>
      </c>
      <c r="F149">
        <v>2875.46</v>
      </c>
      <c r="H149" s="3">
        <f t="shared" si="10"/>
        <v>5750.92</v>
      </c>
      <c r="I149" s="1">
        <v>45632</v>
      </c>
      <c r="J149" t="s">
        <v>15</v>
      </c>
      <c r="K149" t="s">
        <v>23</v>
      </c>
      <c r="L149" s="2">
        <f t="shared" si="11"/>
        <v>2875.46</v>
      </c>
      <c r="M149" s="4">
        <f t="shared" si="12"/>
        <v>0.6</v>
      </c>
      <c r="N149" s="1">
        <f t="shared" si="13"/>
        <v>45632</v>
      </c>
      <c r="O149" s="3">
        <f>(Table13[[#This Row],[Units_Sold]]*Table13[[#This Row],[Unit_Price_Cleaned]]*(1-Table13[[#This Row],[Discount Cleaned]]))</f>
        <v>2300.3679999999999</v>
      </c>
      <c r="P149" t="str">
        <f t="shared" si="14"/>
        <v>Profit</v>
      </c>
      <c r="Q149" t="str" cm="1">
        <f t="array" ref="Q149">IF(K149="",INDEX($K$2:$K$2501,MATCH(MAX(COUNTIF($K$2:$K$2501,$K$2:$K$2501)),COUNTIF($K$2:$K$2501,$K$2:$K$2501),0)),K149)</f>
        <v>B2B</v>
      </c>
    </row>
    <row r="150" spans="1:17" x14ac:dyDescent="0.3">
      <c r="A150">
        <v>1148</v>
      </c>
      <c r="B150" t="s">
        <v>200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 s="3">
        <f t="shared" si="10"/>
        <v>4942.96</v>
      </c>
      <c r="I150" s="1">
        <v>45680</v>
      </c>
      <c r="J150" t="s">
        <v>22</v>
      </c>
      <c r="K150" t="s">
        <v>16</v>
      </c>
      <c r="L150" s="2">
        <f t="shared" si="11"/>
        <v>2471.48</v>
      </c>
      <c r="M150" s="4">
        <f t="shared" si="12"/>
        <v>1.1100000000000001</v>
      </c>
      <c r="N150" s="1">
        <f t="shared" si="13"/>
        <v>45680</v>
      </c>
      <c r="O150" s="3">
        <f>(Table13[[#This Row],[Units_Sold]]*Table13[[#This Row],[Unit_Price_Cleaned]]*(1-Table13[[#This Row],[Discount Cleaned]]))</f>
        <v>-543.72560000000044</v>
      </c>
      <c r="P150" t="str">
        <f t="shared" si="14"/>
        <v>Loss</v>
      </c>
      <c r="Q150" t="str" cm="1">
        <f t="array" ref="Q150">IF(K150="",INDEX($K$2:$K$2501,MATCH(MAX(COUNTIF($K$2:$K$2501,$K$2:$K$2501)),COUNTIF($K$2:$K$2501,$K$2:$K$2501),0)),K150)</f>
        <v>B2C</v>
      </c>
    </row>
    <row r="151" spans="1:17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 s="3">
        <f t="shared" si="10"/>
        <v>5737.5536363636356</v>
      </c>
      <c r="I151" s="1">
        <v>45570</v>
      </c>
      <c r="J151" t="s">
        <v>56</v>
      </c>
      <c r="K151" t="s">
        <v>23</v>
      </c>
      <c r="L151" s="2">
        <f t="shared" si="11"/>
        <v>2868.7768181818178</v>
      </c>
      <c r="M151" s="4">
        <f t="shared" si="12"/>
        <v>0.6</v>
      </c>
      <c r="N151" s="1">
        <f t="shared" si="13"/>
        <v>45570</v>
      </c>
      <c r="O151" s="3">
        <f>(Table13[[#This Row],[Units_Sold]]*Table13[[#This Row],[Unit_Price_Cleaned]]*(1-Table13[[#This Row],[Discount Cleaned]]))</f>
        <v>2295.0214545454542</v>
      </c>
      <c r="P151" t="str">
        <f t="shared" si="14"/>
        <v>Profit</v>
      </c>
      <c r="Q151" t="str" cm="1">
        <f t="array" ref="Q151">IF(K151="",INDEX($K$2:$K$2501,MATCH(MAX(COUNTIF($K$2:$K$2501,$K$2:$K$2501)),COUNTIF($K$2:$K$2501,$K$2:$K$2501),0)),K151)</f>
        <v>B2B</v>
      </c>
    </row>
    <row r="152" spans="1:17" x14ac:dyDescent="0.3">
      <c r="A152">
        <v>1150</v>
      </c>
      <c r="B152" t="s">
        <v>202</v>
      </c>
      <c r="C152" t="s">
        <v>29</v>
      </c>
      <c r="D152" t="s">
        <v>42</v>
      </c>
      <c r="E152">
        <v>2</v>
      </c>
      <c r="F152">
        <v>1554.9</v>
      </c>
      <c r="H152" s="3">
        <f t="shared" si="10"/>
        <v>3109.8</v>
      </c>
      <c r="I152" s="1">
        <v>45582</v>
      </c>
      <c r="J152" t="s">
        <v>18</v>
      </c>
      <c r="K152" t="s">
        <v>16</v>
      </c>
      <c r="L152" s="2">
        <f t="shared" si="11"/>
        <v>1554.9</v>
      </c>
      <c r="M152" s="4">
        <f t="shared" si="12"/>
        <v>0.6</v>
      </c>
      <c r="N152" s="1">
        <f t="shared" si="13"/>
        <v>45582</v>
      </c>
      <c r="O152" s="3">
        <f>(Table13[[#This Row],[Units_Sold]]*Table13[[#This Row],[Unit_Price_Cleaned]]*(1-Table13[[#This Row],[Discount Cleaned]]))</f>
        <v>1243.92</v>
      </c>
      <c r="P152" t="str">
        <f t="shared" si="14"/>
        <v>Profit</v>
      </c>
      <c r="Q152" t="str" cm="1">
        <f t="array" ref="Q152">IF(K152="",INDEX($K$2:$K$2501,MATCH(MAX(COUNTIF($K$2:$K$2501,$K$2:$K$2501)),COUNTIF($K$2:$K$2501,$K$2:$K$2501),0)),K152)</f>
        <v>B2C</v>
      </c>
    </row>
    <row r="153" spans="1:17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 s="3">
        <f t="shared" si="10"/>
        <v>9065.76</v>
      </c>
      <c r="I153" s="1">
        <v>45855</v>
      </c>
      <c r="J153" t="s">
        <v>46</v>
      </c>
      <c r="K153" t="s">
        <v>16</v>
      </c>
      <c r="L153" s="2">
        <f t="shared" si="11"/>
        <v>2266.44</v>
      </c>
      <c r="M153" s="4">
        <f t="shared" si="12"/>
        <v>0.33</v>
      </c>
      <c r="N153" s="1">
        <f t="shared" si="13"/>
        <v>45855</v>
      </c>
      <c r="O153" s="3">
        <f>(Table13[[#This Row],[Units_Sold]]*Table13[[#This Row],[Unit_Price_Cleaned]]*(1-Table13[[#This Row],[Discount Cleaned]]))</f>
        <v>6074.0591999999997</v>
      </c>
      <c r="P153" t="str">
        <f t="shared" si="14"/>
        <v>Profit</v>
      </c>
      <c r="Q153" t="str" cm="1">
        <f t="array" ref="Q153">IF(K153="",INDEX($K$2:$K$2501,MATCH(MAX(COUNTIF($K$2:$K$2501,$K$2:$K$2501)),COUNTIF($K$2:$K$2501,$K$2:$K$2501),0)),K153)</f>
        <v>B2C</v>
      </c>
    </row>
    <row r="154" spans="1:17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 s="3">
        <f t="shared" si="10"/>
        <v>2572.7764000000006</v>
      </c>
      <c r="I154" s="1">
        <v>45599</v>
      </c>
      <c r="J154" t="s">
        <v>46</v>
      </c>
      <c r="L154" s="2">
        <f t="shared" si="11"/>
        <v>2572.7764000000006</v>
      </c>
      <c r="M154" s="4">
        <f t="shared" si="12"/>
        <v>1.26</v>
      </c>
      <c r="N154" s="1">
        <f t="shared" si="13"/>
        <v>45599</v>
      </c>
      <c r="O154" s="3">
        <f>(Table13[[#This Row],[Units_Sold]]*Table13[[#This Row],[Unit_Price_Cleaned]]*(1-Table13[[#This Row],[Discount Cleaned]]))</f>
        <v>-668.92186400000014</v>
      </c>
      <c r="P154" t="str">
        <f t="shared" si="14"/>
        <v>Loss</v>
      </c>
      <c r="Q154" t="str" cm="1">
        <f t="array" ref="Q154">IF(K154="",INDEX($K$2:$K$2501,MATCH(MAX(COUNTIF($K$2:$K$2501,$K$2:$K$2501)),COUNTIF($K$2:$K$2501,$K$2:$K$2501),0)),K154)</f>
        <v>B2B</v>
      </c>
    </row>
    <row r="155" spans="1:17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 s="3">
        <f t="shared" si="10"/>
        <v>478.59</v>
      </c>
      <c r="I155" s="1">
        <v>45641</v>
      </c>
      <c r="J155" t="s">
        <v>15</v>
      </c>
      <c r="K155" t="s">
        <v>23</v>
      </c>
      <c r="L155" s="2">
        <f t="shared" si="11"/>
        <v>478.59</v>
      </c>
      <c r="M155" s="4">
        <f t="shared" si="12"/>
        <v>0.6</v>
      </c>
      <c r="N155" s="1">
        <f t="shared" si="13"/>
        <v>45641</v>
      </c>
      <c r="O155" s="3">
        <f>(Table13[[#This Row],[Units_Sold]]*Table13[[#This Row],[Unit_Price_Cleaned]]*(1-Table13[[#This Row],[Discount Cleaned]]))</f>
        <v>191.43600000000001</v>
      </c>
      <c r="P155" t="str">
        <f t="shared" si="14"/>
        <v>Loss</v>
      </c>
      <c r="Q155" t="str" cm="1">
        <f t="array" ref="Q155">IF(K155="",INDEX($K$2:$K$2501,MATCH(MAX(COUNTIF($K$2:$K$2501,$K$2:$K$2501)),COUNTIF($K$2:$K$2501,$K$2:$K$2501),0)),K155)</f>
        <v>B2B</v>
      </c>
    </row>
    <row r="156" spans="1:17" x14ac:dyDescent="0.3">
      <c r="A156">
        <v>1154</v>
      </c>
      <c r="B156" t="s">
        <v>206</v>
      </c>
      <c r="C156" t="s">
        <v>29</v>
      </c>
      <c r="D156" t="s">
        <v>120</v>
      </c>
      <c r="E156">
        <v>2</v>
      </c>
      <c r="H156" s="3">
        <f t="shared" si="10"/>
        <v>5660.2651428571462</v>
      </c>
      <c r="I156" s="1">
        <v>45575</v>
      </c>
      <c r="J156" t="s">
        <v>40</v>
      </c>
      <c r="K156" t="s">
        <v>16</v>
      </c>
      <c r="L156" s="2">
        <f t="shared" si="11"/>
        <v>2830.1325714285731</v>
      </c>
      <c r="M156" s="4">
        <f t="shared" si="12"/>
        <v>0.6</v>
      </c>
      <c r="N156" s="1">
        <f t="shared" si="13"/>
        <v>45575</v>
      </c>
      <c r="O156" s="3">
        <f>(Table13[[#This Row],[Units_Sold]]*Table13[[#This Row],[Unit_Price_Cleaned]]*(1-Table13[[#This Row],[Discount Cleaned]]))</f>
        <v>2264.1060571428584</v>
      </c>
      <c r="P156" t="str">
        <f t="shared" si="14"/>
        <v>Profit</v>
      </c>
      <c r="Q156" t="str" cm="1">
        <f t="array" ref="Q156">IF(K156="",INDEX($K$2:$K$2501,MATCH(MAX(COUNTIF($K$2:$K$2501,$K$2:$K$2501)),COUNTIF($K$2:$K$2501,$K$2:$K$2501),0)),K156)</f>
        <v>B2C</v>
      </c>
    </row>
    <row r="157" spans="1:17" x14ac:dyDescent="0.3">
      <c r="A157">
        <v>1155</v>
      </c>
      <c r="B157" t="s">
        <v>207</v>
      </c>
      <c r="C157" t="s">
        <v>25</v>
      </c>
      <c r="D157" t="s">
        <v>66</v>
      </c>
      <c r="E157">
        <v>2</v>
      </c>
      <c r="G157">
        <v>0.64</v>
      </c>
      <c r="H157" s="3">
        <f t="shared" si="10"/>
        <v>5145.5528000000013</v>
      </c>
      <c r="I157" s="1">
        <v>45604</v>
      </c>
      <c r="J157" t="s">
        <v>22</v>
      </c>
      <c r="L157" s="2">
        <f t="shared" si="11"/>
        <v>2572.7764000000006</v>
      </c>
      <c r="M157" s="4">
        <f t="shared" si="12"/>
        <v>0.64</v>
      </c>
      <c r="N157" s="1">
        <f t="shared" si="13"/>
        <v>45604</v>
      </c>
      <c r="O157" s="3">
        <f>(Table13[[#This Row],[Units_Sold]]*Table13[[#This Row],[Unit_Price_Cleaned]]*(1-Table13[[#This Row],[Discount Cleaned]]))</f>
        <v>1852.3990080000003</v>
      </c>
      <c r="P157" t="str">
        <f t="shared" si="14"/>
        <v>Profit</v>
      </c>
      <c r="Q157" t="str" cm="1">
        <f t="array" ref="Q157">IF(K157="",INDEX($K$2:$K$2501,MATCH(MAX(COUNTIF($K$2:$K$2501,$K$2:$K$2501)),COUNTIF($K$2:$K$2501,$K$2:$K$2501),0)),K157)</f>
        <v>B2B</v>
      </c>
    </row>
    <row r="158" spans="1:17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 s="3">
        <f t="shared" si="10"/>
        <v>8535.7259016393473</v>
      </c>
      <c r="J158" t="s">
        <v>15</v>
      </c>
      <c r="L158" s="2">
        <f t="shared" si="11"/>
        <v>2845.2419672131159</v>
      </c>
      <c r="M158" s="4">
        <f t="shared" si="12"/>
        <v>0.93</v>
      </c>
      <c r="N158" s="1">
        <f t="shared" si="13"/>
        <v>45782</v>
      </c>
      <c r="O158" s="3">
        <f>(Table13[[#This Row],[Units_Sold]]*Table13[[#This Row],[Unit_Price_Cleaned]]*(1-Table13[[#This Row],[Discount Cleaned]]))</f>
        <v>597.5008131147539</v>
      </c>
      <c r="P158" t="str">
        <f t="shared" si="14"/>
        <v>Profit</v>
      </c>
      <c r="Q158" t="str" cm="1">
        <f t="array" ref="Q158">IF(K158="",INDEX($K$2:$K$2501,MATCH(MAX(COUNTIF($K$2:$K$2501,$K$2:$K$2501)),COUNTIF($K$2:$K$2501,$K$2:$K$2501),0)),K158)</f>
        <v>B2B</v>
      </c>
    </row>
    <row r="159" spans="1:17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 s="3">
        <f t="shared" si="10"/>
        <v>3870.18</v>
      </c>
      <c r="I159" s="1">
        <v>45833</v>
      </c>
      <c r="J159" t="s">
        <v>18</v>
      </c>
      <c r="K159" t="s">
        <v>16</v>
      </c>
      <c r="L159" s="2">
        <f t="shared" si="11"/>
        <v>645.03</v>
      </c>
      <c r="M159" s="4">
        <f t="shared" si="12"/>
        <v>0.6</v>
      </c>
      <c r="N159" s="1">
        <f t="shared" si="13"/>
        <v>45833</v>
      </c>
      <c r="O159" s="3">
        <f>(Table13[[#This Row],[Units_Sold]]*Table13[[#This Row],[Unit_Price_Cleaned]]*(1-Table13[[#This Row],[Discount Cleaned]]))</f>
        <v>1548.0720000000001</v>
      </c>
      <c r="P159" t="str">
        <f t="shared" si="14"/>
        <v>Profit</v>
      </c>
      <c r="Q159" t="str" cm="1">
        <f t="array" ref="Q159">IF(K159="",INDEX($K$2:$K$2501,MATCH(MAX(COUNTIF($K$2:$K$2501,$K$2:$K$2501)),COUNTIF($K$2:$K$2501,$K$2:$K$2501),0)),K159)</f>
        <v>B2C</v>
      </c>
    </row>
    <row r="160" spans="1:17" x14ac:dyDescent="0.3">
      <c r="A160">
        <v>1158</v>
      </c>
      <c r="B160" t="s">
        <v>210</v>
      </c>
      <c r="C160" t="s">
        <v>38</v>
      </c>
      <c r="D160" t="s">
        <v>63</v>
      </c>
      <c r="E160">
        <v>2</v>
      </c>
      <c r="F160">
        <v>4516.08</v>
      </c>
      <c r="H160" s="3">
        <f t="shared" si="10"/>
        <v>9032.16</v>
      </c>
      <c r="I160" s="1">
        <v>45844</v>
      </c>
      <c r="J160" t="s">
        <v>15</v>
      </c>
      <c r="K160" t="s">
        <v>23</v>
      </c>
      <c r="L160" s="2">
        <f t="shared" si="11"/>
        <v>4516.08</v>
      </c>
      <c r="M160" s="4">
        <f t="shared" si="12"/>
        <v>0.6</v>
      </c>
      <c r="N160" s="1">
        <f t="shared" si="13"/>
        <v>45844</v>
      </c>
      <c r="O160" s="3">
        <f>(Table13[[#This Row],[Units_Sold]]*Table13[[#This Row],[Unit_Price_Cleaned]]*(1-Table13[[#This Row],[Discount Cleaned]]))</f>
        <v>3612.864</v>
      </c>
      <c r="P160" t="str">
        <f t="shared" si="14"/>
        <v>Profit</v>
      </c>
      <c r="Q160" t="str" cm="1">
        <f t="array" ref="Q160">IF(K160="",INDEX($K$2:$K$2501,MATCH(MAX(COUNTIF($K$2:$K$2501,$K$2:$K$2501)),COUNTIF($K$2:$K$2501,$K$2:$K$2501),0)),K160)</f>
        <v>B2B</v>
      </c>
    </row>
    <row r="161" spans="1:17" x14ac:dyDescent="0.3">
      <c r="A161">
        <v>1159</v>
      </c>
      <c r="B161" t="s">
        <v>211</v>
      </c>
      <c r="C161" t="s">
        <v>25</v>
      </c>
      <c r="D161" t="s">
        <v>54</v>
      </c>
      <c r="E161">
        <v>2</v>
      </c>
      <c r="F161">
        <v>3335.18</v>
      </c>
      <c r="G161">
        <v>0.09</v>
      </c>
      <c r="H161" s="3">
        <f t="shared" si="10"/>
        <v>6670.36</v>
      </c>
      <c r="J161" t="s">
        <v>18</v>
      </c>
      <c r="K161" t="s">
        <v>16</v>
      </c>
      <c r="L161" s="2">
        <f t="shared" si="11"/>
        <v>3335.18</v>
      </c>
      <c r="M161" s="4">
        <f t="shared" si="12"/>
        <v>0.09</v>
      </c>
      <c r="N161" s="1">
        <f t="shared" si="13"/>
        <v>45782</v>
      </c>
      <c r="O161" s="3">
        <f>(Table13[[#This Row],[Units_Sold]]*Table13[[#This Row],[Unit_Price_Cleaned]]*(1-Table13[[#This Row],[Discount Cleaned]]))</f>
        <v>6070.0276000000003</v>
      </c>
      <c r="P161" t="str">
        <f t="shared" si="14"/>
        <v>Profit</v>
      </c>
      <c r="Q161" t="str" cm="1">
        <f t="array" ref="Q161">IF(K161="",INDEX($K$2:$K$2501,MATCH(MAX(COUNTIF($K$2:$K$2501,$K$2:$K$2501)),COUNTIF($K$2:$K$2501,$K$2:$K$2501),0)),K161)</f>
        <v>B2C</v>
      </c>
    </row>
    <row r="162" spans="1:17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 s="3">
        <f t="shared" si="10"/>
        <v>0</v>
      </c>
      <c r="I162" s="1">
        <v>45607</v>
      </c>
      <c r="J162" t="s">
        <v>56</v>
      </c>
      <c r="L162" s="2">
        <f t="shared" si="11"/>
        <v>3008.3844444444444</v>
      </c>
      <c r="M162" s="4">
        <f t="shared" si="12"/>
        <v>0.77</v>
      </c>
      <c r="N162" s="1">
        <f t="shared" si="13"/>
        <v>45607</v>
      </c>
      <c r="O162" s="3">
        <f>(Table13[[#This Row],[Units_Sold]]*Table13[[#This Row],[Unit_Price_Cleaned]]*(1-Table13[[#This Row],[Discount Cleaned]]))</f>
        <v>0</v>
      </c>
      <c r="P162" t="str">
        <f t="shared" si="14"/>
        <v>Loss</v>
      </c>
      <c r="Q162" t="str" cm="1">
        <f t="array" ref="Q162">IF(K162="",INDEX($K$2:$K$2501,MATCH(MAX(COUNTIF($K$2:$K$2501,$K$2:$K$2501)),COUNTIF($K$2:$K$2501,$K$2:$K$2501),0)),K162)</f>
        <v>B2B</v>
      </c>
    </row>
    <row r="163" spans="1:17" x14ac:dyDescent="0.3">
      <c r="A163">
        <v>1161</v>
      </c>
      <c r="B163" t="s">
        <v>213</v>
      </c>
      <c r="C163" t="s">
        <v>33</v>
      </c>
      <c r="D163" t="s">
        <v>72</v>
      </c>
      <c r="E163">
        <v>2</v>
      </c>
      <c r="F163">
        <v>1801.91</v>
      </c>
      <c r="H163" s="3">
        <f t="shared" si="10"/>
        <v>3603.82</v>
      </c>
      <c r="I163" s="1">
        <v>45352</v>
      </c>
      <c r="J163" t="s">
        <v>22</v>
      </c>
      <c r="L163" s="2">
        <f t="shared" si="11"/>
        <v>1801.91</v>
      </c>
      <c r="M163" s="4">
        <f t="shared" si="12"/>
        <v>0.6</v>
      </c>
      <c r="N163" s="1">
        <f t="shared" si="13"/>
        <v>45352</v>
      </c>
      <c r="O163" s="3">
        <f>(Table13[[#This Row],[Units_Sold]]*Table13[[#This Row],[Unit_Price_Cleaned]]*(1-Table13[[#This Row],[Discount Cleaned]]))</f>
        <v>1441.5280000000002</v>
      </c>
      <c r="P163" t="str">
        <f t="shared" si="14"/>
        <v>Profit</v>
      </c>
      <c r="Q163" t="str" cm="1">
        <f t="array" ref="Q163">IF(K163="",INDEX($K$2:$K$2501,MATCH(MAX(COUNTIF($K$2:$K$2501,$K$2:$K$2501)),COUNTIF($K$2:$K$2501,$K$2:$K$2501),0)),K163)</f>
        <v>B2B</v>
      </c>
    </row>
    <row r="164" spans="1:17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 s="3">
        <f t="shared" si="10"/>
        <v>10006.124</v>
      </c>
      <c r="I164" s="1">
        <v>45621</v>
      </c>
      <c r="J164" t="s">
        <v>22</v>
      </c>
      <c r="K164" t="s">
        <v>16</v>
      </c>
      <c r="L164" s="2">
        <f t="shared" si="11"/>
        <v>2501.5309999999999</v>
      </c>
      <c r="M164" s="4">
        <f t="shared" si="12"/>
        <v>0.14000000000000001</v>
      </c>
      <c r="N164" s="1">
        <f t="shared" si="13"/>
        <v>45621</v>
      </c>
      <c r="O164" s="3">
        <f>(Table13[[#This Row],[Units_Sold]]*Table13[[#This Row],[Unit_Price_Cleaned]]*(1-Table13[[#This Row],[Discount Cleaned]]))</f>
        <v>8605.2666399999998</v>
      </c>
      <c r="P164" t="str">
        <f t="shared" si="14"/>
        <v>Profit</v>
      </c>
      <c r="Q164" t="str" cm="1">
        <f t="array" ref="Q164">IF(K164="",INDEX($K$2:$K$2501,MATCH(MAX(COUNTIF($K$2:$K$2501,$K$2:$K$2501)),COUNTIF($K$2:$K$2501,$K$2:$K$2501),0)),K164)</f>
        <v>B2C</v>
      </c>
    </row>
    <row r="165" spans="1:17" x14ac:dyDescent="0.3">
      <c r="A165">
        <v>1163</v>
      </c>
      <c r="B165" t="s">
        <v>215</v>
      </c>
      <c r="C165" t="s">
        <v>29</v>
      </c>
      <c r="D165" t="s">
        <v>42</v>
      </c>
      <c r="E165">
        <v>2</v>
      </c>
      <c r="F165">
        <v>1033.58</v>
      </c>
      <c r="G165">
        <v>0.68</v>
      </c>
      <c r="H165" s="3">
        <f t="shared" si="10"/>
        <v>2067.16</v>
      </c>
      <c r="I165" s="1">
        <v>45666</v>
      </c>
      <c r="J165" t="s">
        <v>40</v>
      </c>
      <c r="K165" t="s">
        <v>16</v>
      </c>
      <c r="L165" s="2">
        <f t="shared" si="11"/>
        <v>1033.58</v>
      </c>
      <c r="M165" s="4">
        <f t="shared" si="12"/>
        <v>0.68</v>
      </c>
      <c r="N165" s="1">
        <f t="shared" si="13"/>
        <v>45666</v>
      </c>
      <c r="O165" s="3">
        <f>(Table13[[#This Row],[Units_Sold]]*Table13[[#This Row],[Unit_Price_Cleaned]]*(1-Table13[[#This Row],[Discount Cleaned]]))</f>
        <v>661.49119999999982</v>
      </c>
      <c r="P165" t="str">
        <f t="shared" si="14"/>
        <v>Profit</v>
      </c>
      <c r="Q165" t="str" cm="1">
        <f t="array" ref="Q165">IF(K165="",INDEX($K$2:$K$2501,MATCH(MAX(COUNTIF($K$2:$K$2501,$K$2:$K$2501)),COUNTIF($K$2:$K$2501,$K$2:$K$2501),0)),K165)</f>
        <v>B2C</v>
      </c>
    </row>
    <row r="166" spans="1:17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 s="3">
        <f t="shared" si="10"/>
        <v>12798.333653846157</v>
      </c>
      <c r="J166" t="s">
        <v>56</v>
      </c>
      <c r="K166" t="s">
        <v>23</v>
      </c>
      <c r="L166" s="2">
        <f t="shared" si="11"/>
        <v>2559.6667307692314</v>
      </c>
      <c r="M166" s="4">
        <f t="shared" si="12"/>
        <v>0.6</v>
      </c>
      <c r="N166" s="1">
        <f t="shared" si="13"/>
        <v>45782</v>
      </c>
      <c r="O166" s="3">
        <f>(Table13[[#This Row],[Units_Sold]]*Table13[[#This Row],[Unit_Price_Cleaned]]*(1-Table13[[#This Row],[Discount Cleaned]]))</f>
        <v>5119.3334615384629</v>
      </c>
      <c r="P166" t="str">
        <f t="shared" si="14"/>
        <v>Profit</v>
      </c>
      <c r="Q166" t="str" cm="1">
        <f t="array" ref="Q166">IF(K166="",INDEX($K$2:$K$2501,MATCH(MAX(COUNTIF($K$2:$K$2501,$K$2:$K$2501)),COUNTIF($K$2:$K$2501,$K$2:$K$2501),0)),K166)</f>
        <v>B2B</v>
      </c>
    </row>
    <row r="167" spans="1:17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 s="3">
        <f t="shared" si="10"/>
        <v>5431.091698113205</v>
      </c>
      <c r="I167" s="1">
        <v>45569</v>
      </c>
      <c r="J167" t="s">
        <v>40</v>
      </c>
      <c r="K167" t="s">
        <v>23</v>
      </c>
      <c r="L167" s="2">
        <f t="shared" si="11"/>
        <v>2715.5458490566025</v>
      </c>
      <c r="M167" s="4">
        <f t="shared" si="12"/>
        <v>0.08</v>
      </c>
      <c r="N167" s="1">
        <f t="shared" si="13"/>
        <v>45569</v>
      </c>
      <c r="O167" s="3">
        <f>(Table13[[#This Row],[Units_Sold]]*Table13[[#This Row],[Unit_Price_Cleaned]]*(1-Table13[[#This Row],[Discount Cleaned]]))</f>
        <v>4996.6043622641491</v>
      </c>
      <c r="P167" t="str">
        <f t="shared" si="14"/>
        <v>Profit</v>
      </c>
      <c r="Q167" t="str" cm="1">
        <f t="array" ref="Q167">IF(K167="",INDEX($K$2:$K$2501,MATCH(MAX(COUNTIF($K$2:$K$2501,$K$2:$K$2501)),COUNTIF($K$2:$K$2501,$K$2:$K$2501),0)),K167)</f>
        <v>B2B</v>
      </c>
    </row>
    <row r="168" spans="1:17" x14ac:dyDescent="0.3">
      <c r="A168">
        <v>1166</v>
      </c>
      <c r="B168" t="s">
        <v>218</v>
      </c>
      <c r="C168" t="s">
        <v>20</v>
      </c>
      <c r="D168" t="s">
        <v>80</v>
      </c>
      <c r="E168">
        <v>2</v>
      </c>
      <c r="G168">
        <v>0.91</v>
      </c>
      <c r="H168" s="3">
        <f t="shared" si="10"/>
        <v>4967.1688000000004</v>
      </c>
      <c r="I168" s="1">
        <v>45165</v>
      </c>
      <c r="J168" t="s">
        <v>18</v>
      </c>
      <c r="L168" s="2">
        <f t="shared" si="11"/>
        <v>2483.5844000000002</v>
      </c>
      <c r="M168" s="4">
        <f t="shared" si="12"/>
        <v>0.91</v>
      </c>
      <c r="N168" s="1">
        <f t="shared" si="13"/>
        <v>45165</v>
      </c>
      <c r="O168" s="3">
        <f>(Table13[[#This Row],[Units_Sold]]*Table13[[#This Row],[Unit_Price_Cleaned]]*(1-Table13[[#This Row],[Discount Cleaned]]))</f>
        <v>447.04519199999987</v>
      </c>
      <c r="P168" t="str">
        <f t="shared" si="14"/>
        <v>Loss</v>
      </c>
      <c r="Q168" t="str" cm="1">
        <f t="array" ref="Q168">IF(K168="",INDEX($K$2:$K$2501,MATCH(MAX(COUNTIF($K$2:$K$2501,$K$2:$K$2501)),COUNTIF($K$2:$K$2501,$K$2:$K$2501),0)),K168)</f>
        <v>B2B</v>
      </c>
    </row>
    <row r="169" spans="1:17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 s="3">
        <f t="shared" si="10"/>
        <v>0</v>
      </c>
      <c r="I169" s="1">
        <v>45791</v>
      </c>
      <c r="J169" t="s">
        <v>40</v>
      </c>
      <c r="L169" s="2">
        <f t="shared" si="11"/>
        <v>4595.8999999999996</v>
      </c>
      <c r="M169" s="4">
        <f t="shared" si="12"/>
        <v>0.09</v>
      </c>
      <c r="N169" s="1">
        <f t="shared" si="13"/>
        <v>45791</v>
      </c>
      <c r="O169" s="3">
        <f>(Table13[[#This Row],[Units_Sold]]*Table13[[#This Row],[Unit_Price_Cleaned]]*(1-Table13[[#This Row],[Discount Cleaned]]))</f>
        <v>0</v>
      </c>
      <c r="P169" t="str">
        <f t="shared" si="14"/>
        <v>Loss</v>
      </c>
      <c r="Q169" t="str" cm="1">
        <f t="array" ref="Q169">IF(K169="",INDEX($K$2:$K$2501,MATCH(MAX(COUNTIF($K$2:$K$2501,$K$2:$K$2501)),COUNTIF($K$2:$K$2501,$K$2:$K$2501),0)),K169)</f>
        <v>B2B</v>
      </c>
    </row>
    <row r="170" spans="1:17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 s="3">
        <f t="shared" si="10"/>
        <v>0</v>
      </c>
      <c r="I170" s="1">
        <v>45609</v>
      </c>
      <c r="J170" t="s">
        <v>56</v>
      </c>
      <c r="L170" s="2">
        <f t="shared" si="11"/>
        <v>3655.71</v>
      </c>
      <c r="M170" s="4">
        <f t="shared" si="12"/>
        <v>0.48</v>
      </c>
      <c r="N170" s="1">
        <f t="shared" si="13"/>
        <v>45609</v>
      </c>
      <c r="O170" s="3">
        <f>(Table13[[#This Row],[Units_Sold]]*Table13[[#This Row],[Unit_Price_Cleaned]]*(1-Table13[[#This Row],[Discount Cleaned]]))</f>
        <v>0</v>
      </c>
      <c r="P170" t="str">
        <f t="shared" si="14"/>
        <v>Loss</v>
      </c>
      <c r="Q170" t="str" cm="1">
        <f t="array" ref="Q170">IF(K170="",INDEX($K$2:$K$2501,MATCH(MAX(COUNTIF($K$2:$K$2501,$K$2:$K$2501)),COUNTIF($K$2:$K$2501,$K$2:$K$2501),0)),K170)</f>
        <v>B2B</v>
      </c>
    </row>
    <row r="171" spans="1:17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 s="3">
        <f t="shared" si="10"/>
        <v>-2948.26</v>
      </c>
      <c r="J171" t="s">
        <v>46</v>
      </c>
      <c r="L171" s="2">
        <f t="shared" si="11"/>
        <v>2948.26</v>
      </c>
      <c r="M171" s="4">
        <f t="shared" si="12"/>
        <v>0.9</v>
      </c>
      <c r="N171" s="1">
        <f t="shared" si="13"/>
        <v>45782</v>
      </c>
      <c r="O171" s="3">
        <f>(Table13[[#This Row],[Units_Sold]]*Table13[[#This Row],[Unit_Price_Cleaned]]*(1-Table13[[#This Row],[Discount Cleaned]]))</f>
        <v>-294.82599999999996</v>
      </c>
      <c r="P171" t="str">
        <f t="shared" si="14"/>
        <v>Loss</v>
      </c>
      <c r="Q171" t="str" cm="1">
        <f t="array" ref="Q171">IF(K171="",INDEX($K$2:$K$2501,MATCH(MAX(COUNTIF($K$2:$K$2501,$K$2:$K$2501)),COUNTIF($K$2:$K$2501,$K$2:$K$2501),0)),K171)</f>
        <v>B2B</v>
      </c>
    </row>
    <row r="172" spans="1:17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 s="3">
        <f t="shared" si="10"/>
        <v>0</v>
      </c>
      <c r="J172" t="s">
        <v>15</v>
      </c>
      <c r="K172" t="s">
        <v>16</v>
      </c>
      <c r="L172" s="2">
        <f t="shared" si="11"/>
        <v>2785.0877966101693</v>
      </c>
      <c r="M172" s="4">
        <f t="shared" si="12"/>
        <v>0.76</v>
      </c>
      <c r="N172" s="1">
        <f t="shared" si="13"/>
        <v>45782</v>
      </c>
      <c r="O172" s="3">
        <f>(Table13[[#This Row],[Units_Sold]]*Table13[[#This Row],[Unit_Price_Cleaned]]*(1-Table13[[#This Row],[Discount Cleaned]]))</f>
        <v>0</v>
      </c>
      <c r="P172" t="str">
        <f t="shared" si="14"/>
        <v>Loss</v>
      </c>
      <c r="Q172" t="str" cm="1">
        <f t="array" ref="Q172">IF(K172="",INDEX($K$2:$K$2501,MATCH(MAX(COUNTIF($K$2:$K$2501,$K$2:$K$2501)),COUNTIF($K$2:$K$2501,$K$2:$K$2501),0)),K172)</f>
        <v>B2C</v>
      </c>
    </row>
    <row r="173" spans="1:17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 s="3">
        <f t="shared" si="10"/>
        <v>2785.0877966101693</v>
      </c>
      <c r="I173" s="1">
        <v>45824</v>
      </c>
      <c r="J173" t="s">
        <v>46</v>
      </c>
      <c r="K173" t="s">
        <v>23</v>
      </c>
      <c r="L173" s="2">
        <f t="shared" si="11"/>
        <v>2785.0877966101693</v>
      </c>
      <c r="M173" s="4">
        <f t="shared" si="12"/>
        <v>0.6</v>
      </c>
      <c r="N173" s="1">
        <f t="shared" si="13"/>
        <v>45824</v>
      </c>
      <c r="O173" s="3">
        <f>(Table13[[#This Row],[Units_Sold]]*Table13[[#This Row],[Unit_Price_Cleaned]]*(1-Table13[[#This Row],[Discount Cleaned]]))</f>
        <v>1114.0351186440678</v>
      </c>
      <c r="P173" t="str">
        <f t="shared" si="14"/>
        <v>Profit</v>
      </c>
      <c r="Q173" t="str" cm="1">
        <f t="array" ref="Q173">IF(K173="",INDEX($K$2:$K$2501,MATCH(MAX(COUNTIF($K$2:$K$2501,$K$2:$K$2501)),COUNTIF($K$2:$K$2501,$K$2:$K$2501),0)),K173)</f>
        <v>B2B</v>
      </c>
    </row>
    <row r="174" spans="1:17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 s="3">
        <f t="shared" si="10"/>
        <v>-5438.64</v>
      </c>
      <c r="I174" s="1">
        <v>45779</v>
      </c>
      <c r="J174" t="s">
        <v>56</v>
      </c>
      <c r="K174" t="s">
        <v>16</v>
      </c>
      <c r="L174" s="2">
        <f t="shared" si="11"/>
        <v>2719.32</v>
      </c>
      <c r="M174" s="4">
        <f t="shared" si="12"/>
        <v>0.6</v>
      </c>
      <c r="N174" s="1">
        <f t="shared" si="13"/>
        <v>45779</v>
      </c>
      <c r="O174" s="3">
        <f>(Table13[[#This Row],[Units_Sold]]*Table13[[#This Row],[Unit_Price_Cleaned]]*(1-Table13[[#This Row],[Discount Cleaned]]))</f>
        <v>-2175.4560000000001</v>
      </c>
      <c r="P174" t="str">
        <f t="shared" si="14"/>
        <v>Loss</v>
      </c>
      <c r="Q174" t="str" cm="1">
        <f t="array" ref="Q174">IF(K174="",INDEX($K$2:$K$2501,MATCH(MAX(COUNTIF($K$2:$K$2501,$K$2:$K$2501)),COUNTIF($K$2:$K$2501,$K$2:$K$2501),0)),K174)</f>
        <v>B2C</v>
      </c>
    </row>
    <row r="175" spans="1:17" x14ac:dyDescent="0.3">
      <c r="A175">
        <v>1173</v>
      </c>
      <c r="B175" t="s">
        <v>225</v>
      </c>
      <c r="C175" t="s">
        <v>13</v>
      </c>
      <c r="D175" t="s">
        <v>36</v>
      </c>
      <c r="E175">
        <v>2</v>
      </c>
      <c r="F175">
        <v>4063.39</v>
      </c>
      <c r="H175" s="3">
        <f t="shared" si="10"/>
        <v>8126.78</v>
      </c>
      <c r="J175" t="s">
        <v>40</v>
      </c>
      <c r="L175" s="2">
        <f t="shared" si="11"/>
        <v>4063.39</v>
      </c>
      <c r="M175" s="4">
        <f t="shared" si="12"/>
        <v>0.6</v>
      </c>
      <c r="N175" s="1">
        <f t="shared" si="13"/>
        <v>45782</v>
      </c>
      <c r="O175" s="3">
        <f>(Table13[[#This Row],[Units_Sold]]*Table13[[#This Row],[Unit_Price_Cleaned]]*(1-Table13[[#This Row],[Discount Cleaned]]))</f>
        <v>3250.712</v>
      </c>
      <c r="P175" t="str">
        <f t="shared" si="14"/>
        <v>Profit</v>
      </c>
      <c r="Q175" t="str" cm="1">
        <f t="array" ref="Q175">IF(K175="",INDEX($K$2:$K$2501,MATCH(MAX(COUNTIF($K$2:$K$2501,$K$2:$K$2501)),COUNTIF($K$2:$K$2501,$K$2:$K$2501),0)),K175)</f>
        <v>B2B</v>
      </c>
    </row>
    <row r="176" spans="1:17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 s="3">
        <f t="shared" si="10"/>
        <v>29907.899999999998</v>
      </c>
      <c r="I176" s="1">
        <v>45649</v>
      </c>
      <c r="J176" t="s">
        <v>40</v>
      </c>
      <c r="L176" s="2">
        <f t="shared" si="11"/>
        <v>4984.6499999999996</v>
      </c>
      <c r="M176" s="4">
        <f t="shared" si="12"/>
        <v>0.42</v>
      </c>
      <c r="N176" s="1">
        <f t="shared" si="13"/>
        <v>45649</v>
      </c>
      <c r="O176" s="3">
        <f>(Table13[[#This Row],[Units_Sold]]*Table13[[#This Row],[Unit_Price_Cleaned]]*(1-Table13[[#This Row],[Discount Cleaned]]))</f>
        <v>17346.582000000002</v>
      </c>
      <c r="P176" t="str">
        <f t="shared" si="14"/>
        <v>Profit</v>
      </c>
      <c r="Q176" t="str" cm="1">
        <f t="array" ref="Q176">IF(K176="",INDEX($K$2:$K$2501,MATCH(MAX(COUNTIF($K$2:$K$2501,$K$2:$K$2501)),COUNTIF($K$2:$K$2501,$K$2:$K$2501),0)),K176)</f>
        <v>B2B</v>
      </c>
    </row>
    <row r="177" spans="1:17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 s="3">
        <f t="shared" si="10"/>
        <v>9025.1533333333336</v>
      </c>
      <c r="I177" s="1">
        <v>45566</v>
      </c>
      <c r="J177" t="s">
        <v>18</v>
      </c>
      <c r="K177" t="s">
        <v>16</v>
      </c>
      <c r="L177" s="2">
        <f t="shared" si="11"/>
        <v>3008.3844444444444</v>
      </c>
      <c r="M177" s="4">
        <f t="shared" si="12"/>
        <v>0.6</v>
      </c>
      <c r="N177" s="1">
        <f t="shared" si="13"/>
        <v>45566</v>
      </c>
      <c r="O177" s="3">
        <f>(Table13[[#This Row],[Units_Sold]]*Table13[[#This Row],[Unit_Price_Cleaned]]*(1-Table13[[#This Row],[Discount Cleaned]]))</f>
        <v>3610.0613333333336</v>
      </c>
      <c r="P177" t="str">
        <f t="shared" si="14"/>
        <v>Profit</v>
      </c>
      <c r="Q177" t="str" cm="1">
        <f t="array" ref="Q177">IF(K177="",INDEX($K$2:$K$2501,MATCH(MAX(COUNTIF($K$2:$K$2501,$K$2:$K$2501)),COUNTIF($K$2:$K$2501,$K$2:$K$2501),0)),K177)</f>
        <v>B2C</v>
      </c>
    </row>
    <row r="178" spans="1:17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 s="3">
        <f t="shared" si="10"/>
        <v>17295.027931034481</v>
      </c>
      <c r="J178" t="s">
        <v>22</v>
      </c>
      <c r="K178" t="s">
        <v>23</v>
      </c>
      <c r="L178" s="2">
        <f t="shared" si="11"/>
        <v>2882.5046551724135</v>
      </c>
      <c r="M178" s="4">
        <f t="shared" si="12"/>
        <v>0.87</v>
      </c>
      <c r="N178" s="1">
        <f t="shared" si="13"/>
        <v>45782</v>
      </c>
      <c r="O178" s="3">
        <f>(Table13[[#This Row],[Units_Sold]]*Table13[[#This Row],[Unit_Price_Cleaned]]*(1-Table13[[#This Row],[Discount Cleaned]]))</f>
        <v>2248.3536310344825</v>
      </c>
      <c r="P178" t="str">
        <f t="shared" si="14"/>
        <v>Profit</v>
      </c>
      <c r="Q178" t="str" cm="1">
        <f t="array" ref="Q178">IF(K178="",INDEX($K$2:$K$2501,MATCH(MAX(COUNTIF($K$2:$K$2501,$K$2:$K$2501)),COUNTIF($K$2:$K$2501,$K$2:$K$2501),0)),K178)</f>
        <v>B2B</v>
      </c>
    </row>
    <row r="179" spans="1:17" x14ac:dyDescent="0.3">
      <c r="A179">
        <v>1177</v>
      </c>
      <c r="B179" t="s">
        <v>229</v>
      </c>
      <c r="C179" t="s">
        <v>13</v>
      </c>
      <c r="D179" t="s">
        <v>49</v>
      </c>
      <c r="E179">
        <v>2</v>
      </c>
      <c r="F179">
        <v>2426.13</v>
      </c>
      <c r="H179" s="3">
        <f t="shared" si="10"/>
        <v>4852.26</v>
      </c>
      <c r="I179" s="1">
        <v>45746</v>
      </c>
      <c r="J179" t="s">
        <v>18</v>
      </c>
      <c r="K179" t="s">
        <v>16</v>
      </c>
      <c r="L179" s="2">
        <f t="shared" si="11"/>
        <v>2426.13</v>
      </c>
      <c r="M179" s="4">
        <f t="shared" si="12"/>
        <v>0.6</v>
      </c>
      <c r="N179" s="1">
        <f t="shared" si="13"/>
        <v>45746</v>
      </c>
      <c r="O179" s="3">
        <f>(Table13[[#This Row],[Units_Sold]]*Table13[[#This Row],[Unit_Price_Cleaned]]*(1-Table13[[#This Row],[Discount Cleaned]]))</f>
        <v>1940.9040000000002</v>
      </c>
      <c r="P179" t="str">
        <f t="shared" si="14"/>
        <v>Profit</v>
      </c>
      <c r="Q179" t="str" cm="1">
        <f t="array" ref="Q179">IF(K179="",INDEX($K$2:$K$2501,MATCH(MAX(COUNTIF($K$2:$K$2501,$K$2:$K$2501)),COUNTIF($K$2:$K$2501,$K$2:$K$2501),0)),K179)</f>
        <v>B2C</v>
      </c>
    </row>
    <row r="180" spans="1:17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 s="3">
        <f t="shared" si="10"/>
        <v>4818.3599999999997</v>
      </c>
      <c r="J180" t="s">
        <v>56</v>
      </c>
      <c r="L180" s="2">
        <f t="shared" si="11"/>
        <v>1204.5899999999999</v>
      </c>
      <c r="M180" s="4">
        <f t="shared" si="12"/>
        <v>0.6</v>
      </c>
      <c r="N180" s="1">
        <f t="shared" si="13"/>
        <v>45782</v>
      </c>
      <c r="O180" s="3">
        <f>(Table13[[#This Row],[Units_Sold]]*Table13[[#This Row],[Unit_Price_Cleaned]]*(1-Table13[[#This Row],[Discount Cleaned]]))</f>
        <v>1927.3440000000001</v>
      </c>
      <c r="P180" t="str">
        <f t="shared" si="14"/>
        <v>Profit</v>
      </c>
      <c r="Q180" t="str" cm="1">
        <f t="array" ref="Q180">IF(K180="",INDEX($K$2:$K$2501,MATCH(MAX(COUNTIF($K$2:$K$2501,$K$2:$K$2501)),COUNTIF($K$2:$K$2501,$K$2:$K$2501),0)),K180)</f>
        <v>B2B</v>
      </c>
    </row>
    <row r="181" spans="1:17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 s="3">
        <f t="shared" si="10"/>
        <v>0</v>
      </c>
      <c r="I181" s="1">
        <v>45751</v>
      </c>
      <c r="J181" t="s">
        <v>22</v>
      </c>
      <c r="K181" t="s">
        <v>16</v>
      </c>
      <c r="L181" s="2">
        <f t="shared" si="11"/>
        <v>2483.5844000000002</v>
      </c>
      <c r="M181" s="4">
        <f t="shared" si="12"/>
        <v>0.6</v>
      </c>
      <c r="N181" s="1">
        <f t="shared" si="13"/>
        <v>45751</v>
      </c>
      <c r="O181" s="3">
        <f>(Table13[[#This Row],[Units_Sold]]*Table13[[#This Row],[Unit_Price_Cleaned]]*(1-Table13[[#This Row],[Discount Cleaned]]))</f>
        <v>0</v>
      </c>
      <c r="P181" t="str">
        <f t="shared" si="14"/>
        <v>Loss</v>
      </c>
      <c r="Q181" t="str" cm="1">
        <f t="array" ref="Q181">IF(K181="",INDEX($K$2:$K$2501,MATCH(MAX(COUNTIF($K$2:$K$2501,$K$2:$K$2501)),COUNTIF($K$2:$K$2501,$K$2:$K$2501),0)),K181)</f>
        <v>B2C</v>
      </c>
    </row>
    <row r="182" spans="1:17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 s="3">
        <f t="shared" si="10"/>
        <v>14975.76</v>
      </c>
      <c r="J182" t="s">
        <v>56</v>
      </c>
      <c r="K182" t="s">
        <v>16</v>
      </c>
      <c r="L182" s="2">
        <f t="shared" si="11"/>
        <v>2495.96</v>
      </c>
      <c r="M182" s="4">
        <f t="shared" si="12"/>
        <v>0.6</v>
      </c>
      <c r="N182" s="1">
        <f t="shared" si="13"/>
        <v>45782</v>
      </c>
      <c r="O182" s="3">
        <f>(Table13[[#This Row],[Units_Sold]]*Table13[[#This Row],[Unit_Price_Cleaned]]*(1-Table13[[#This Row],[Discount Cleaned]]))</f>
        <v>5990.3040000000001</v>
      </c>
      <c r="P182" t="str">
        <f t="shared" si="14"/>
        <v>Profit</v>
      </c>
      <c r="Q182" t="str" cm="1">
        <f t="array" ref="Q182">IF(K182="",INDEX($K$2:$K$2501,MATCH(MAX(COUNTIF($K$2:$K$2501,$K$2:$K$2501)),COUNTIF($K$2:$K$2501,$K$2:$K$2501),0)),K182)</f>
        <v>B2C</v>
      </c>
    </row>
    <row r="183" spans="1:17" x14ac:dyDescent="0.3">
      <c r="A183">
        <v>1181</v>
      </c>
      <c r="B183" t="s">
        <v>233</v>
      </c>
      <c r="C183" t="s">
        <v>20</v>
      </c>
      <c r="D183" t="s">
        <v>80</v>
      </c>
      <c r="E183">
        <v>2</v>
      </c>
      <c r="H183" s="3">
        <f t="shared" si="10"/>
        <v>4967.1688000000004</v>
      </c>
      <c r="I183" s="1">
        <v>45732</v>
      </c>
      <c r="J183" t="s">
        <v>22</v>
      </c>
      <c r="K183" t="s">
        <v>23</v>
      </c>
      <c r="L183" s="2">
        <f t="shared" si="11"/>
        <v>2483.5844000000002</v>
      </c>
      <c r="M183" s="4">
        <f t="shared" si="12"/>
        <v>0.6</v>
      </c>
      <c r="N183" s="1">
        <f t="shared" si="13"/>
        <v>45732</v>
      </c>
      <c r="O183" s="3">
        <f>(Table13[[#This Row],[Units_Sold]]*Table13[[#This Row],[Unit_Price_Cleaned]]*(1-Table13[[#This Row],[Discount Cleaned]]))</f>
        <v>1986.8675200000002</v>
      </c>
      <c r="P183" t="str">
        <f t="shared" si="14"/>
        <v>Profit</v>
      </c>
      <c r="Q183" t="str" cm="1">
        <f t="array" ref="Q183">IF(K183="",INDEX($K$2:$K$2501,MATCH(MAX(COUNTIF($K$2:$K$2501,$K$2:$K$2501)),COUNTIF($K$2:$K$2501,$K$2:$K$2501),0)),K183)</f>
        <v>B2B</v>
      </c>
    </row>
    <row r="184" spans="1:17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 s="3">
        <f t="shared" si="10"/>
        <v>-2381.2677586206896</v>
      </c>
      <c r="I184" s="1">
        <v>45510</v>
      </c>
      <c r="J184" t="s">
        <v>46</v>
      </c>
      <c r="L184" s="2">
        <f t="shared" si="11"/>
        <v>2381.2677586206896</v>
      </c>
      <c r="M184" s="4">
        <f t="shared" si="12"/>
        <v>0.6</v>
      </c>
      <c r="N184" s="1">
        <f t="shared" si="13"/>
        <v>45510</v>
      </c>
      <c r="O184" s="3">
        <f>(Table13[[#This Row],[Units_Sold]]*Table13[[#This Row],[Unit_Price_Cleaned]]*(1-Table13[[#This Row],[Discount Cleaned]]))</f>
        <v>-952.50710344827587</v>
      </c>
      <c r="P184" t="str">
        <f t="shared" si="14"/>
        <v>Loss</v>
      </c>
      <c r="Q184" t="str" cm="1">
        <f t="array" ref="Q184">IF(K184="",INDEX($K$2:$K$2501,MATCH(MAX(COUNTIF($K$2:$K$2501,$K$2:$K$2501)),COUNTIF($K$2:$K$2501,$K$2:$K$2501),0)),K184)</f>
        <v>B2B</v>
      </c>
    </row>
    <row r="185" spans="1:17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 s="3">
        <f t="shared" si="10"/>
        <v>14233.800000000001</v>
      </c>
      <c r="I185" s="1">
        <v>45378</v>
      </c>
      <c r="J185" t="s">
        <v>15</v>
      </c>
      <c r="L185" s="2">
        <f t="shared" si="11"/>
        <v>2372.3000000000002</v>
      </c>
      <c r="M185" s="4">
        <f t="shared" si="12"/>
        <v>0.6</v>
      </c>
      <c r="N185" s="1">
        <f t="shared" si="13"/>
        <v>45378</v>
      </c>
      <c r="O185" s="3">
        <f>(Table13[[#This Row],[Units_Sold]]*Table13[[#This Row],[Unit_Price_Cleaned]]*(1-Table13[[#This Row],[Discount Cleaned]]))</f>
        <v>5693.52</v>
      </c>
      <c r="P185" t="str">
        <f t="shared" si="14"/>
        <v>Profit</v>
      </c>
      <c r="Q185" t="str" cm="1">
        <f t="array" ref="Q185">IF(K185="",INDEX($K$2:$K$2501,MATCH(MAX(COUNTIF($K$2:$K$2501,$K$2:$K$2501)),COUNTIF($K$2:$K$2501,$K$2:$K$2501),0)),K185)</f>
        <v>B2B</v>
      </c>
    </row>
    <row r="186" spans="1:17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 s="3">
        <f t="shared" si="10"/>
        <v>0</v>
      </c>
      <c r="I186" s="1">
        <v>45829</v>
      </c>
      <c r="J186" t="s">
        <v>15</v>
      </c>
      <c r="K186" t="s">
        <v>23</v>
      </c>
      <c r="L186" s="2">
        <f t="shared" si="11"/>
        <v>2697.1</v>
      </c>
      <c r="M186" s="4">
        <f t="shared" si="12"/>
        <v>0.6</v>
      </c>
      <c r="N186" s="1">
        <f t="shared" si="13"/>
        <v>45829</v>
      </c>
      <c r="O186" s="3">
        <f>(Table13[[#This Row],[Units_Sold]]*Table13[[#This Row],[Unit_Price_Cleaned]]*(1-Table13[[#This Row],[Discount Cleaned]]))</f>
        <v>0</v>
      </c>
      <c r="P186" t="str">
        <f t="shared" si="14"/>
        <v>Loss</v>
      </c>
      <c r="Q186" t="str" cm="1">
        <f t="array" ref="Q186">IF(K186="",INDEX($K$2:$K$2501,MATCH(MAX(COUNTIF($K$2:$K$2501,$K$2:$K$2501)),COUNTIF($K$2:$K$2501,$K$2:$K$2501),0)),K186)</f>
        <v>B2B</v>
      </c>
    </row>
    <row r="187" spans="1:17" x14ac:dyDescent="0.3">
      <c r="A187">
        <v>1185</v>
      </c>
      <c r="B187" t="s">
        <v>237</v>
      </c>
      <c r="C187" t="s">
        <v>29</v>
      </c>
      <c r="D187" t="s">
        <v>30</v>
      </c>
      <c r="E187">
        <v>2</v>
      </c>
      <c r="H187" s="3">
        <f t="shared" si="10"/>
        <v>5235.2780769230776</v>
      </c>
      <c r="I187" s="1">
        <v>45791</v>
      </c>
      <c r="J187" t="s">
        <v>15</v>
      </c>
      <c r="K187" t="s">
        <v>16</v>
      </c>
      <c r="L187" s="2">
        <f t="shared" si="11"/>
        <v>2617.6390384615388</v>
      </c>
      <c r="M187" s="4">
        <f t="shared" si="12"/>
        <v>0.6</v>
      </c>
      <c r="N187" s="1">
        <f t="shared" si="13"/>
        <v>45791</v>
      </c>
      <c r="O187" s="3">
        <f>(Table13[[#This Row],[Units_Sold]]*Table13[[#This Row],[Unit_Price_Cleaned]]*(1-Table13[[#This Row],[Discount Cleaned]]))</f>
        <v>2094.111230769231</v>
      </c>
      <c r="P187" t="str">
        <f t="shared" si="14"/>
        <v>Profit</v>
      </c>
      <c r="Q187" t="str" cm="1">
        <f t="array" ref="Q187">IF(K187="",INDEX($K$2:$K$2501,MATCH(MAX(COUNTIF($K$2:$K$2501,$K$2:$K$2501)),COUNTIF($K$2:$K$2501,$K$2:$K$2501),0)),K187)</f>
        <v>B2C</v>
      </c>
    </row>
    <row r="188" spans="1:17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 s="3">
        <f t="shared" si="10"/>
        <v>17295.027931034481</v>
      </c>
      <c r="I188" s="1">
        <v>45820</v>
      </c>
      <c r="J188" t="s">
        <v>40</v>
      </c>
      <c r="K188" t="s">
        <v>23</v>
      </c>
      <c r="L188" s="2">
        <f t="shared" si="11"/>
        <v>2882.5046551724135</v>
      </c>
      <c r="M188" s="4">
        <f t="shared" si="12"/>
        <v>0.71</v>
      </c>
      <c r="N188" s="1">
        <f t="shared" si="13"/>
        <v>45820</v>
      </c>
      <c r="O188" s="3">
        <f>(Table13[[#This Row],[Units_Sold]]*Table13[[#This Row],[Unit_Price_Cleaned]]*(1-Table13[[#This Row],[Discount Cleaned]]))</f>
        <v>5015.5581000000002</v>
      </c>
      <c r="P188" t="str">
        <f t="shared" si="14"/>
        <v>Profit</v>
      </c>
      <c r="Q188" t="str" cm="1">
        <f t="array" ref="Q188">IF(K188="",INDEX($K$2:$K$2501,MATCH(MAX(COUNTIF($K$2:$K$2501,$K$2:$K$2501)),COUNTIF($K$2:$K$2501,$K$2:$K$2501),0)),K188)</f>
        <v>B2B</v>
      </c>
    </row>
    <row r="189" spans="1:17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 s="3">
        <f t="shared" si="10"/>
        <v>11432.67</v>
      </c>
      <c r="J189" t="s">
        <v>22</v>
      </c>
      <c r="K189" t="s">
        <v>16</v>
      </c>
      <c r="L189" s="2">
        <f t="shared" si="11"/>
        <v>3810.89</v>
      </c>
      <c r="M189" s="4">
        <f t="shared" si="12"/>
        <v>0.6</v>
      </c>
      <c r="N189" s="1">
        <f t="shared" si="13"/>
        <v>45782</v>
      </c>
      <c r="O189" s="3">
        <f>(Table13[[#This Row],[Units_Sold]]*Table13[[#This Row],[Unit_Price_Cleaned]]*(1-Table13[[#This Row],[Discount Cleaned]]))</f>
        <v>4573.0680000000002</v>
      </c>
      <c r="P189" t="str">
        <f t="shared" si="14"/>
        <v>Profit</v>
      </c>
      <c r="Q189" t="str" cm="1">
        <f t="array" ref="Q189">IF(K189="",INDEX($K$2:$K$2501,MATCH(MAX(COUNTIF($K$2:$K$2501,$K$2:$K$2501)),COUNTIF($K$2:$K$2501,$K$2:$K$2501),0)),K189)</f>
        <v>B2C</v>
      </c>
    </row>
    <row r="190" spans="1:17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 s="3">
        <f t="shared" si="10"/>
        <v>29461.68</v>
      </c>
      <c r="I190" s="1">
        <v>45531</v>
      </c>
      <c r="J190" t="s">
        <v>40</v>
      </c>
      <c r="L190" s="2">
        <f t="shared" si="11"/>
        <v>4910.28</v>
      </c>
      <c r="M190" s="4">
        <f t="shared" si="12"/>
        <v>0.12</v>
      </c>
      <c r="N190" s="1">
        <f t="shared" si="13"/>
        <v>45531</v>
      </c>
      <c r="O190" s="3">
        <f>(Table13[[#This Row],[Units_Sold]]*Table13[[#This Row],[Unit_Price_Cleaned]]*(1-Table13[[#This Row],[Discount Cleaned]]))</f>
        <v>25926.278399999999</v>
      </c>
      <c r="P190" t="str">
        <f t="shared" si="14"/>
        <v>Profit</v>
      </c>
      <c r="Q190" t="str" cm="1">
        <f t="array" ref="Q190">IF(K190="",INDEX($K$2:$K$2501,MATCH(MAX(COUNTIF($K$2:$K$2501,$K$2:$K$2501)),COUNTIF($K$2:$K$2501,$K$2:$K$2501),0)),K190)</f>
        <v>B2B</v>
      </c>
    </row>
    <row r="191" spans="1:17" x14ac:dyDescent="0.3">
      <c r="A191">
        <v>1189</v>
      </c>
      <c r="B191" t="s">
        <v>241</v>
      </c>
      <c r="C191" t="s">
        <v>33</v>
      </c>
      <c r="D191" t="s">
        <v>44</v>
      </c>
      <c r="E191">
        <v>2</v>
      </c>
      <c r="F191">
        <v>4808.1000000000004</v>
      </c>
      <c r="H191" s="3">
        <f t="shared" si="10"/>
        <v>9616.2000000000007</v>
      </c>
      <c r="I191" s="1">
        <v>45685</v>
      </c>
      <c r="J191" t="s">
        <v>18</v>
      </c>
      <c r="L191" s="2">
        <f t="shared" si="11"/>
        <v>4808.1000000000004</v>
      </c>
      <c r="M191" s="4">
        <f t="shared" si="12"/>
        <v>0.6</v>
      </c>
      <c r="N191" s="1">
        <f t="shared" si="13"/>
        <v>45685</v>
      </c>
      <c r="O191" s="3">
        <f>(Table13[[#This Row],[Units_Sold]]*Table13[[#This Row],[Unit_Price_Cleaned]]*(1-Table13[[#This Row],[Discount Cleaned]]))</f>
        <v>3846.4800000000005</v>
      </c>
      <c r="P191" t="str">
        <f t="shared" si="14"/>
        <v>Profit</v>
      </c>
      <c r="Q191" t="str" cm="1">
        <f t="array" ref="Q191">IF(K191="",INDEX($K$2:$K$2501,MATCH(MAX(COUNTIF($K$2:$K$2501,$K$2:$K$2501)),COUNTIF($K$2:$K$2501,$K$2:$K$2501),0)),K191)</f>
        <v>B2B</v>
      </c>
    </row>
    <row r="192" spans="1:17" x14ac:dyDescent="0.3">
      <c r="A192">
        <v>1190</v>
      </c>
      <c r="B192" t="s">
        <v>242</v>
      </c>
      <c r="C192" t="s">
        <v>20</v>
      </c>
      <c r="D192" t="s">
        <v>21</v>
      </c>
      <c r="E192">
        <v>2</v>
      </c>
      <c r="G192">
        <v>0.63</v>
      </c>
      <c r="H192" s="3">
        <f t="shared" si="10"/>
        <v>5362.348727272727</v>
      </c>
      <c r="I192" s="1">
        <v>45804</v>
      </c>
      <c r="J192" t="s">
        <v>46</v>
      </c>
      <c r="K192" t="s">
        <v>23</v>
      </c>
      <c r="L192" s="2">
        <f t="shared" si="11"/>
        <v>2681.1743636363635</v>
      </c>
      <c r="M192" s="4">
        <f t="shared" si="12"/>
        <v>0.63</v>
      </c>
      <c r="N192" s="1">
        <f t="shared" si="13"/>
        <v>45804</v>
      </c>
      <c r="O192" s="3">
        <f>(Table13[[#This Row],[Units_Sold]]*Table13[[#This Row],[Unit_Price_Cleaned]]*(1-Table13[[#This Row],[Discount Cleaned]]))</f>
        <v>1984.069029090909</v>
      </c>
      <c r="P192" t="str">
        <f t="shared" si="14"/>
        <v>Profit</v>
      </c>
      <c r="Q192" t="str" cm="1">
        <f t="array" ref="Q192">IF(K192="",INDEX($K$2:$K$2501,MATCH(MAX(COUNTIF($K$2:$K$2501,$K$2:$K$2501)),COUNTIF($K$2:$K$2501,$K$2:$K$2501),0)),K192)</f>
        <v>B2B</v>
      </c>
    </row>
    <row r="193" spans="1:17" x14ac:dyDescent="0.3">
      <c r="A193">
        <v>1191</v>
      </c>
      <c r="B193" t="s">
        <v>243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 s="3">
        <f t="shared" si="10"/>
        <v>4939.74</v>
      </c>
      <c r="J193" t="s">
        <v>22</v>
      </c>
      <c r="K193" t="s">
        <v>16</v>
      </c>
      <c r="L193" s="2">
        <f t="shared" si="11"/>
        <v>2469.87</v>
      </c>
      <c r="M193" s="4">
        <f t="shared" si="12"/>
        <v>0.56000000000000005</v>
      </c>
      <c r="N193" s="1">
        <f t="shared" si="13"/>
        <v>45782</v>
      </c>
      <c r="O193" s="3">
        <f>(Table13[[#This Row],[Units_Sold]]*Table13[[#This Row],[Unit_Price_Cleaned]]*(1-Table13[[#This Row],[Discount Cleaned]]))</f>
        <v>2173.4855999999995</v>
      </c>
      <c r="P193" t="str">
        <f t="shared" si="14"/>
        <v>Profit</v>
      </c>
      <c r="Q193" t="str" cm="1">
        <f t="array" ref="Q193">IF(K193="",INDEX($K$2:$K$2501,MATCH(MAX(COUNTIF($K$2:$K$2501,$K$2:$K$2501)),COUNTIF($K$2:$K$2501,$K$2:$K$2501),0)),K193)</f>
        <v>B2C</v>
      </c>
    </row>
    <row r="194" spans="1:17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 s="3">
        <f t="shared" ref="H194:H257" si="15">(L194*E194)</f>
        <v>0</v>
      </c>
      <c r="J194" t="s">
        <v>56</v>
      </c>
      <c r="K194" t="s">
        <v>16</v>
      </c>
      <c r="L194" s="2">
        <f t="shared" ref="L194:L257" si="16">IF(F194="",AVERAGEIF($D$2:$D$2501,D194,$F$2:$F$2501),F194)</f>
        <v>2487.039615384615</v>
      </c>
      <c r="M194" s="4">
        <f t="shared" ref="M194:M257" si="17">IF(G194="",MEDIAN($G$2,$G$2501),G194)</f>
        <v>0.6</v>
      </c>
      <c r="N194" s="1">
        <f t="shared" ref="N194:N257" si="18">IF(I194="",MODE($I$32:$I$2501),I194)</f>
        <v>45782</v>
      </c>
      <c r="O194" s="3">
        <f>(Table13[[#This Row],[Units_Sold]]*Table13[[#This Row],[Unit_Price_Cleaned]]*(1-Table13[[#This Row],[Discount Cleaned]]))</f>
        <v>0</v>
      </c>
      <c r="P194" t="str">
        <f t="shared" ref="P194:P257" si="19">IF(O194&gt;500,"Profit","Loss")</f>
        <v>Loss</v>
      </c>
      <c r="Q194" t="str" cm="1">
        <f t="array" ref="Q194">IF(K194="",INDEX($K$2:$K$2501,MATCH(MAX(COUNTIF($K$2:$K$2501,$K$2:$K$2501)),COUNTIF($K$2:$K$2501,$K$2:$K$2501),0)),K194)</f>
        <v>B2C</v>
      </c>
    </row>
    <row r="195" spans="1:17" x14ac:dyDescent="0.3">
      <c r="A195">
        <v>1193</v>
      </c>
      <c r="B195" t="s">
        <v>245</v>
      </c>
      <c r="C195" t="s">
        <v>38</v>
      </c>
      <c r="D195" t="s">
        <v>39</v>
      </c>
      <c r="E195">
        <v>2</v>
      </c>
      <c r="F195">
        <v>3031.06</v>
      </c>
      <c r="H195" s="3">
        <f t="shared" si="15"/>
        <v>6062.12</v>
      </c>
      <c r="I195" s="1">
        <v>45512</v>
      </c>
      <c r="J195" t="s">
        <v>46</v>
      </c>
      <c r="K195" t="s">
        <v>23</v>
      </c>
      <c r="L195" s="2">
        <f t="shared" si="16"/>
        <v>3031.06</v>
      </c>
      <c r="M195" s="4">
        <f t="shared" si="17"/>
        <v>0.6</v>
      </c>
      <c r="N195" s="1">
        <f t="shared" si="18"/>
        <v>45512</v>
      </c>
      <c r="O195" s="3">
        <f>(Table13[[#This Row],[Units_Sold]]*Table13[[#This Row],[Unit_Price_Cleaned]]*(1-Table13[[#This Row],[Discount Cleaned]]))</f>
        <v>2424.848</v>
      </c>
      <c r="P195" t="str">
        <f t="shared" si="19"/>
        <v>Profit</v>
      </c>
      <c r="Q195" t="str" cm="1">
        <f t="array" ref="Q195">IF(K195="",INDEX($K$2:$K$2501,MATCH(MAX(COUNTIF($K$2:$K$2501,$K$2:$K$2501)),COUNTIF($K$2:$K$2501,$K$2:$K$2501),0)),K195)</f>
        <v>B2B</v>
      </c>
    </row>
    <row r="196" spans="1:17" x14ac:dyDescent="0.3">
      <c r="A196">
        <v>1032</v>
      </c>
      <c r="B196" t="s">
        <v>246</v>
      </c>
      <c r="C196" t="s">
        <v>29</v>
      </c>
      <c r="D196" t="s">
        <v>42</v>
      </c>
      <c r="E196">
        <v>2</v>
      </c>
      <c r="H196" s="3">
        <f t="shared" si="15"/>
        <v>5119.3334615384629</v>
      </c>
      <c r="I196" s="1">
        <v>45847</v>
      </c>
      <c r="J196" t="s">
        <v>18</v>
      </c>
      <c r="K196" t="s">
        <v>16</v>
      </c>
      <c r="L196" s="2">
        <f t="shared" si="16"/>
        <v>2559.6667307692314</v>
      </c>
      <c r="M196" s="4">
        <f t="shared" si="17"/>
        <v>0.6</v>
      </c>
      <c r="N196" s="1">
        <f t="shared" si="18"/>
        <v>45847</v>
      </c>
      <c r="O196" s="3">
        <f>(Table13[[#This Row],[Units_Sold]]*Table13[[#This Row],[Unit_Price_Cleaned]]*(1-Table13[[#This Row],[Discount Cleaned]]))</f>
        <v>2047.7333846153851</v>
      </c>
      <c r="P196" t="str">
        <f t="shared" si="19"/>
        <v>Profit</v>
      </c>
      <c r="Q196" t="str" cm="1">
        <f t="array" ref="Q196">IF(K196="",INDEX($K$2:$K$2501,MATCH(MAX(COUNTIF($K$2:$K$2501,$K$2:$K$2501)),COUNTIF($K$2:$K$2501,$K$2:$K$2501),0)),K196)</f>
        <v>B2C</v>
      </c>
    </row>
    <row r="197" spans="1:17" x14ac:dyDescent="0.3">
      <c r="A197">
        <v>1195</v>
      </c>
      <c r="B197" t="s">
        <v>247</v>
      </c>
      <c r="C197" t="s">
        <v>38</v>
      </c>
      <c r="D197" t="s">
        <v>63</v>
      </c>
      <c r="E197">
        <v>2</v>
      </c>
      <c r="G197">
        <v>1.2</v>
      </c>
      <c r="H197" s="3">
        <f t="shared" si="15"/>
        <v>5690.4839344262318</v>
      </c>
      <c r="J197" t="s">
        <v>22</v>
      </c>
      <c r="K197" t="s">
        <v>16</v>
      </c>
      <c r="L197" s="2">
        <f t="shared" si="16"/>
        <v>2845.2419672131159</v>
      </c>
      <c r="M197" s="4">
        <f t="shared" si="17"/>
        <v>1.2</v>
      </c>
      <c r="N197" s="1">
        <f t="shared" si="18"/>
        <v>45782</v>
      </c>
      <c r="O197" s="3">
        <f>(Table13[[#This Row],[Units_Sold]]*Table13[[#This Row],[Unit_Price_Cleaned]]*(1-Table13[[#This Row],[Discount Cleaned]]))</f>
        <v>-1138.096786885246</v>
      </c>
      <c r="P197" t="str">
        <f t="shared" si="19"/>
        <v>Loss</v>
      </c>
      <c r="Q197" t="str" cm="1">
        <f t="array" ref="Q197">IF(K197="",INDEX($K$2:$K$2501,MATCH(MAX(COUNTIF($K$2:$K$2501,$K$2:$K$2501)),COUNTIF($K$2:$K$2501,$K$2:$K$2501),0)),K197)</f>
        <v>B2C</v>
      </c>
    </row>
    <row r="198" spans="1:17" x14ac:dyDescent="0.3">
      <c r="A198">
        <v>1196</v>
      </c>
      <c r="B198" t="s">
        <v>248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 s="3">
        <f t="shared" si="15"/>
        <v>7918.12</v>
      </c>
      <c r="I198" s="1">
        <v>45791</v>
      </c>
      <c r="J198" t="s">
        <v>56</v>
      </c>
      <c r="K198" t="s">
        <v>23</v>
      </c>
      <c r="L198" s="2">
        <f t="shared" si="16"/>
        <v>3959.06</v>
      </c>
      <c r="M198" s="4">
        <f t="shared" si="17"/>
        <v>0.37</v>
      </c>
      <c r="N198" s="1">
        <f t="shared" si="18"/>
        <v>45791</v>
      </c>
      <c r="O198" s="3">
        <f>(Table13[[#This Row],[Units_Sold]]*Table13[[#This Row],[Unit_Price_Cleaned]]*(1-Table13[[#This Row],[Discount Cleaned]]))</f>
        <v>4988.4156000000003</v>
      </c>
      <c r="P198" t="str">
        <f t="shared" si="19"/>
        <v>Profit</v>
      </c>
      <c r="Q198" t="str" cm="1">
        <f t="array" ref="Q198">IF(K198="",INDEX($K$2:$K$2501,MATCH(MAX(COUNTIF($K$2:$K$2501,$K$2:$K$2501)),COUNTIF($K$2:$K$2501,$K$2:$K$2501),0)),K198)</f>
        <v>B2B</v>
      </c>
    </row>
    <row r="199" spans="1:17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 s="3">
        <f t="shared" si="15"/>
        <v>2725.8557142857148</v>
      </c>
      <c r="J199" t="s">
        <v>56</v>
      </c>
      <c r="K199" t="s">
        <v>23</v>
      </c>
      <c r="L199" s="2">
        <f t="shared" si="16"/>
        <v>2725.8557142857148</v>
      </c>
      <c r="M199" s="4">
        <f t="shared" si="17"/>
        <v>0.6</v>
      </c>
      <c r="N199" s="1">
        <f t="shared" si="18"/>
        <v>45782</v>
      </c>
      <c r="O199" s="3">
        <f>(Table13[[#This Row],[Units_Sold]]*Table13[[#This Row],[Unit_Price_Cleaned]]*(1-Table13[[#This Row],[Discount Cleaned]]))</f>
        <v>1090.3422857142859</v>
      </c>
      <c r="P199" t="str">
        <f t="shared" si="19"/>
        <v>Profit</v>
      </c>
      <c r="Q199" t="str" cm="1">
        <f t="array" ref="Q199">IF(K199="",INDEX($K$2:$K$2501,MATCH(MAX(COUNTIF($K$2:$K$2501,$K$2:$K$2501)),COUNTIF($K$2:$K$2501,$K$2:$K$2501),0)),K199)</f>
        <v>B2B</v>
      </c>
    </row>
    <row r="200" spans="1:17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 s="3">
        <f t="shared" si="15"/>
        <v>10784.91</v>
      </c>
      <c r="I200" s="1">
        <v>45764</v>
      </c>
      <c r="J200" t="s">
        <v>15</v>
      </c>
      <c r="K200" t="s">
        <v>16</v>
      </c>
      <c r="L200" s="2">
        <f t="shared" si="16"/>
        <v>3594.97</v>
      </c>
      <c r="M200" s="4">
        <f t="shared" si="17"/>
        <v>0.6</v>
      </c>
      <c r="N200" s="1">
        <f t="shared" si="18"/>
        <v>45764</v>
      </c>
      <c r="O200" s="3">
        <f>(Table13[[#This Row],[Units_Sold]]*Table13[[#This Row],[Unit_Price_Cleaned]]*(1-Table13[[#This Row],[Discount Cleaned]]))</f>
        <v>4313.9639999999999</v>
      </c>
      <c r="P200" t="str">
        <f t="shared" si="19"/>
        <v>Profit</v>
      </c>
      <c r="Q200" t="str" cm="1">
        <f t="array" ref="Q200">IF(K200="",INDEX($K$2:$K$2501,MATCH(MAX(COUNTIF($K$2:$K$2501,$K$2:$K$2501)),COUNTIF($K$2:$K$2501,$K$2:$K$2501),0)),K200)</f>
        <v>B2C</v>
      </c>
    </row>
    <row r="201" spans="1:17" x14ac:dyDescent="0.3">
      <c r="A201">
        <v>1199</v>
      </c>
      <c r="B201" t="s">
        <v>251</v>
      </c>
      <c r="C201" t="s">
        <v>25</v>
      </c>
      <c r="D201" t="s">
        <v>86</v>
      </c>
      <c r="E201">
        <v>2</v>
      </c>
      <c r="F201">
        <v>2317.1</v>
      </c>
      <c r="H201" s="3">
        <f t="shared" si="15"/>
        <v>4634.2</v>
      </c>
      <c r="I201" s="1">
        <v>45690</v>
      </c>
      <c r="J201" t="s">
        <v>40</v>
      </c>
      <c r="L201" s="2">
        <f t="shared" si="16"/>
        <v>2317.1</v>
      </c>
      <c r="M201" s="4">
        <f t="shared" si="17"/>
        <v>0.6</v>
      </c>
      <c r="N201" s="1">
        <f t="shared" si="18"/>
        <v>45690</v>
      </c>
      <c r="O201" s="3">
        <f>(Table13[[#This Row],[Units_Sold]]*Table13[[#This Row],[Unit_Price_Cleaned]]*(1-Table13[[#This Row],[Discount Cleaned]]))</f>
        <v>1853.68</v>
      </c>
      <c r="P201" t="str">
        <f t="shared" si="19"/>
        <v>Profit</v>
      </c>
      <c r="Q201" t="str" cm="1">
        <f t="array" ref="Q201">IF(K201="",INDEX($K$2:$K$2501,MATCH(MAX(COUNTIF($K$2:$K$2501,$K$2:$K$2501)),COUNTIF($K$2:$K$2501,$K$2:$K$2501),0)),K201)</f>
        <v>B2B</v>
      </c>
    </row>
    <row r="202" spans="1:17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 s="3">
        <f t="shared" si="15"/>
        <v>10121.534615384619</v>
      </c>
      <c r="J202" t="s">
        <v>56</v>
      </c>
      <c r="K202" t="s">
        <v>16</v>
      </c>
      <c r="L202" s="2">
        <f t="shared" si="16"/>
        <v>2530.3836538461546</v>
      </c>
      <c r="M202" s="4">
        <f t="shared" si="17"/>
        <v>0.6</v>
      </c>
      <c r="N202" s="1">
        <f t="shared" si="18"/>
        <v>45782</v>
      </c>
      <c r="O202" s="3">
        <f>(Table13[[#This Row],[Units_Sold]]*Table13[[#This Row],[Unit_Price_Cleaned]]*(1-Table13[[#This Row],[Discount Cleaned]]))</f>
        <v>4048.6138461538476</v>
      </c>
      <c r="P202" t="str">
        <f t="shared" si="19"/>
        <v>Profit</v>
      </c>
      <c r="Q202" t="str" cm="1">
        <f t="array" ref="Q202">IF(K202="",INDEX($K$2:$K$2501,MATCH(MAX(COUNTIF($K$2:$K$2501,$K$2:$K$2501)),COUNTIF($K$2:$K$2501,$K$2:$K$2501),0)),K202)</f>
        <v>B2C</v>
      </c>
    </row>
    <row r="203" spans="1:17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 s="3">
        <f t="shared" si="15"/>
        <v>7015.7</v>
      </c>
      <c r="I203" s="1">
        <v>45667</v>
      </c>
      <c r="J203" t="s">
        <v>46</v>
      </c>
      <c r="K203" t="s">
        <v>23</v>
      </c>
      <c r="L203" s="2">
        <f t="shared" si="16"/>
        <v>3507.85</v>
      </c>
      <c r="M203" s="4">
        <f t="shared" si="17"/>
        <v>0.6</v>
      </c>
      <c r="N203" s="1">
        <f t="shared" si="18"/>
        <v>45667</v>
      </c>
      <c r="O203" s="3">
        <f>(Table13[[#This Row],[Units_Sold]]*Table13[[#This Row],[Unit_Price_Cleaned]]*(1-Table13[[#This Row],[Discount Cleaned]]))</f>
        <v>2806.28</v>
      </c>
      <c r="P203" t="str">
        <f t="shared" si="19"/>
        <v>Profit</v>
      </c>
      <c r="Q203" t="str" cm="1">
        <f t="array" ref="Q203">IF(K203="",INDEX($K$2:$K$2501,MATCH(MAX(COUNTIF($K$2:$K$2501,$K$2:$K$2501)),COUNTIF($K$2:$K$2501,$K$2:$K$2501),0)),K203)</f>
        <v>B2B</v>
      </c>
    </row>
    <row r="204" spans="1:17" x14ac:dyDescent="0.3">
      <c r="A204">
        <v>1202</v>
      </c>
      <c r="B204" t="s">
        <v>254</v>
      </c>
      <c r="C204" t="s">
        <v>29</v>
      </c>
      <c r="D204" t="s">
        <v>42</v>
      </c>
      <c r="E204">
        <v>2</v>
      </c>
      <c r="H204" s="3">
        <f t="shared" si="15"/>
        <v>5119.3334615384629</v>
      </c>
      <c r="I204" s="1">
        <v>45739</v>
      </c>
      <c r="J204" t="s">
        <v>40</v>
      </c>
      <c r="K204" t="s">
        <v>16</v>
      </c>
      <c r="L204" s="2">
        <f t="shared" si="16"/>
        <v>2559.6667307692314</v>
      </c>
      <c r="M204" s="4">
        <f t="shared" si="17"/>
        <v>0.6</v>
      </c>
      <c r="N204" s="1">
        <f t="shared" si="18"/>
        <v>45739</v>
      </c>
      <c r="O204" s="3">
        <f>(Table13[[#This Row],[Units_Sold]]*Table13[[#This Row],[Unit_Price_Cleaned]]*(1-Table13[[#This Row],[Discount Cleaned]]))</f>
        <v>2047.7333846153851</v>
      </c>
      <c r="P204" t="str">
        <f t="shared" si="19"/>
        <v>Profit</v>
      </c>
      <c r="Q204" t="str" cm="1">
        <f t="array" ref="Q204">IF(K204="",INDEX($K$2:$K$2501,MATCH(MAX(COUNTIF($K$2:$K$2501,$K$2:$K$2501)),COUNTIF($K$2:$K$2501,$K$2:$K$2501),0)),K204)</f>
        <v>B2C</v>
      </c>
    </row>
    <row r="205" spans="1:17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 s="3">
        <f t="shared" si="15"/>
        <v>12435.198076923076</v>
      </c>
      <c r="I205" s="1">
        <v>45671</v>
      </c>
      <c r="J205" t="s">
        <v>56</v>
      </c>
      <c r="K205" t="s">
        <v>16</v>
      </c>
      <c r="L205" s="2">
        <f t="shared" si="16"/>
        <v>2487.039615384615</v>
      </c>
      <c r="M205" s="4">
        <f t="shared" si="17"/>
        <v>0.6</v>
      </c>
      <c r="N205" s="1">
        <f t="shared" si="18"/>
        <v>45671</v>
      </c>
      <c r="O205" s="3">
        <f>(Table13[[#This Row],[Units_Sold]]*Table13[[#This Row],[Unit_Price_Cleaned]]*(1-Table13[[#This Row],[Discount Cleaned]]))</f>
        <v>4974.0792307692309</v>
      </c>
      <c r="P205" t="str">
        <f t="shared" si="19"/>
        <v>Profit</v>
      </c>
      <c r="Q205" t="str" cm="1">
        <f t="array" ref="Q205">IF(K205="",INDEX($K$2:$K$2501,MATCH(MAX(COUNTIF($K$2:$K$2501,$K$2:$K$2501)),COUNTIF($K$2:$K$2501,$K$2:$K$2501),0)),K205)</f>
        <v>B2C</v>
      </c>
    </row>
    <row r="206" spans="1:17" x14ac:dyDescent="0.3">
      <c r="A206">
        <v>1204</v>
      </c>
      <c r="B206" t="s">
        <v>256</v>
      </c>
      <c r="C206" t="s">
        <v>25</v>
      </c>
      <c r="D206" t="s">
        <v>66</v>
      </c>
      <c r="E206">
        <v>2</v>
      </c>
      <c r="F206">
        <v>4213.3999999999996</v>
      </c>
      <c r="H206" s="3">
        <f t="shared" si="15"/>
        <v>8426.7999999999993</v>
      </c>
      <c r="I206" s="1">
        <v>45608</v>
      </c>
      <c r="J206" t="s">
        <v>46</v>
      </c>
      <c r="K206" t="s">
        <v>23</v>
      </c>
      <c r="L206" s="2">
        <f t="shared" si="16"/>
        <v>4213.3999999999996</v>
      </c>
      <c r="M206" s="4">
        <f t="shared" si="17"/>
        <v>0.6</v>
      </c>
      <c r="N206" s="1">
        <f t="shared" si="18"/>
        <v>45608</v>
      </c>
      <c r="O206" s="3">
        <f>(Table13[[#This Row],[Units_Sold]]*Table13[[#This Row],[Unit_Price_Cleaned]]*(1-Table13[[#This Row],[Discount Cleaned]]))</f>
        <v>3370.72</v>
      </c>
      <c r="P206" t="str">
        <f t="shared" si="19"/>
        <v>Profit</v>
      </c>
      <c r="Q206" t="str" cm="1">
        <f t="array" ref="Q206">IF(K206="",INDEX($K$2:$K$2501,MATCH(MAX(COUNTIF($K$2:$K$2501,$K$2:$K$2501)),COUNTIF($K$2:$K$2501,$K$2:$K$2501),0)),K206)</f>
        <v>B2B</v>
      </c>
    </row>
    <row r="207" spans="1:17" x14ac:dyDescent="0.3">
      <c r="A207">
        <v>1205</v>
      </c>
      <c r="B207" t="s">
        <v>257</v>
      </c>
      <c r="C207" t="s">
        <v>13</v>
      </c>
      <c r="D207" t="s">
        <v>14</v>
      </c>
      <c r="E207">
        <v>2</v>
      </c>
      <c r="F207">
        <v>696.49</v>
      </c>
      <c r="H207" s="3">
        <f t="shared" si="15"/>
        <v>1392.98</v>
      </c>
      <c r="I207" s="1">
        <v>45819</v>
      </c>
      <c r="J207" t="s">
        <v>15</v>
      </c>
      <c r="K207" t="s">
        <v>16</v>
      </c>
      <c r="L207" s="2">
        <f t="shared" si="16"/>
        <v>696.49</v>
      </c>
      <c r="M207" s="4">
        <f t="shared" si="17"/>
        <v>0.6</v>
      </c>
      <c r="N207" s="1">
        <f t="shared" si="18"/>
        <v>45819</v>
      </c>
      <c r="O207" s="3">
        <f>(Table13[[#This Row],[Units_Sold]]*Table13[[#This Row],[Unit_Price_Cleaned]]*(1-Table13[[#This Row],[Discount Cleaned]]))</f>
        <v>557.19200000000001</v>
      </c>
      <c r="P207" t="str">
        <f t="shared" si="19"/>
        <v>Profit</v>
      </c>
      <c r="Q207" t="str" cm="1">
        <f t="array" ref="Q207">IF(K207="",INDEX($K$2:$K$2501,MATCH(MAX(COUNTIF($K$2:$K$2501,$K$2:$K$2501)),COUNTIF($K$2:$K$2501,$K$2:$K$2501),0)),K207)</f>
        <v>B2C</v>
      </c>
    </row>
    <row r="208" spans="1:17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 s="3">
        <f t="shared" si="15"/>
        <v>0</v>
      </c>
      <c r="I208" s="1">
        <v>45747</v>
      </c>
      <c r="J208" t="s">
        <v>56</v>
      </c>
      <c r="L208" s="2">
        <f t="shared" si="16"/>
        <v>2715.5458490566025</v>
      </c>
      <c r="M208" s="4">
        <f t="shared" si="17"/>
        <v>0.6</v>
      </c>
      <c r="N208" s="1">
        <f t="shared" si="18"/>
        <v>45747</v>
      </c>
      <c r="O208" s="3">
        <f>(Table13[[#This Row],[Units_Sold]]*Table13[[#This Row],[Unit_Price_Cleaned]]*(1-Table13[[#This Row],[Discount Cleaned]]))</f>
        <v>0</v>
      </c>
      <c r="P208" t="str">
        <f t="shared" si="19"/>
        <v>Loss</v>
      </c>
      <c r="Q208" t="str" cm="1">
        <f t="array" ref="Q208">IF(K208="",INDEX($K$2:$K$2501,MATCH(MAX(COUNTIF($K$2:$K$2501,$K$2:$K$2501)),COUNTIF($K$2:$K$2501,$K$2:$K$2501),0)),K208)</f>
        <v>B2B</v>
      </c>
    </row>
    <row r="209" spans="1:17" x14ac:dyDescent="0.3">
      <c r="A209">
        <v>1207</v>
      </c>
      <c r="B209" t="s">
        <v>259</v>
      </c>
      <c r="C209" t="s">
        <v>13</v>
      </c>
      <c r="D209" t="s">
        <v>49</v>
      </c>
      <c r="E209">
        <v>2</v>
      </c>
      <c r="F209">
        <v>563.14</v>
      </c>
      <c r="G209">
        <v>0.33</v>
      </c>
      <c r="H209" s="3">
        <f t="shared" si="15"/>
        <v>1126.28</v>
      </c>
      <c r="I209" s="1">
        <v>45433</v>
      </c>
      <c r="J209" t="s">
        <v>18</v>
      </c>
      <c r="K209" t="s">
        <v>23</v>
      </c>
      <c r="L209" s="2">
        <f t="shared" si="16"/>
        <v>563.14</v>
      </c>
      <c r="M209" s="4">
        <f t="shared" si="17"/>
        <v>0.33</v>
      </c>
      <c r="N209" s="1">
        <f t="shared" si="18"/>
        <v>45433</v>
      </c>
      <c r="O209" s="3">
        <f>(Table13[[#This Row],[Units_Sold]]*Table13[[#This Row],[Unit_Price_Cleaned]]*(1-Table13[[#This Row],[Discount Cleaned]]))</f>
        <v>754.60759999999993</v>
      </c>
      <c r="P209" t="str">
        <f t="shared" si="19"/>
        <v>Profit</v>
      </c>
      <c r="Q209" t="str" cm="1">
        <f t="array" ref="Q209">IF(K209="",INDEX($K$2:$K$2501,MATCH(MAX(COUNTIF($K$2:$K$2501,$K$2:$K$2501)),COUNTIF($K$2:$K$2501,$K$2:$K$2501),0)),K209)</f>
        <v>B2B</v>
      </c>
    </row>
    <row r="210" spans="1:17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 s="3">
        <f t="shared" si="15"/>
        <v>2725.8557142857148</v>
      </c>
      <c r="I210" s="1">
        <v>45667</v>
      </c>
      <c r="J210" t="s">
        <v>22</v>
      </c>
      <c r="L210" s="2">
        <f t="shared" si="16"/>
        <v>2725.8557142857148</v>
      </c>
      <c r="M210" s="4">
        <f t="shared" si="17"/>
        <v>0.6</v>
      </c>
      <c r="N210" s="1">
        <f t="shared" si="18"/>
        <v>45667</v>
      </c>
      <c r="O210" s="3">
        <f>(Table13[[#This Row],[Units_Sold]]*Table13[[#This Row],[Unit_Price_Cleaned]]*(1-Table13[[#This Row],[Discount Cleaned]]))</f>
        <v>1090.3422857142859</v>
      </c>
      <c r="P210" t="str">
        <f t="shared" si="19"/>
        <v>Profit</v>
      </c>
      <c r="Q210" t="str" cm="1">
        <f t="array" ref="Q210">IF(K210="",INDEX($K$2:$K$2501,MATCH(MAX(COUNTIF($K$2:$K$2501,$K$2:$K$2501)),COUNTIF($K$2:$K$2501,$K$2:$K$2501),0)),K210)</f>
        <v>B2B</v>
      </c>
    </row>
    <row r="211" spans="1:17" x14ac:dyDescent="0.3">
      <c r="A211">
        <v>1209</v>
      </c>
      <c r="B211" t="s">
        <v>261</v>
      </c>
      <c r="C211" t="s">
        <v>29</v>
      </c>
      <c r="D211" t="s">
        <v>120</v>
      </c>
      <c r="E211">
        <v>2</v>
      </c>
      <c r="F211">
        <v>4029.87</v>
      </c>
      <c r="H211" s="3">
        <f t="shared" si="15"/>
        <v>8059.74</v>
      </c>
      <c r="I211" s="1">
        <v>45666</v>
      </c>
      <c r="J211" t="s">
        <v>18</v>
      </c>
      <c r="L211" s="2">
        <f t="shared" si="16"/>
        <v>4029.87</v>
      </c>
      <c r="M211" s="4">
        <f t="shared" si="17"/>
        <v>0.6</v>
      </c>
      <c r="N211" s="1">
        <f t="shared" si="18"/>
        <v>45666</v>
      </c>
      <c r="O211" s="3">
        <f>(Table13[[#This Row],[Units_Sold]]*Table13[[#This Row],[Unit_Price_Cleaned]]*(1-Table13[[#This Row],[Discount Cleaned]]))</f>
        <v>3223.8960000000002</v>
      </c>
      <c r="P211" t="str">
        <f t="shared" si="19"/>
        <v>Profit</v>
      </c>
      <c r="Q211" t="str" cm="1">
        <f t="array" ref="Q211">IF(K211="",INDEX($K$2:$K$2501,MATCH(MAX(COUNTIF($K$2:$K$2501,$K$2:$K$2501)),COUNTIF($K$2:$K$2501,$K$2:$K$2501),0)),K211)</f>
        <v>B2B</v>
      </c>
    </row>
    <row r="212" spans="1:17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 s="3">
        <f t="shared" si="15"/>
        <v>11320.530285714292</v>
      </c>
      <c r="I212" s="1">
        <v>45803</v>
      </c>
      <c r="J212" t="s">
        <v>15</v>
      </c>
      <c r="L212" s="2">
        <f t="shared" si="16"/>
        <v>2830.1325714285731</v>
      </c>
      <c r="M212" s="4">
        <f t="shared" si="17"/>
        <v>1.1599999999999999</v>
      </c>
      <c r="N212" s="1">
        <f t="shared" si="18"/>
        <v>45803</v>
      </c>
      <c r="O212" s="3">
        <f>(Table13[[#This Row],[Units_Sold]]*Table13[[#This Row],[Unit_Price_Cleaned]]*(1-Table13[[#This Row],[Discount Cleaned]]))</f>
        <v>-1811.2848457142859</v>
      </c>
      <c r="P212" t="str">
        <f t="shared" si="19"/>
        <v>Loss</v>
      </c>
      <c r="Q212" t="str" cm="1">
        <f t="array" ref="Q212">IF(K212="",INDEX($K$2:$K$2501,MATCH(MAX(COUNTIF($K$2:$K$2501,$K$2:$K$2501)),COUNTIF($K$2:$K$2501,$K$2:$K$2501),0)),K212)</f>
        <v>B2B</v>
      </c>
    </row>
    <row r="213" spans="1:17" x14ac:dyDescent="0.3">
      <c r="A213">
        <v>1211</v>
      </c>
      <c r="B213" t="s">
        <v>263</v>
      </c>
      <c r="C213" t="s">
        <v>13</v>
      </c>
      <c r="D213" t="s">
        <v>102</v>
      </c>
      <c r="E213">
        <v>2</v>
      </c>
      <c r="F213">
        <v>1560.37</v>
      </c>
      <c r="H213" s="3">
        <f t="shared" si="15"/>
        <v>3120.74</v>
      </c>
      <c r="I213" s="1">
        <v>45630</v>
      </c>
      <c r="J213" t="s">
        <v>18</v>
      </c>
      <c r="K213" t="s">
        <v>16</v>
      </c>
      <c r="L213" s="2">
        <f t="shared" si="16"/>
        <v>1560.37</v>
      </c>
      <c r="M213" s="4">
        <f t="shared" si="17"/>
        <v>0.6</v>
      </c>
      <c r="N213" s="1">
        <f t="shared" si="18"/>
        <v>45630</v>
      </c>
      <c r="O213" s="3">
        <f>(Table13[[#This Row],[Units_Sold]]*Table13[[#This Row],[Unit_Price_Cleaned]]*(1-Table13[[#This Row],[Discount Cleaned]]))</f>
        <v>1248.296</v>
      </c>
      <c r="P213" t="str">
        <f t="shared" si="19"/>
        <v>Profit</v>
      </c>
      <c r="Q213" t="str" cm="1">
        <f t="array" ref="Q213">IF(K213="",INDEX($K$2:$K$2501,MATCH(MAX(COUNTIF($K$2:$K$2501,$K$2:$K$2501)),COUNTIF($K$2:$K$2501,$K$2:$K$2501),0)),K213)</f>
        <v>B2C</v>
      </c>
    </row>
    <row r="214" spans="1:17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 s="3">
        <f t="shared" si="15"/>
        <v>-4098.12</v>
      </c>
      <c r="I214" s="1">
        <v>45582</v>
      </c>
      <c r="J214" t="s">
        <v>56</v>
      </c>
      <c r="L214" s="2">
        <f t="shared" si="16"/>
        <v>4098.12</v>
      </c>
      <c r="M214" s="4">
        <f t="shared" si="17"/>
        <v>0.6</v>
      </c>
      <c r="N214" s="1">
        <f t="shared" si="18"/>
        <v>45582</v>
      </c>
      <c r="O214" s="3">
        <f>(Table13[[#This Row],[Units_Sold]]*Table13[[#This Row],[Unit_Price_Cleaned]]*(1-Table13[[#This Row],[Discount Cleaned]]))</f>
        <v>-1639.248</v>
      </c>
      <c r="P214" t="str">
        <f t="shared" si="19"/>
        <v>Loss</v>
      </c>
      <c r="Q214" t="str" cm="1">
        <f t="array" ref="Q214">IF(K214="",INDEX($K$2:$K$2501,MATCH(MAX(COUNTIF($K$2:$K$2501,$K$2:$K$2501)),COUNTIF($K$2:$K$2501,$K$2:$K$2501),0)),K214)</f>
        <v>B2B</v>
      </c>
    </row>
    <row r="215" spans="1:17" x14ac:dyDescent="0.3">
      <c r="A215">
        <v>1213</v>
      </c>
      <c r="B215" t="s">
        <v>265</v>
      </c>
      <c r="C215" t="s">
        <v>33</v>
      </c>
      <c r="D215" t="s">
        <v>72</v>
      </c>
      <c r="E215">
        <v>2</v>
      </c>
      <c r="H215" s="3">
        <f t="shared" si="15"/>
        <v>5431.091698113205</v>
      </c>
      <c r="I215" s="1">
        <v>45684</v>
      </c>
      <c r="J215" t="s">
        <v>18</v>
      </c>
      <c r="L215" s="2">
        <f t="shared" si="16"/>
        <v>2715.5458490566025</v>
      </c>
      <c r="M215" s="4">
        <f t="shared" si="17"/>
        <v>0.6</v>
      </c>
      <c r="N215" s="1">
        <f t="shared" si="18"/>
        <v>45684</v>
      </c>
      <c r="O215" s="3">
        <f>(Table13[[#This Row],[Units_Sold]]*Table13[[#This Row],[Unit_Price_Cleaned]]*(1-Table13[[#This Row],[Discount Cleaned]]))</f>
        <v>2172.436679245282</v>
      </c>
      <c r="P215" t="str">
        <f t="shared" si="19"/>
        <v>Profit</v>
      </c>
      <c r="Q215" t="str" cm="1">
        <f t="array" ref="Q215">IF(K215="",INDEX($K$2:$K$2501,MATCH(MAX(COUNTIF($K$2:$K$2501,$K$2:$K$2501)),COUNTIF($K$2:$K$2501,$K$2:$K$2501),0)),K215)</f>
        <v>B2B</v>
      </c>
    </row>
    <row r="216" spans="1:17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 s="3">
        <f t="shared" si="15"/>
        <v>5094.3999999999996</v>
      </c>
      <c r="I216" s="1">
        <v>45826</v>
      </c>
      <c r="J216" t="s">
        <v>56</v>
      </c>
      <c r="K216" t="s">
        <v>16</v>
      </c>
      <c r="L216" s="2">
        <f t="shared" si="16"/>
        <v>1273.5999999999999</v>
      </c>
      <c r="M216" s="4">
        <f t="shared" si="17"/>
        <v>0.6</v>
      </c>
      <c r="N216" s="1">
        <f t="shared" si="18"/>
        <v>45826</v>
      </c>
      <c r="O216" s="3">
        <f>(Table13[[#This Row],[Units_Sold]]*Table13[[#This Row],[Unit_Price_Cleaned]]*(1-Table13[[#This Row],[Discount Cleaned]]))</f>
        <v>2037.76</v>
      </c>
      <c r="P216" t="str">
        <f t="shared" si="19"/>
        <v>Profit</v>
      </c>
      <c r="Q216" t="str" cm="1">
        <f t="array" ref="Q216">IF(K216="",INDEX($K$2:$K$2501,MATCH(MAX(COUNTIF($K$2:$K$2501,$K$2:$K$2501)),COUNTIF($K$2:$K$2501,$K$2:$K$2501),0)),K216)</f>
        <v>B2C</v>
      </c>
    </row>
    <row r="217" spans="1:17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 s="3">
        <f t="shared" si="15"/>
        <v>22813.62</v>
      </c>
      <c r="J217" t="s">
        <v>18</v>
      </c>
      <c r="K217" t="s">
        <v>16</v>
      </c>
      <c r="L217" s="2">
        <f t="shared" si="16"/>
        <v>3802.27</v>
      </c>
      <c r="M217" s="4">
        <f t="shared" si="17"/>
        <v>0.6</v>
      </c>
      <c r="N217" s="1">
        <f t="shared" si="18"/>
        <v>45782</v>
      </c>
      <c r="O217" s="3">
        <f>(Table13[[#This Row],[Units_Sold]]*Table13[[#This Row],[Unit_Price_Cleaned]]*(1-Table13[[#This Row],[Discount Cleaned]]))</f>
        <v>9125.4480000000003</v>
      </c>
      <c r="P217" t="str">
        <f t="shared" si="19"/>
        <v>Profit</v>
      </c>
      <c r="Q217" t="str" cm="1">
        <f t="array" ref="Q217">IF(K217="",INDEX($K$2:$K$2501,MATCH(MAX(COUNTIF($K$2:$K$2501,$K$2:$K$2501)),COUNTIF($K$2:$K$2501,$K$2:$K$2501),0)),K217)</f>
        <v>B2C</v>
      </c>
    </row>
    <row r="218" spans="1:17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 s="3">
        <f t="shared" si="15"/>
        <v>16293.275094339615</v>
      </c>
      <c r="I218" s="1">
        <v>45495</v>
      </c>
      <c r="J218" t="s">
        <v>15</v>
      </c>
      <c r="K218" t="s">
        <v>23</v>
      </c>
      <c r="L218" s="2">
        <f t="shared" si="16"/>
        <v>2715.5458490566025</v>
      </c>
      <c r="M218" s="4">
        <f t="shared" si="17"/>
        <v>1.17</v>
      </c>
      <c r="N218" s="1">
        <f t="shared" si="18"/>
        <v>45495</v>
      </c>
      <c r="O218" s="3">
        <f>(Table13[[#This Row],[Units_Sold]]*Table13[[#This Row],[Unit_Price_Cleaned]]*(1-Table13[[#This Row],[Discount Cleaned]]))</f>
        <v>-2769.8567660377335</v>
      </c>
      <c r="P218" t="str">
        <f t="shared" si="19"/>
        <v>Loss</v>
      </c>
      <c r="Q218" t="str" cm="1">
        <f t="array" ref="Q218">IF(K218="",INDEX($K$2:$K$2501,MATCH(MAX(COUNTIF($K$2:$K$2501,$K$2:$K$2501)),COUNTIF($K$2:$K$2501,$K$2:$K$2501),0)),K218)</f>
        <v>B2B</v>
      </c>
    </row>
    <row r="219" spans="1:17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 s="3">
        <f t="shared" si="15"/>
        <v>8551.14</v>
      </c>
      <c r="J219" t="s">
        <v>15</v>
      </c>
      <c r="K219" t="s">
        <v>16</v>
      </c>
      <c r="L219" s="2">
        <f t="shared" si="16"/>
        <v>2850.38</v>
      </c>
      <c r="M219" s="4">
        <f t="shared" si="17"/>
        <v>0.6</v>
      </c>
      <c r="N219" s="1">
        <f t="shared" si="18"/>
        <v>45782</v>
      </c>
      <c r="O219" s="3">
        <f>(Table13[[#This Row],[Units_Sold]]*Table13[[#This Row],[Unit_Price_Cleaned]]*(1-Table13[[#This Row],[Discount Cleaned]]))</f>
        <v>3420.4560000000001</v>
      </c>
      <c r="P219" t="str">
        <f t="shared" si="19"/>
        <v>Profit</v>
      </c>
      <c r="Q219" t="str" cm="1">
        <f t="array" ref="Q219">IF(K219="",INDEX($K$2:$K$2501,MATCH(MAX(COUNTIF($K$2:$K$2501,$K$2:$K$2501)),COUNTIF($K$2:$K$2501,$K$2:$K$2501),0)),K219)</f>
        <v>B2C</v>
      </c>
    </row>
    <row r="220" spans="1:17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 s="3">
        <f t="shared" si="15"/>
        <v>4633.3500000000004</v>
      </c>
      <c r="I220" s="1">
        <v>45747</v>
      </c>
      <c r="J220" t="s">
        <v>56</v>
      </c>
      <c r="K220" t="s">
        <v>23</v>
      </c>
      <c r="L220" s="2">
        <f t="shared" si="16"/>
        <v>1544.45</v>
      </c>
      <c r="M220" s="4">
        <f t="shared" si="17"/>
        <v>0.33</v>
      </c>
      <c r="N220" s="1">
        <f t="shared" si="18"/>
        <v>45747</v>
      </c>
      <c r="O220" s="3">
        <f>(Table13[[#This Row],[Units_Sold]]*Table13[[#This Row],[Unit_Price_Cleaned]]*(1-Table13[[#This Row],[Discount Cleaned]]))</f>
        <v>3104.3444999999997</v>
      </c>
      <c r="P220" t="str">
        <f t="shared" si="19"/>
        <v>Profit</v>
      </c>
      <c r="Q220" t="str" cm="1">
        <f t="array" ref="Q220">IF(K220="",INDEX($K$2:$K$2501,MATCH(MAX(COUNTIF($K$2:$K$2501,$K$2:$K$2501)),COUNTIF($K$2:$K$2501,$K$2:$K$2501),0)),K220)</f>
        <v>B2B</v>
      </c>
    </row>
    <row r="221" spans="1:17" x14ac:dyDescent="0.3">
      <c r="A221">
        <v>1219</v>
      </c>
      <c r="B221" t="s">
        <v>271</v>
      </c>
      <c r="C221" t="s">
        <v>13</v>
      </c>
      <c r="D221" t="s">
        <v>49</v>
      </c>
      <c r="E221">
        <v>2</v>
      </c>
      <c r="H221" s="3">
        <f t="shared" si="15"/>
        <v>5570.1755932203387</v>
      </c>
      <c r="I221" s="1">
        <v>45624</v>
      </c>
      <c r="J221" t="s">
        <v>40</v>
      </c>
      <c r="L221" s="2">
        <f t="shared" si="16"/>
        <v>2785.0877966101693</v>
      </c>
      <c r="M221" s="4">
        <f t="shared" si="17"/>
        <v>0.6</v>
      </c>
      <c r="N221" s="1">
        <f t="shared" si="18"/>
        <v>45624</v>
      </c>
      <c r="O221" s="3">
        <f>(Table13[[#This Row],[Units_Sold]]*Table13[[#This Row],[Unit_Price_Cleaned]]*(1-Table13[[#This Row],[Discount Cleaned]]))</f>
        <v>2228.0702372881356</v>
      </c>
      <c r="P221" t="str">
        <f t="shared" si="19"/>
        <v>Profit</v>
      </c>
      <c r="Q221" t="str" cm="1">
        <f t="array" ref="Q221">IF(K221="",INDEX($K$2:$K$2501,MATCH(MAX(COUNTIF($K$2:$K$2501,$K$2:$K$2501)),COUNTIF($K$2:$K$2501,$K$2:$K$2501),0)),K221)</f>
        <v>B2B</v>
      </c>
    </row>
    <row r="222" spans="1:17" x14ac:dyDescent="0.3">
      <c r="A222">
        <v>1220</v>
      </c>
      <c r="B222" t="s">
        <v>272</v>
      </c>
      <c r="C222" t="s">
        <v>33</v>
      </c>
      <c r="D222" t="s">
        <v>44</v>
      </c>
      <c r="E222">
        <v>2</v>
      </c>
      <c r="H222" s="3">
        <f t="shared" si="15"/>
        <v>5683.5261224489814</v>
      </c>
      <c r="I222" s="1">
        <v>45495</v>
      </c>
      <c r="J222" t="s">
        <v>40</v>
      </c>
      <c r="L222" s="2">
        <f t="shared" si="16"/>
        <v>2841.7630612244907</v>
      </c>
      <c r="M222" s="4">
        <f t="shared" si="17"/>
        <v>0.6</v>
      </c>
      <c r="N222" s="1">
        <f t="shared" si="18"/>
        <v>45495</v>
      </c>
      <c r="O222" s="3">
        <f>(Table13[[#This Row],[Units_Sold]]*Table13[[#This Row],[Unit_Price_Cleaned]]*(1-Table13[[#This Row],[Discount Cleaned]]))</f>
        <v>2273.4104489795927</v>
      </c>
      <c r="P222" t="str">
        <f t="shared" si="19"/>
        <v>Profit</v>
      </c>
      <c r="Q222" t="str" cm="1">
        <f t="array" ref="Q222">IF(K222="",INDEX($K$2:$K$2501,MATCH(MAX(COUNTIF($K$2:$K$2501,$K$2:$K$2501)),COUNTIF($K$2:$K$2501,$K$2:$K$2501),0)),K222)</f>
        <v>B2B</v>
      </c>
    </row>
    <row r="223" spans="1:17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 s="3">
        <f t="shared" si="15"/>
        <v>7852.9171153846164</v>
      </c>
      <c r="I223" s="1">
        <v>45563</v>
      </c>
      <c r="J223" t="s">
        <v>22</v>
      </c>
      <c r="K223" t="s">
        <v>23</v>
      </c>
      <c r="L223" s="2">
        <f t="shared" si="16"/>
        <v>2617.6390384615388</v>
      </c>
      <c r="M223" s="4">
        <f t="shared" si="17"/>
        <v>0.6</v>
      </c>
      <c r="N223" s="1">
        <f t="shared" si="18"/>
        <v>45563</v>
      </c>
      <c r="O223" s="3">
        <f>(Table13[[#This Row],[Units_Sold]]*Table13[[#This Row],[Unit_Price_Cleaned]]*(1-Table13[[#This Row],[Discount Cleaned]]))</f>
        <v>3141.1668461538466</v>
      </c>
      <c r="P223" t="str">
        <f t="shared" si="19"/>
        <v>Profit</v>
      </c>
      <c r="Q223" t="str" cm="1">
        <f t="array" ref="Q223">IF(K223="",INDEX($K$2:$K$2501,MATCH(MAX(COUNTIF($K$2:$K$2501,$K$2:$K$2501)),COUNTIF($K$2:$K$2501,$K$2:$K$2501),0)),K223)</f>
        <v>B2B</v>
      </c>
    </row>
    <row r="224" spans="1:17" x14ac:dyDescent="0.3">
      <c r="A224">
        <v>1222</v>
      </c>
      <c r="B224" t="s">
        <v>274</v>
      </c>
      <c r="C224" t="s">
        <v>33</v>
      </c>
      <c r="D224" t="s">
        <v>72</v>
      </c>
      <c r="E224">
        <v>2</v>
      </c>
      <c r="F224">
        <v>683.85</v>
      </c>
      <c r="H224" s="3">
        <f t="shared" si="15"/>
        <v>1367.7</v>
      </c>
      <c r="I224" s="1">
        <v>45595</v>
      </c>
      <c r="J224" t="s">
        <v>46</v>
      </c>
      <c r="K224" t="s">
        <v>16</v>
      </c>
      <c r="L224" s="2">
        <f t="shared" si="16"/>
        <v>683.85</v>
      </c>
      <c r="M224" s="4">
        <f t="shared" si="17"/>
        <v>0.6</v>
      </c>
      <c r="N224" s="1">
        <f t="shared" si="18"/>
        <v>45595</v>
      </c>
      <c r="O224" s="3">
        <f>(Table13[[#This Row],[Units_Sold]]*Table13[[#This Row],[Unit_Price_Cleaned]]*(1-Table13[[#This Row],[Discount Cleaned]]))</f>
        <v>547.08000000000004</v>
      </c>
      <c r="P224" t="str">
        <f t="shared" si="19"/>
        <v>Profit</v>
      </c>
      <c r="Q224" t="str" cm="1">
        <f t="array" ref="Q224">IF(K224="",INDEX($K$2:$K$2501,MATCH(MAX(COUNTIF($K$2:$K$2501,$K$2:$K$2501)),COUNTIF($K$2:$K$2501,$K$2:$K$2501),0)),K224)</f>
        <v>B2C</v>
      </c>
    </row>
    <row r="225" spans="1:17" x14ac:dyDescent="0.3">
      <c r="A225">
        <v>1223</v>
      </c>
      <c r="B225" t="s">
        <v>275</v>
      </c>
      <c r="C225" t="s">
        <v>33</v>
      </c>
      <c r="D225" t="s">
        <v>34</v>
      </c>
      <c r="E225">
        <v>2</v>
      </c>
      <c r="H225" s="3">
        <f t="shared" si="15"/>
        <v>4974.07923076923</v>
      </c>
      <c r="J225" t="s">
        <v>56</v>
      </c>
      <c r="K225" t="s">
        <v>23</v>
      </c>
      <c r="L225" s="2">
        <f t="shared" si="16"/>
        <v>2487.039615384615</v>
      </c>
      <c r="M225" s="4">
        <f t="shared" si="17"/>
        <v>0.6</v>
      </c>
      <c r="N225" s="1">
        <f t="shared" si="18"/>
        <v>45782</v>
      </c>
      <c r="O225" s="3">
        <f>(Table13[[#This Row],[Units_Sold]]*Table13[[#This Row],[Unit_Price_Cleaned]]*(1-Table13[[#This Row],[Discount Cleaned]]))</f>
        <v>1989.631692307692</v>
      </c>
      <c r="P225" t="str">
        <f t="shared" si="19"/>
        <v>Profit</v>
      </c>
      <c r="Q225" t="str" cm="1">
        <f t="array" ref="Q225">IF(K225="",INDEX($K$2:$K$2501,MATCH(MAX(COUNTIF($K$2:$K$2501,$K$2:$K$2501)),COUNTIF($K$2:$K$2501,$K$2:$K$2501),0)),K225)</f>
        <v>B2B</v>
      </c>
    </row>
    <row r="226" spans="1:17" x14ac:dyDescent="0.3">
      <c r="A226">
        <v>1224</v>
      </c>
      <c r="B226" t="s">
        <v>276</v>
      </c>
      <c r="C226" t="s">
        <v>38</v>
      </c>
      <c r="D226" t="s">
        <v>63</v>
      </c>
      <c r="E226">
        <v>2</v>
      </c>
      <c r="H226" s="3">
        <f t="shared" si="15"/>
        <v>5690.4839344262318</v>
      </c>
      <c r="I226" s="1">
        <v>45737</v>
      </c>
      <c r="J226" t="s">
        <v>18</v>
      </c>
      <c r="K226" t="s">
        <v>16</v>
      </c>
      <c r="L226" s="2">
        <f t="shared" si="16"/>
        <v>2845.2419672131159</v>
      </c>
      <c r="M226" s="4">
        <f t="shared" si="17"/>
        <v>0.6</v>
      </c>
      <c r="N226" s="1">
        <f t="shared" si="18"/>
        <v>45737</v>
      </c>
      <c r="O226" s="3">
        <f>(Table13[[#This Row],[Units_Sold]]*Table13[[#This Row],[Unit_Price_Cleaned]]*(1-Table13[[#This Row],[Discount Cleaned]]))</f>
        <v>2276.193573770493</v>
      </c>
      <c r="P226" t="str">
        <f t="shared" si="19"/>
        <v>Profit</v>
      </c>
      <c r="Q226" t="str" cm="1">
        <f t="array" ref="Q226">IF(K226="",INDEX($K$2:$K$2501,MATCH(MAX(COUNTIF($K$2:$K$2501,$K$2:$K$2501)),COUNTIF($K$2:$K$2501,$K$2:$K$2501),0)),K226)</f>
        <v>B2C</v>
      </c>
    </row>
    <row r="227" spans="1:17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 s="3">
        <f t="shared" si="15"/>
        <v>-1406.32</v>
      </c>
      <c r="I227" s="1">
        <v>45851</v>
      </c>
      <c r="J227" t="s">
        <v>40</v>
      </c>
      <c r="L227" s="2">
        <f t="shared" si="16"/>
        <v>1406.32</v>
      </c>
      <c r="M227" s="4">
        <f t="shared" si="17"/>
        <v>1.05</v>
      </c>
      <c r="N227" s="1">
        <f t="shared" si="18"/>
        <v>45851</v>
      </c>
      <c r="O227" s="3">
        <f>(Table13[[#This Row],[Units_Sold]]*Table13[[#This Row],[Unit_Price_Cleaned]]*(1-Table13[[#This Row],[Discount Cleaned]]))</f>
        <v>70.316000000000059</v>
      </c>
      <c r="P227" t="str">
        <f t="shared" si="19"/>
        <v>Loss</v>
      </c>
      <c r="Q227" t="str" cm="1">
        <f t="array" ref="Q227">IF(K227="",INDEX($K$2:$K$2501,MATCH(MAX(COUNTIF($K$2:$K$2501,$K$2:$K$2501)),COUNTIF($K$2:$K$2501,$K$2:$K$2501),0)),K227)</f>
        <v>B2B</v>
      </c>
    </row>
    <row r="228" spans="1:17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 s="3">
        <f t="shared" si="15"/>
        <v>2868.7768181818178</v>
      </c>
      <c r="I228" s="1">
        <v>45591</v>
      </c>
      <c r="J228" t="s">
        <v>18</v>
      </c>
      <c r="K228" t="s">
        <v>23</v>
      </c>
      <c r="L228" s="2">
        <f t="shared" si="16"/>
        <v>2868.7768181818178</v>
      </c>
      <c r="M228" s="4">
        <f t="shared" si="17"/>
        <v>1.1499999999999999</v>
      </c>
      <c r="N228" s="1">
        <f t="shared" si="18"/>
        <v>45591</v>
      </c>
      <c r="O228" s="3">
        <f>(Table13[[#This Row],[Units_Sold]]*Table13[[#This Row],[Unit_Price_Cleaned]]*(1-Table13[[#This Row],[Discount Cleaned]]))</f>
        <v>-430.3165227272724</v>
      </c>
      <c r="P228" t="str">
        <f t="shared" si="19"/>
        <v>Loss</v>
      </c>
      <c r="Q228" t="str" cm="1">
        <f t="array" ref="Q228">IF(K228="",INDEX($K$2:$K$2501,MATCH(MAX(COUNTIF($K$2:$K$2501,$K$2:$K$2501)),COUNTIF($K$2:$K$2501,$K$2:$K$2501),0)),K228)</f>
        <v>B2B</v>
      </c>
    </row>
    <row r="229" spans="1:17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 s="3">
        <f t="shared" si="15"/>
        <v>5119.3334615384629</v>
      </c>
      <c r="I229" s="1">
        <v>45356</v>
      </c>
      <c r="J229" t="s">
        <v>56</v>
      </c>
      <c r="K229" t="s">
        <v>16</v>
      </c>
      <c r="L229" s="2">
        <f t="shared" si="16"/>
        <v>2559.6667307692314</v>
      </c>
      <c r="M229" s="4">
        <f t="shared" si="17"/>
        <v>0.25</v>
      </c>
      <c r="N229" s="1">
        <f t="shared" si="18"/>
        <v>45356</v>
      </c>
      <c r="O229" s="3">
        <f>(Table13[[#This Row],[Units_Sold]]*Table13[[#This Row],[Unit_Price_Cleaned]]*(1-Table13[[#This Row],[Discount Cleaned]]))</f>
        <v>3839.5000961538472</v>
      </c>
      <c r="P229" t="str">
        <f t="shared" si="19"/>
        <v>Profit</v>
      </c>
      <c r="Q229" t="str" cm="1">
        <f t="array" ref="Q229">IF(K229="",INDEX($K$2:$K$2501,MATCH(MAX(COUNTIF($K$2:$K$2501,$K$2:$K$2501)),COUNTIF($K$2:$K$2501,$K$2:$K$2501),0)),K229)</f>
        <v>B2C</v>
      </c>
    </row>
    <row r="230" spans="1:17" x14ac:dyDescent="0.3">
      <c r="A230">
        <v>1048</v>
      </c>
      <c r="B230" t="s">
        <v>280</v>
      </c>
      <c r="C230" t="s">
        <v>29</v>
      </c>
      <c r="D230" t="s">
        <v>141</v>
      </c>
      <c r="E230">
        <v>2</v>
      </c>
      <c r="F230">
        <v>2298.27</v>
      </c>
      <c r="G230">
        <v>0.59</v>
      </c>
      <c r="H230" s="3">
        <f t="shared" si="15"/>
        <v>4596.54</v>
      </c>
      <c r="I230" s="1">
        <v>45743</v>
      </c>
      <c r="J230" t="s">
        <v>46</v>
      </c>
      <c r="K230" t="s">
        <v>23</v>
      </c>
      <c r="L230" s="2">
        <f t="shared" si="16"/>
        <v>2298.27</v>
      </c>
      <c r="M230" s="4">
        <f t="shared" si="17"/>
        <v>0.59</v>
      </c>
      <c r="N230" s="1">
        <f t="shared" si="18"/>
        <v>45743</v>
      </c>
      <c r="O230" s="3">
        <f>(Table13[[#This Row],[Units_Sold]]*Table13[[#This Row],[Unit_Price_Cleaned]]*(1-Table13[[#This Row],[Discount Cleaned]]))</f>
        <v>1884.5814</v>
      </c>
      <c r="P230" t="str">
        <f t="shared" si="19"/>
        <v>Profit</v>
      </c>
      <c r="Q230" t="str" cm="1">
        <f t="array" ref="Q230">IF(K230="",INDEX($K$2:$K$2501,MATCH(MAX(COUNTIF($K$2:$K$2501,$K$2:$K$2501)),COUNTIF($K$2:$K$2501,$K$2:$K$2501),0)),K230)</f>
        <v>B2B</v>
      </c>
    </row>
    <row r="231" spans="1:17" x14ac:dyDescent="0.3">
      <c r="A231">
        <v>1229</v>
      </c>
      <c r="B231" t="s">
        <v>281</v>
      </c>
      <c r="C231" t="s">
        <v>38</v>
      </c>
      <c r="D231" t="s">
        <v>91</v>
      </c>
      <c r="E231">
        <v>2</v>
      </c>
      <c r="H231" s="3">
        <f t="shared" si="15"/>
        <v>5737.5536363636356</v>
      </c>
      <c r="J231" t="s">
        <v>15</v>
      </c>
      <c r="L231" s="2">
        <f t="shared" si="16"/>
        <v>2868.7768181818178</v>
      </c>
      <c r="M231" s="4">
        <f t="shared" si="17"/>
        <v>0.6</v>
      </c>
      <c r="N231" s="1">
        <f t="shared" si="18"/>
        <v>45782</v>
      </c>
      <c r="O231" s="3">
        <f>(Table13[[#This Row],[Units_Sold]]*Table13[[#This Row],[Unit_Price_Cleaned]]*(1-Table13[[#This Row],[Discount Cleaned]]))</f>
        <v>2295.0214545454542</v>
      </c>
      <c r="P231" t="str">
        <f t="shared" si="19"/>
        <v>Profit</v>
      </c>
      <c r="Q231" t="str" cm="1">
        <f t="array" ref="Q231">IF(K231="",INDEX($K$2:$K$2501,MATCH(MAX(COUNTIF($K$2:$K$2501,$K$2:$K$2501)),COUNTIF($K$2:$K$2501,$K$2:$K$2501),0)),K231)</f>
        <v>B2B</v>
      </c>
    </row>
    <row r="232" spans="1:17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 s="3">
        <f t="shared" si="15"/>
        <v>8490.3977142857184</v>
      </c>
      <c r="J232" t="s">
        <v>56</v>
      </c>
      <c r="L232" s="2">
        <f t="shared" si="16"/>
        <v>2830.1325714285731</v>
      </c>
      <c r="M232" s="4">
        <f t="shared" si="17"/>
        <v>1.2</v>
      </c>
      <c r="N232" s="1">
        <f t="shared" si="18"/>
        <v>45782</v>
      </c>
      <c r="O232" s="3">
        <f>(Table13[[#This Row],[Units_Sold]]*Table13[[#This Row],[Unit_Price_Cleaned]]*(1-Table13[[#This Row],[Discount Cleaned]]))</f>
        <v>-1698.0795428571432</v>
      </c>
      <c r="P232" t="str">
        <f t="shared" si="19"/>
        <v>Loss</v>
      </c>
      <c r="Q232" t="str" cm="1">
        <f t="array" ref="Q232">IF(K232="",INDEX($K$2:$K$2501,MATCH(MAX(COUNTIF($K$2:$K$2501,$K$2:$K$2501)),COUNTIF($K$2:$K$2501,$K$2:$K$2501),0)),K232)</f>
        <v>B2B</v>
      </c>
    </row>
    <row r="233" spans="1:17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 s="3">
        <f t="shared" si="15"/>
        <v>1744.73</v>
      </c>
      <c r="J233" t="s">
        <v>46</v>
      </c>
      <c r="K233" t="s">
        <v>23</v>
      </c>
      <c r="L233" s="2">
        <f t="shared" si="16"/>
        <v>1744.73</v>
      </c>
      <c r="M233" s="4">
        <f t="shared" si="17"/>
        <v>0.6</v>
      </c>
      <c r="N233" s="1">
        <f t="shared" si="18"/>
        <v>45782</v>
      </c>
      <c r="O233" s="3">
        <f>(Table13[[#This Row],[Units_Sold]]*Table13[[#This Row],[Unit_Price_Cleaned]]*(1-Table13[[#This Row],[Discount Cleaned]]))</f>
        <v>697.89200000000005</v>
      </c>
      <c r="P233" t="str">
        <f t="shared" si="19"/>
        <v>Profit</v>
      </c>
      <c r="Q233" t="str" cm="1">
        <f t="array" ref="Q233">IF(K233="",INDEX($K$2:$K$2501,MATCH(MAX(COUNTIF($K$2:$K$2501,$K$2:$K$2501)),COUNTIF($K$2:$K$2501,$K$2:$K$2501),0)),K233)</f>
        <v>B2B</v>
      </c>
    </row>
    <row r="234" spans="1:17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 s="3">
        <f t="shared" si="15"/>
        <v>5053.54</v>
      </c>
      <c r="I234" s="1">
        <v>45183</v>
      </c>
      <c r="J234" t="s">
        <v>22</v>
      </c>
      <c r="K234" t="s">
        <v>16</v>
      </c>
      <c r="L234" s="2">
        <f t="shared" si="16"/>
        <v>2526.77</v>
      </c>
      <c r="M234" s="4">
        <f t="shared" si="17"/>
        <v>0.6</v>
      </c>
      <c r="N234" s="1">
        <f t="shared" si="18"/>
        <v>45183</v>
      </c>
      <c r="O234" s="3">
        <f>(Table13[[#This Row],[Units_Sold]]*Table13[[#This Row],[Unit_Price_Cleaned]]*(1-Table13[[#This Row],[Discount Cleaned]]))</f>
        <v>2021.4160000000002</v>
      </c>
      <c r="P234" t="str">
        <f t="shared" si="19"/>
        <v>Profit</v>
      </c>
      <c r="Q234" t="str" cm="1">
        <f t="array" ref="Q234">IF(K234="",INDEX($K$2:$K$2501,MATCH(MAX(COUNTIF($K$2:$K$2501,$K$2:$K$2501)),COUNTIF($K$2:$K$2501,$K$2:$K$2501),0)),K234)</f>
        <v>B2C</v>
      </c>
    </row>
    <row r="235" spans="1:17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 s="3">
        <f t="shared" si="15"/>
        <v>-2681.1743636363635</v>
      </c>
      <c r="I235" s="1">
        <v>45772</v>
      </c>
      <c r="J235" t="s">
        <v>40</v>
      </c>
      <c r="L235" s="2">
        <f t="shared" si="16"/>
        <v>2681.1743636363635</v>
      </c>
      <c r="M235" s="4">
        <f t="shared" si="17"/>
        <v>7.0000000000000007E-2</v>
      </c>
      <c r="N235" s="1">
        <f t="shared" si="18"/>
        <v>45772</v>
      </c>
      <c r="O235" s="3">
        <f>(Table13[[#This Row],[Units_Sold]]*Table13[[#This Row],[Unit_Price_Cleaned]]*(1-Table13[[#This Row],[Discount Cleaned]]))</f>
        <v>-2493.492158181818</v>
      </c>
      <c r="P235" t="str">
        <f t="shared" si="19"/>
        <v>Loss</v>
      </c>
      <c r="Q235" t="str" cm="1">
        <f t="array" ref="Q235">IF(K235="",INDEX($K$2:$K$2501,MATCH(MAX(COUNTIF($K$2:$K$2501,$K$2:$K$2501)),COUNTIF($K$2:$K$2501,$K$2:$K$2501),0)),K235)</f>
        <v>B2B</v>
      </c>
    </row>
    <row r="236" spans="1:17" x14ac:dyDescent="0.3">
      <c r="A236">
        <v>1234</v>
      </c>
      <c r="B236" t="s">
        <v>286</v>
      </c>
      <c r="C236" t="s">
        <v>13</v>
      </c>
      <c r="D236" t="s">
        <v>49</v>
      </c>
      <c r="E236">
        <v>2</v>
      </c>
      <c r="F236">
        <v>1069.8800000000001</v>
      </c>
      <c r="G236">
        <v>0.05</v>
      </c>
      <c r="H236" s="3">
        <f t="shared" si="15"/>
        <v>2139.7600000000002</v>
      </c>
      <c r="I236" s="1">
        <v>45832</v>
      </c>
      <c r="J236" t="s">
        <v>46</v>
      </c>
      <c r="K236" t="s">
        <v>23</v>
      </c>
      <c r="L236" s="2">
        <f t="shared" si="16"/>
        <v>1069.8800000000001</v>
      </c>
      <c r="M236" s="4">
        <f t="shared" si="17"/>
        <v>0.05</v>
      </c>
      <c r="N236" s="1">
        <f t="shared" si="18"/>
        <v>45832</v>
      </c>
      <c r="O236" s="3">
        <f>(Table13[[#This Row],[Units_Sold]]*Table13[[#This Row],[Unit_Price_Cleaned]]*(1-Table13[[#This Row],[Discount Cleaned]]))</f>
        <v>2032.7720000000002</v>
      </c>
      <c r="P236" t="str">
        <f t="shared" si="19"/>
        <v>Profit</v>
      </c>
      <c r="Q236" t="str" cm="1">
        <f t="array" ref="Q236">IF(K236="",INDEX($K$2:$K$2501,MATCH(MAX(COUNTIF($K$2:$K$2501,$K$2:$K$2501)),COUNTIF($K$2:$K$2501,$K$2:$K$2501),0)),K236)</f>
        <v>B2B</v>
      </c>
    </row>
    <row r="237" spans="1:17" x14ac:dyDescent="0.3">
      <c r="A237">
        <v>1235</v>
      </c>
      <c r="B237" t="s">
        <v>287</v>
      </c>
      <c r="C237" t="s">
        <v>20</v>
      </c>
      <c r="D237" t="s">
        <v>80</v>
      </c>
      <c r="E237">
        <v>2</v>
      </c>
      <c r="H237" s="3">
        <f t="shared" si="15"/>
        <v>4967.1688000000004</v>
      </c>
      <c r="J237" t="s">
        <v>56</v>
      </c>
      <c r="K237" t="s">
        <v>23</v>
      </c>
      <c r="L237" s="2">
        <f t="shared" si="16"/>
        <v>2483.5844000000002</v>
      </c>
      <c r="M237" s="4">
        <f t="shared" si="17"/>
        <v>0.6</v>
      </c>
      <c r="N237" s="1">
        <f t="shared" si="18"/>
        <v>45782</v>
      </c>
      <c r="O237" s="3">
        <f>(Table13[[#This Row],[Units_Sold]]*Table13[[#This Row],[Unit_Price_Cleaned]]*(1-Table13[[#This Row],[Discount Cleaned]]))</f>
        <v>1986.8675200000002</v>
      </c>
      <c r="P237" t="str">
        <f t="shared" si="19"/>
        <v>Profit</v>
      </c>
      <c r="Q237" t="str" cm="1">
        <f t="array" ref="Q237">IF(K237="",INDEX($K$2:$K$2501,MATCH(MAX(COUNTIF($K$2:$K$2501,$K$2:$K$2501)),COUNTIF($K$2:$K$2501,$K$2:$K$2501),0)),K237)</f>
        <v>B2B</v>
      </c>
    </row>
    <row r="238" spans="1:17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 s="3">
        <f t="shared" si="15"/>
        <v>9604.84</v>
      </c>
      <c r="I238" s="1">
        <v>45765</v>
      </c>
      <c r="J238" t="s">
        <v>56</v>
      </c>
      <c r="L238" s="2">
        <f t="shared" si="16"/>
        <v>4802.42</v>
      </c>
      <c r="M238" s="4">
        <f t="shared" si="17"/>
        <v>1.18</v>
      </c>
      <c r="N238" s="1">
        <f t="shared" si="18"/>
        <v>45765</v>
      </c>
      <c r="O238" s="3">
        <f>(Table13[[#This Row],[Units_Sold]]*Table13[[#This Row],[Unit_Price_Cleaned]]*(1-Table13[[#This Row],[Discount Cleaned]]))</f>
        <v>-1728.8711999999994</v>
      </c>
      <c r="P238" t="str">
        <f t="shared" si="19"/>
        <v>Loss</v>
      </c>
      <c r="Q238" t="str" cm="1">
        <f t="array" ref="Q238">IF(K238="",INDEX($K$2:$K$2501,MATCH(MAX(COUNTIF($K$2:$K$2501,$K$2:$K$2501)),COUNTIF($K$2:$K$2501,$K$2:$K$2501),0)),K238)</f>
        <v>B2B</v>
      </c>
    </row>
    <row r="239" spans="1:17" x14ac:dyDescent="0.3">
      <c r="A239">
        <v>1237</v>
      </c>
      <c r="B239" t="s">
        <v>289</v>
      </c>
      <c r="C239" t="s">
        <v>33</v>
      </c>
      <c r="D239" t="s">
        <v>72</v>
      </c>
      <c r="E239">
        <v>2</v>
      </c>
      <c r="G239">
        <v>0.28999999999999998</v>
      </c>
      <c r="H239" s="3">
        <f t="shared" si="15"/>
        <v>5431.091698113205</v>
      </c>
      <c r="I239" s="1">
        <v>45817</v>
      </c>
      <c r="J239" t="s">
        <v>46</v>
      </c>
      <c r="K239" t="s">
        <v>16</v>
      </c>
      <c r="L239" s="2">
        <f t="shared" si="16"/>
        <v>2715.5458490566025</v>
      </c>
      <c r="M239" s="4">
        <f t="shared" si="17"/>
        <v>0.28999999999999998</v>
      </c>
      <c r="N239" s="1">
        <f t="shared" si="18"/>
        <v>45817</v>
      </c>
      <c r="O239" s="3">
        <f>(Table13[[#This Row],[Units_Sold]]*Table13[[#This Row],[Unit_Price_Cleaned]]*(1-Table13[[#This Row],[Discount Cleaned]]))</f>
        <v>3856.0751056603754</v>
      </c>
      <c r="P239" t="str">
        <f t="shared" si="19"/>
        <v>Profit</v>
      </c>
      <c r="Q239" t="str" cm="1">
        <f t="array" ref="Q239">IF(K239="",INDEX($K$2:$K$2501,MATCH(MAX(COUNTIF($K$2:$K$2501,$K$2:$K$2501)),COUNTIF($K$2:$K$2501,$K$2:$K$2501),0)),K239)</f>
        <v>B2C</v>
      </c>
    </row>
    <row r="240" spans="1:17" x14ac:dyDescent="0.3">
      <c r="A240">
        <v>1238</v>
      </c>
      <c r="B240" t="s">
        <v>290</v>
      </c>
      <c r="C240" t="s">
        <v>25</v>
      </c>
      <c r="D240" t="s">
        <v>66</v>
      </c>
      <c r="E240">
        <v>2</v>
      </c>
      <c r="H240" s="3">
        <f t="shared" si="15"/>
        <v>5145.5528000000013</v>
      </c>
      <c r="J240" t="s">
        <v>46</v>
      </c>
      <c r="L240" s="2">
        <f t="shared" si="16"/>
        <v>2572.7764000000006</v>
      </c>
      <c r="M240" s="4">
        <f t="shared" si="17"/>
        <v>0.6</v>
      </c>
      <c r="N240" s="1">
        <f t="shared" si="18"/>
        <v>45782</v>
      </c>
      <c r="O240" s="3">
        <f>(Table13[[#This Row],[Units_Sold]]*Table13[[#This Row],[Unit_Price_Cleaned]]*(1-Table13[[#This Row],[Discount Cleaned]]))</f>
        <v>2058.2211200000006</v>
      </c>
      <c r="P240" t="str">
        <f t="shared" si="19"/>
        <v>Profit</v>
      </c>
      <c r="Q240" t="str" cm="1">
        <f t="array" ref="Q240">IF(K240="",INDEX($K$2:$K$2501,MATCH(MAX(COUNTIF($K$2:$K$2501,$K$2:$K$2501)),COUNTIF($K$2:$K$2501,$K$2:$K$2501),0)),K240)</f>
        <v>B2B</v>
      </c>
    </row>
    <row r="241" spans="1:17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 s="3">
        <f t="shared" si="15"/>
        <v>2578.3200000000002</v>
      </c>
      <c r="I241" s="1">
        <v>45585</v>
      </c>
      <c r="J241" t="s">
        <v>15</v>
      </c>
      <c r="K241" t="s">
        <v>23</v>
      </c>
      <c r="L241" s="2">
        <f t="shared" si="16"/>
        <v>644.58000000000004</v>
      </c>
      <c r="M241" s="4">
        <f t="shared" si="17"/>
        <v>0.6</v>
      </c>
      <c r="N241" s="1">
        <f t="shared" si="18"/>
        <v>45585</v>
      </c>
      <c r="O241" s="3">
        <f>(Table13[[#This Row],[Units_Sold]]*Table13[[#This Row],[Unit_Price_Cleaned]]*(1-Table13[[#This Row],[Discount Cleaned]]))</f>
        <v>1031.3280000000002</v>
      </c>
      <c r="P241" t="str">
        <f t="shared" si="19"/>
        <v>Profit</v>
      </c>
      <c r="Q241" t="str" cm="1">
        <f t="array" ref="Q241">IF(K241="",INDEX($K$2:$K$2501,MATCH(MAX(COUNTIF($K$2:$K$2501,$K$2:$K$2501)),COUNTIF($K$2:$K$2501,$K$2:$K$2501),0)),K241)</f>
        <v>B2B</v>
      </c>
    </row>
    <row r="242" spans="1:17" x14ac:dyDescent="0.3">
      <c r="A242">
        <v>1240</v>
      </c>
      <c r="B242" t="s">
        <v>292</v>
      </c>
      <c r="C242" t="s">
        <v>38</v>
      </c>
      <c r="D242" t="s">
        <v>39</v>
      </c>
      <c r="E242">
        <v>2</v>
      </c>
      <c r="F242">
        <v>4634.13</v>
      </c>
      <c r="H242" s="3">
        <f t="shared" si="15"/>
        <v>9268.26</v>
      </c>
      <c r="I242" s="1">
        <v>45136</v>
      </c>
      <c r="J242" t="s">
        <v>40</v>
      </c>
      <c r="L242" s="2">
        <f t="shared" si="16"/>
        <v>4634.13</v>
      </c>
      <c r="M242" s="4">
        <f t="shared" si="17"/>
        <v>0.6</v>
      </c>
      <c r="N242" s="1">
        <f t="shared" si="18"/>
        <v>45136</v>
      </c>
      <c r="O242" s="3">
        <f>(Table13[[#This Row],[Units_Sold]]*Table13[[#This Row],[Unit_Price_Cleaned]]*(1-Table13[[#This Row],[Discount Cleaned]]))</f>
        <v>3707.3040000000001</v>
      </c>
      <c r="P242" t="str">
        <f t="shared" si="19"/>
        <v>Profit</v>
      </c>
      <c r="Q242" t="str" cm="1">
        <f t="array" ref="Q242">IF(K242="",INDEX($K$2:$K$2501,MATCH(MAX(COUNTIF($K$2:$K$2501,$K$2:$K$2501)),COUNTIF($K$2:$K$2501,$K$2:$K$2501),0)),K242)</f>
        <v>B2B</v>
      </c>
    </row>
    <row r="243" spans="1:17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 s="3">
        <f t="shared" si="15"/>
        <v>18671.699999999997</v>
      </c>
      <c r="I243" s="1">
        <v>45465</v>
      </c>
      <c r="J243" t="s">
        <v>40</v>
      </c>
      <c r="L243" s="2">
        <f t="shared" si="16"/>
        <v>3111.95</v>
      </c>
      <c r="M243" s="4">
        <f t="shared" si="17"/>
        <v>0.6</v>
      </c>
      <c r="N243" s="1">
        <f t="shared" si="18"/>
        <v>45465</v>
      </c>
      <c r="O243" s="3">
        <f>(Table13[[#This Row],[Units_Sold]]*Table13[[#This Row],[Unit_Price_Cleaned]]*(1-Table13[[#This Row],[Discount Cleaned]]))</f>
        <v>7468.6799999999994</v>
      </c>
      <c r="P243" t="str">
        <f t="shared" si="19"/>
        <v>Profit</v>
      </c>
      <c r="Q243" t="str" cm="1">
        <f t="array" ref="Q243">IF(K243="",INDEX($K$2:$K$2501,MATCH(MAX(COUNTIF($K$2:$K$2501,$K$2:$K$2501)),COUNTIF($K$2:$K$2501,$K$2:$K$2501),0)),K243)</f>
        <v>B2B</v>
      </c>
    </row>
    <row r="244" spans="1:17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 s="3">
        <f t="shared" si="15"/>
        <v>-2576.3056896551716</v>
      </c>
      <c r="I244" s="1">
        <v>45706</v>
      </c>
      <c r="J244" t="s">
        <v>46</v>
      </c>
      <c r="K244" t="s">
        <v>23</v>
      </c>
      <c r="L244" s="2">
        <f t="shared" si="16"/>
        <v>2576.3056896551716</v>
      </c>
      <c r="M244" s="4">
        <f t="shared" si="17"/>
        <v>0.6</v>
      </c>
      <c r="N244" s="1">
        <f t="shared" si="18"/>
        <v>45706</v>
      </c>
      <c r="O244" s="3">
        <f>(Table13[[#This Row],[Units_Sold]]*Table13[[#This Row],[Unit_Price_Cleaned]]*(1-Table13[[#This Row],[Discount Cleaned]]))</f>
        <v>-1030.5222758620687</v>
      </c>
      <c r="P244" t="str">
        <f t="shared" si="19"/>
        <v>Loss</v>
      </c>
      <c r="Q244" t="str" cm="1">
        <f t="array" ref="Q244">IF(K244="",INDEX($K$2:$K$2501,MATCH(MAX(COUNTIF($K$2:$K$2501,$K$2:$K$2501)),COUNTIF($K$2:$K$2501,$K$2:$K$2501),0)),K244)</f>
        <v>B2B</v>
      </c>
    </row>
    <row r="245" spans="1:17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 s="3">
        <f t="shared" si="15"/>
        <v>7388.37</v>
      </c>
      <c r="I245" s="1">
        <v>45628</v>
      </c>
      <c r="J245" t="s">
        <v>18</v>
      </c>
      <c r="L245" s="2">
        <f t="shared" si="16"/>
        <v>2462.79</v>
      </c>
      <c r="M245" s="4">
        <f t="shared" si="17"/>
        <v>0.69</v>
      </c>
      <c r="N245" s="1">
        <f t="shared" si="18"/>
        <v>45628</v>
      </c>
      <c r="O245" s="3">
        <f>(Table13[[#This Row],[Units_Sold]]*Table13[[#This Row],[Unit_Price_Cleaned]]*(1-Table13[[#This Row],[Discount Cleaned]]))</f>
        <v>2290.3947000000003</v>
      </c>
      <c r="P245" t="str">
        <f t="shared" si="19"/>
        <v>Profit</v>
      </c>
      <c r="Q245" t="str" cm="1">
        <f t="array" ref="Q245">IF(K245="",INDEX($K$2:$K$2501,MATCH(MAX(COUNTIF($K$2:$K$2501,$K$2:$K$2501)),COUNTIF($K$2:$K$2501,$K$2:$K$2501),0)),K245)</f>
        <v>B2B</v>
      </c>
    </row>
    <row r="246" spans="1:17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 s="3">
        <f t="shared" si="15"/>
        <v>16825.591153846151</v>
      </c>
      <c r="I246" s="1">
        <v>45472</v>
      </c>
      <c r="J246" t="s">
        <v>18</v>
      </c>
      <c r="K246" t="s">
        <v>16</v>
      </c>
      <c r="L246" s="2">
        <f t="shared" si="16"/>
        <v>2804.2651923076919</v>
      </c>
      <c r="M246" s="4">
        <f t="shared" si="17"/>
        <v>0.6</v>
      </c>
      <c r="N246" s="1">
        <f t="shared" si="18"/>
        <v>45472</v>
      </c>
      <c r="O246" s="3">
        <f>(Table13[[#This Row],[Units_Sold]]*Table13[[#This Row],[Unit_Price_Cleaned]]*(1-Table13[[#This Row],[Discount Cleaned]]))</f>
        <v>6730.2364615384613</v>
      </c>
      <c r="P246" t="str">
        <f t="shared" si="19"/>
        <v>Profit</v>
      </c>
      <c r="Q246" t="str" cm="1">
        <f t="array" ref="Q246">IF(K246="",INDEX($K$2:$K$2501,MATCH(MAX(COUNTIF($K$2:$K$2501,$K$2:$K$2501)),COUNTIF($K$2:$K$2501,$K$2:$K$2501),0)),K246)</f>
        <v>B2C</v>
      </c>
    </row>
    <row r="247" spans="1:17" x14ac:dyDescent="0.3">
      <c r="A247">
        <v>1245</v>
      </c>
      <c r="B247" t="s">
        <v>297</v>
      </c>
      <c r="C247" t="s">
        <v>33</v>
      </c>
      <c r="D247" t="s">
        <v>72</v>
      </c>
      <c r="E247">
        <v>2</v>
      </c>
      <c r="F247">
        <v>1822.9</v>
      </c>
      <c r="H247" s="3">
        <f t="shared" si="15"/>
        <v>3645.8</v>
      </c>
      <c r="I247" s="1">
        <v>45639</v>
      </c>
      <c r="J247" t="s">
        <v>15</v>
      </c>
      <c r="L247" s="2">
        <f t="shared" si="16"/>
        <v>1822.9</v>
      </c>
      <c r="M247" s="4">
        <f t="shared" si="17"/>
        <v>0.6</v>
      </c>
      <c r="N247" s="1">
        <f t="shared" si="18"/>
        <v>45639</v>
      </c>
      <c r="O247" s="3">
        <f>(Table13[[#This Row],[Units_Sold]]*Table13[[#This Row],[Unit_Price_Cleaned]]*(1-Table13[[#This Row],[Discount Cleaned]]))</f>
        <v>1458.3200000000002</v>
      </c>
      <c r="P247" t="str">
        <f t="shared" si="19"/>
        <v>Profit</v>
      </c>
      <c r="Q247" t="str" cm="1">
        <f t="array" ref="Q247">IF(K247="",INDEX($K$2:$K$2501,MATCH(MAX(COUNTIF($K$2:$K$2501,$K$2:$K$2501)),COUNTIF($K$2:$K$2501,$K$2:$K$2501),0)),K247)</f>
        <v>B2B</v>
      </c>
    </row>
    <row r="248" spans="1:17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 s="3">
        <f t="shared" si="15"/>
        <v>0</v>
      </c>
      <c r="J248" t="s">
        <v>56</v>
      </c>
      <c r="L248" s="2">
        <f t="shared" si="16"/>
        <v>2804.2651923076919</v>
      </c>
      <c r="M248" s="4">
        <f t="shared" si="17"/>
        <v>0.03</v>
      </c>
      <c r="N248" s="1">
        <f t="shared" si="18"/>
        <v>45782</v>
      </c>
      <c r="O248" s="3">
        <f>(Table13[[#This Row],[Units_Sold]]*Table13[[#This Row],[Unit_Price_Cleaned]]*(1-Table13[[#This Row],[Discount Cleaned]]))</f>
        <v>0</v>
      </c>
      <c r="P248" t="str">
        <f t="shared" si="19"/>
        <v>Loss</v>
      </c>
      <c r="Q248" t="str" cm="1">
        <f t="array" ref="Q248">IF(K248="",INDEX($K$2:$K$2501,MATCH(MAX(COUNTIF($K$2:$K$2501,$K$2:$K$2501)),COUNTIF($K$2:$K$2501,$K$2:$K$2501),0)),K248)</f>
        <v>B2B</v>
      </c>
    </row>
    <row r="249" spans="1:17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 s="3">
        <f t="shared" si="15"/>
        <v>-2487.039615384615</v>
      </c>
      <c r="J249" t="s">
        <v>56</v>
      </c>
      <c r="K249" t="s">
        <v>23</v>
      </c>
      <c r="L249" s="2">
        <f t="shared" si="16"/>
        <v>2487.039615384615</v>
      </c>
      <c r="M249" s="4">
        <f t="shared" si="17"/>
        <v>0.6</v>
      </c>
      <c r="N249" s="1">
        <f t="shared" si="18"/>
        <v>45782</v>
      </c>
      <c r="O249" s="3">
        <f>(Table13[[#This Row],[Units_Sold]]*Table13[[#This Row],[Unit_Price_Cleaned]]*(1-Table13[[#This Row],[Discount Cleaned]]))</f>
        <v>-994.815846153846</v>
      </c>
      <c r="P249" t="str">
        <f t="shared" si="19"/>
        <v>Loss</v>
      </c>
      <c r="Q249" t="str" cm="1">
        <f t="array" ref="Q249">IF(K249="",INDEX($K$2:$K$2501,MATCH(MAX(COUNTIF($K$2:$K$2501,$K$2:$K$2501)),COUNTIF($K$2:$K$2501,$K$2:$K$2501),0)),K249)</f>
        <v>B2B</v>
      </c>
    </row>
    <row r="250" spans="1:17" x14ac:dyDescent="0.3">
      <c r="A250">
        <v>1248</v>
      </c>
      <c r="B250" t="s">
        <v>300</v>
      </c>
      <c r="C250" t="s">
        <v>29</v>
      </c>
      <c r="D250" t="s">
        <v>120</v>
      </c>
      <c r="E250">
        <v>2</v>
      </c>
      <c r="G250">
        <v>1.24</v>
      </c>
      <c r="H250" s="3">
        <f t="shared" si="15"/>
        <v>5660.2651428571462</v>
      </c>
      <c r="I250" s="1">
        <v>45130</v>
      </c>
      <c r="J250" t="s">
        <v>22</v>
      </c>
      <c r="K250" t="s">
        <v>23</v>
      </c>
      <c r="L250" s="2">
        <f t="shared" si="16"/>
        <v>2830.1325714285731</v>
      </c>
      <c r="M250" s="4">
        <f t="shared" si="17"/>
        <v>1.24</v>
      </c>
      <c r="N250" s="1">
        <f t="shared" si="18"/>
        <v>45130</v>
      </c>
      <c r="O250" s="3">
        <f>(Table13[[#This Row],[Units_Sold]]*Table13[[#This Row],[Unit_Price_Cleaned]]*(1-Table13[[#This Row],[Discount Cleaned]]))</f>
        <v>-1358.463634285715</v>
      </c>
      <c r="P250" t="str">
        <f t="shared" si="19"/>
        <v>Loss</v>
      </c>
      <c r="Q250" t="str" cm="1">
        <f t="array" ref="Q250">IF(K250="",INDEX($K$2:$K$2501,MATCH(MAX(COUNTIF($K$2:$K$2501,$K$2:$K$2501)),COUNTIF($K$2:$K$2501,$K$2:$K$2501),0)),K250)</f>
        <v>B2B</v>
      </c>
    </row>
    <row r="251" spans="1:17" x14ac:dyDescent="0.3">
      <c r="A251">
        <v>1249</v>
      </c>
      <c r="B251" t="s">
        <v>301</v>
      </c>
      <c r="C251" t="s">
        <v>29</v>
      </c>
      <c r="D251" t="s">
        <v>141</v>
      </c>
      <c r="E251">
        <v>2</v>
      </c>
      <c r="G251">
        <v>0.23</v>
      </c>
      <c r="H251" s="3">
        <f t="shared" si="15"/>
        <v>4925.58</v>
      </c>
      <c r="I251" s="1">
        <v>45545</v>
      </c>
      <c r="J251" t="s">
        <v>46</v>
      </c>
      <c r="L251" s="2">
        <f t="shared" si="16"/>
        <v>2462.79</v>
      </c>
      <c r="M251" s="4">
        <f t="shared" si="17"/>
        <v>0.23</v>
      </c>
      <c r="N251" s="1">
        <f t="shared" si="18"/>
        <v>45545</v>
      </c>
      <c r="O251" s="3">
        <f>(Table13[[#This Row],[Units_Sold]]*Table13[[#This Row],[Unit_Price_Cleaned]]*(1-Table13[[#This Row],[Discount Cleaned]]))</f>
        <v>3792.6966000000002</v>
      </c>
      <c r="P251" t="str">
        <f t="shared" si="19"/>
        <v>Profit</v>
      </c>
      <c r="Q251" t="str" cm="1">
        <f t="array" ref="Q251">IF(K251="",INDEX($K$2:$K$2501,MATCH(MAX(COUNTIF($K$2:$K$2501,$K$2:$K$2501)),COUNTIF($K$2:$K$2501,$K$2:$K$2501),0)),K251)</f>
        <v>B2B</v>
      </c>
    </row>
    <row r="252" spans="1:17" x14ac:dyDescent="0.3">
      <c r="A252">
        <v>1250</v>
      </c>
      <c r="B252" t="s">
        <v>302</v>
      </c>
      <c r="C252" t="s">
        <v>25</v>
      </c>
      <c r="D252" t="s">
        <v>66</v>
      </c>
      <c r="E252">
        <v>2</v>
      </c>
      <c r="H252" s="3">
        <f t="shared" si="15"/>
        <v>5145.5528000000013</v>
      </c>
      <c r="J252" t="s">
        <v>15</v>
      </c>
      <c r="K252" t="s">
        <v>23</v>
      </c>
      <c r="L252" s="2">
        <f t="shared" si="16"/>
        <v>2572.7764000000006</v>
      </c>
      <c r="M252" s="4">
        <f t="shared" si="17"/>
        <v>0.6</v>
      </c>
      <c r="N252" s="1">
        <f t="shared" si="18"/>
        <v>45782</v>
      </c>
      <c r="O252" s="3">
        <f>(Table13[[#This Row],[Units_Sold]]*Table13[[#This Row],[Unit_Price_Cleaned]]*(1-Table13[[#This Row],[Discount Cleaned]]))</f>
        <v>2058.2211200000006</v>
      </c>
      <c r="P252" t="str">
        <f t="shared" si="19"/>
        <v>Profit</v>
      </c>
      <c r="Q252" t="str" cm="1">
        <f t="array" ref="Q252">IF(K252="",INDEX($K$2:$K$2501,MATCH(MAX(COUNTIF($K$2:$K$2501,$K$2:$K$2501)),COUNTIF($K$2:$K$2501,$K$2:$K$2501),0)),K252)</f>
        <v>B2B</v>
      </c>
    </row>
    <row r="253" spans="1:17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 s="3">
        <f t="shared" si="15"/>
        <v>9682.7999999999993</v>
      </c>
      <c r="I253" s="1">
        <v>45692</v>
      </c>
      <c r="J253" t="s">
        <v>46</v>
      </c>
      <c r="L253" s="2">
        <f t="shared" si="16"/>
        <v>4841.3999999999996</v>
      </c>
      <c r="M253" s="4">
        <f t="shared" si="17"/>
        <v>0.6</v>
      </c>
      <c r="N253" s="1">
        <f t="shared" si="18"/>
        <v>45692</v>
      </c>
      <c r="O253" s="3">
        <f>(Table13[[#This Row],[Units_Sold]]*Table13[[#This Row],[Unit_Price_Cleaned]]*(1-Table13[[#This Row],[Discount Cleaned]]))</f>
        <v>3873.12</v>
      </c>
      <c r="P253" t="str">
        <f t="shared" si="19"/>
        <v>Profit</v>
      </c>
      <c r="Q253" t="str" cm="1">
        <f t="array" ref="Q253">IF(K253="",INDEX($K$2:$K$2501,MATCH(MAX(COUNTIF($K$2:$K$2501,$K$2:$K$2501)),COUNTIF($K$2:$K$2501,$K$2:$K$2501),0)),K253)</f>
        <v>B2B</v>
      </c>
    </row>
    <row r="254" spans="1:17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 s="3">
        <f t="shared" si="15"/>
        <v>9831.06</v>
      </c>
      <c r="I254" s="1">
        <v>45749</v>
      </c>
      <c r="J254" t="s">
        <v>22</v>
      </c>
      <c r="K254" t="s">
        <v>16</v>
      </c>
      <c r="L254" s="2">
        <f t="shared" si="16"/>
        <v>1638.51</v>
      </c>
      <c r="M254" s="4">
        <f t="shared" si="17"/>
        <v>0.88</v>
      </c>
      <c r="N254" s="1">
        <f t="shared" si="18"/>
        <v>45749</v>
      </c>
      <c r="O254" s="3">
        <f>(Table13[[#This Row],[Units_Sold]]*Table13[[#This Row],[Unit_Price_Cleaned]]*(1-Table13[[#This Row],[Discount Cleaned]]))</f>
        <v>1179.7271999999998</v>
      </c>
      <c r="P254" t="str">
        <f t="shared" si="19"/>
        <v>Profit</v>
      </c>
      <c r="Q254" t="str" cm="1">
        <f t="array" ref="Q254">IF(K254="",INDEX($K$2:$K$2501,MATCH(MAX(COUNTIF($K$2:$K$2501,$K$2:$K$2501)),COUNTIF($K$2:$K$2501,$K$2:$K$2501),0)),K254)</f>
        <v>B2C</v>
      </c>
    </row>
    <row r="255" spans="1:17" x14ac:dyDescent="0.3">
      <c r="A255">
        <v>1253</v>
      </c>
      <c r="B255" t="s">
        <v>305</v>
      </c>
      <c r="C255" t="s">
        <v>38</v>
      </c>
      <c r="D255" t="s">
        <v>63</v>
      </c>
      <c r="E255">
        <v>2</v>
      </c>
      <c r="H255" s="3">
        <f t="shared" si="15"/>
        <v>5690.4839344262318</v>
      </c>
      <c r="I255" s="1">
        <v>45692</v>
      </c>
      <c r="J255" t="s">
        <v>40</v>
      </c>
      <c r="K255" t="s">
        <v>23</v>
      </c>
      <c r="L255" s="2">
        <f t="shared" si="16"/>
        <v>2845.2419672131159</v>
      </c>
      <c r="M255" s="4">
        <f t="shared" si="17"/>
        <v>0.6</v>
      </c>
      <c r="N255" s="1">
        <f t="shared" si="18"/>
        <v>45692</v>
      </c>
      <c r="O255" s="3">
        <f>(Table13[[#This Row],[Units_Sold]]*Table13[[#This Row],[Unit_Price_Cleaned]]*(1-Table13[[#This Row],[Discount Cleaned]]))</f>
        <v>2276.193573770493</v>
      </c>
      <c r="P255" t="str">
        <f t="shared" si="19"/>
        <v>Profit</v>
      </c>
      <c r="Q255" t="str" cm="1">
        <f t="array" ref="Q255">IF(K255="",INDEX($K$2:$K$2501,MATCH(MAX(COUNTIF($K$2:$K$2501,$K$2:$K$2501)),COUNTIF($K$2:$K$2501,$K$2:$K$2501),0)),K255)</f>
        <v>B2B</v>
      </c>
    </row>
    <row r="256" spans="1:17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 s="3">
        <f t="shared" si="15"/>
        <v>15436.658400000004</v>
      </c>
      <c r="I256" s="1">
        <v>45702</v>
      </c>
      <c r="J256" t="s">
        <v>22</v>
      </c>
      <c r="K256" t="s">
        <v>23</v>
      </c>
      <c r="L256" s="2">
        <f t="shared" si="16"/>
        <v>2572.7764000000006</v>
      </c>
      <c r="M256" s="4">
        <f t="shared" si="17"/>
        <v>0.6</v>
      </c>
      <c r="N256" s="1">
        <f t="shared" si="18"/>
        <v>45702</v>
      </c>
      <c r="O256" s="3">
        <f>(Table13[[#This Row],[Units_Sold]]*Table13[[#This Row],[Unit_Price_Cleaned]]*(1-Table13[[#This Row],[Discount Cleaned]]))</f>
        <v>6174.6633600000023</v>
      </c>
      <c r="P256" t="str">
        <f t="shared" si="19"/>
        <v>Profit</v>
      </c>
      <c r="Q256" t="str" cm="1">
        <f t="array" ref="Q256">IF(K256="",INDEX($K$2:$K$2501,MATCH(MAX(COUNTIF($K$2:$K$2501,$K$2:$K$2501)),COUNTIF($K$2:$K$2501,$K$2:$K$2501),0)),K256)</f>
        <v>B2B</v>
      </c>
    </row>
    <row r="257" spans="1:17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 s="3">
        <f t="shared" si="15"/>
        <v>7398.72</v>
      </c>
      <c r="I257" s="1">
        <v>45632</v>
      </c>
      <c r="J257" t="s">
        <v>56</v>
      </c>
      <c r="K257" t="s">
        <v>16</v>
      </c>
      <c r="L257" s="2">
        <f t="shared" si="16"/>
        <v>1849.68</v>
      </c>
      <c r="M257" s="4">
        <f t="shared" si="17"/>
        <v>0.6</v>
      </c>
      <c r="N257" s="1">
        <f t="shared" si="18"/>
        <v>45632</v>
      </c>
      <c r="O257" s="3">
        <f>(Table13[[#This Row],[Units_Sold]]*Table13[[#This Row],[Unit_Price_Cleaned]]*(1-Table13[[#This Row],[Discount Cleaned]]))</f>
        <v>2959.4880000000003</v>
      </c>
      <c r="P257" t="str">
        <f t="shared" si="19"/>
        <v>Profit</v>
      </c>
      <c r="Q257" t="str" cm="1">
        <f t="array" ref="Q257">IF(K257="",INDEX($K$2:$K$2501,MATCH(MAX(COUNTIF($K$2:$K$2501,$K$2:$K$2501)),COUNTIF($K$2:$K$2501,$K$2:$K$2501),0)),K257)</f>
        <v>B2C</v>
      </c>
    </row>
    <row r="258" spans="1:17" x14ac:dyDescent="0.3">
      <c r="A258">
        <v>1256</v>
      </c>
      <c r="B258" t="s">
        <v>308</v>
      </c>
      <c r="C258" t="s">
        <v>20</v>
      </c>
      <c r="D258" t="s">
        <v>80</v>
      </c>
      <c r="E258">
        <v>2</v>
      </c>
      <c r="F258">
        <v>1801.38</v>
      </c>
      <c r="H258" s="3">
        <f t="shared" ref="H258:H321" si="20">(L258*E258)</f>
        <v>3602.76</v>
      </c>
      <c r="I258" s="1">
        <v>45614</v>
      </c>
      <c r="J258" t="s">
        <v>40</v>
      </c>
      <c r="K258" t="s">
        <v>16</v>
      </c>
      <c r="L258" s="2">
        <f t="shared" ref="L258:L321" si="21">IF(F258="",AVERAGEIF($D$2:$D$2501,D258,$F$2:$F$2501),F258)</f>
        <v>1801.38</v>
      </c>
      <c r="M258" s="4">
        <f t="shared" ref="M258:M321" si="22">IF(G258="",MEDIAN($G$2,$G$2501),G258)</f>
        <v>0.6</v>
      </c>
      <c r="N258" s="1">
        <f t="shared" ref="N258:N321" si="23">IF(I258="",MODE($I$32:$I$2501),I258)</f>
        <v>45614</v>
      </c>
      <c r="O258" s="3">
        <f>(Table13[[#This Row],[Units_Sold]]*Table13[[#This Row],[Unit_Price_Cleaned]]*(1-Table13[[#This Row],[Discount Cleaned]]))</f>
        <v>1441.1040000000003</v>
      </c>
      <c r="P258" t="str">
        <f t="shared" ref="P258:P321" si="24">IF(O258&gt;500,"Profit","Loss")</f>
        <v>Profit</v>
      </c>
      <c r="Q258" t="str" cm="1">
        <f t="array" ref="Q258">IF(K258="",INDEX($K$2:$K$2501,MATCH(MAX(COUNTIF($K$2:$K$2501,$K$2:$K$2501)),COUNTIF($K$2:$K$2501,$K$2:$K$2501),0)),K258)</f>
        <v>B2C</v>
      </c>
    </row>
    <row r="259" spans="1:17" x14ac:dyDescent="0.3">
      <c r="A259">
        <v>1257</v>
      </c>
      <c r="B259" t="s">
        <v>309</v>
      </c>
      <c r="C259" t="s">
        <v>13</v>
      </c>
      <c r="D259" t="s">
        <v>49</v>
      </c>
      <c r="E259">
        <v>2</v>
      </c>
      <c r="F259">
        <v>1228.78</v>
      </c>
      <c r="H259" s="3">
        <f t="shared" si="20"/>
        <v>2457.56</v>
      </c>
      <c r="J259" t="s">
        <v>18</v>
      </c>
      <c r="K259" t="s">
        <v>16</v>
      </c>
      <c r="L259" s="2">
        <f t="shared" si="21"/>
        <v>1228.78</v>
      </c>
      <c r="M259" s="4">
        <f t="shared" si="22"/>
        <v>0.6</v>
      </c>
      <c r="N259" s="1">
        <f t="shared" si="23"/>
        <v>45782</v>
      </c>
      <c r="O259" s="3">
        <f>(Table13[[#This Row],[Units_Sold]]*Table13[[#This Row],[Unit_Price_Cleaned]]*(1-Table13[[#This Row],[Discount Cleaned]]))</f>
        <v>983.024</v>
      </c>
      <c r="P259" t="str">
        <f t="shared" si="24"/>
        <v>Profit</v>
      </c>
      <c r="Q259" t="str" cm="1">
        <f t="array" ref="Q259">IF(K259="",INDEX($K$2:$K$2501,MATCH(MAX(COUNTIF($K$2:$K$2501,$K$2:$K$2501)),COUNTIF($K$2:$K$2501,$K$2:$K$2501),0)),K259)</f>
        <v>B2C</v>
      </c>
    </row>
    <row r="260" spans="1:17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 s="3">
        <f t="shared" si="20"/>
        <v>-8626.76</v>
      </c>
      <c r="I260" s="1">
        <v>45728</v>
      </c>
      <c r="J260" t="s">
        <v>15</v>
      </c>
      <c r="K260" t="s">
        <v>16</v>
      </c>
      <c r="L260" s="2">
        <f t="shared" si="21"/>
        <v>4313.38</v>
      </c>
      <c r="M260" s="4">
        <f t="shared" si="22"/>
        <v>0.6</v>
      </c>
      <c r="N260" s="1">
        <f t="shared" si="23"/>
        <v>45728</v>
      </c>
      <c r="O260" s="3">
        <f>(Table13[[#This Row],[Units_Sold]]*Table13[[#This Row],[Unit_Price_Cleaned]]*(1-Table13[[#This Row],[Discount Cleaned]]))</f>
        <v>-3450.7040000000002</v>
      </c>
      <c r="P260" t="str">
        <f t="shared" si="24"/>
        <v>Loss</v>
      </c>
      <c r="Q260" t="str" cm="1">
        <f t="array" ref="Q260">IF(K260="",INDEX($K$2:$K$2501,MATCH(MAX(COUNTIF($K$2:$K$2501,$K$2:$K$2501)),COUNTIF($K$2:$K$2501,$K$2:$K$2501),0)),K260)</f>
        <v>B2C</v>
      </c>
    </row>
    <row r="261" spans="1:17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 s="3">
        <f t="shared" si="20"/>
        <v>-6793.84</v>
      </c>
      <c r="I261" s="1">
        <v>45782</v>
      </c>
      <c r="J261" t="s">
        <v>18</v>
      </c>
      <c r="L261" s="2">
        <f t="shared" si="21"/>
        <v>3396.92</v>
      </c>
      <c r="M261" s="4">
        <f t="shared" si="22"/>
        <v>0.6</v>
      </c>
      <c r="N261" s="1">
        <f t="shared" si="23"/>
        <v>45782</v>
      </c>
      <c r="O261" s="3">
        <f>(Table13[[#This Row],[Units_Sold]]*Table13[[#This Row],[Unit_Price_Cleaned]]*(1-Table13[[#This Row],[Discount Cleaned]]))</f>
        <v>-2717.5360000000001</v>
      </c>
      <c r="P261" t="str">
        <f t="shared" si="24"/>
        <v>Loss</v>
      </c>
      <c r="Q261" t="str" cm="1">
        <f t="array" ref="Q261">IF(K261="",INDEX($K$2:$K$2501,MATCH(MAX(COUNTIF($K$2:$K$2501,$K$2:$K$2501)),COUNTIF($K$2:$K$2501,$K$2:$K$2501),0)),K261)</f>
        <v>B2B</v>
      </c>
    </row>
    <row r="262" spans="1:17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 s="3">
        <f t="shared" si="20"/>
        <v>5608.5303846153838</v>
      </c>
      <c r="I262" s="1">
        <v>45741</v>
      </c>
      <c r="J262" t="s">
        <v>15</v>
      </c>
      <c r="K262" t="s">
        <v>23</v>
      </c>
      <c r="L262" s="2">
        <f t="shared" si="21"/>
        <v>2804.2651923076919</v>
      </c>
      <c r="M262" s="4">
        <f t="shared" si="22"/>
        <v>0.6</v>
      </c>
      <c r="N262" s="1">
        <f t="shared" si="23"/>
        <v>45741</v>
      </c>
      <c r="O262" s="3">
        <f>(Table13[[#This Row],[Units_Sold]]*Table13[[#This Row],[Unit_Price_Cleaned]]*(1-Table13[[#This Row],[Discount Cleaned]]))</f>
        <v>2243.4121538461536</v>
      </c>
      <c r="P262" t="str">
        <f t="shared" si="24"/>
        <v>Profit</v>
      </c>
      <c r="Q262" t="str" cm="1">
        <f t="array" ref="Q262">IF(K262="",INDEX($K$2:$K$2501,MATCH(MAX(COUNTIF($K$2:$K$2501,$K$2:$K$2501)),COUNTIF($K$2:$K$2501,$K$2:$K$2501),0)),K262)</f>
        <v>B2B</v>
      </c>
    </row>
    <row r="263" spans="1:17" x14ac:dyDescent="0.3">
      <c r="A263">
        <v>1012</v>
      </c>
      <c r="B263" t="s">
        <v>313</v>
      </c>
      <c r="C263" t="s">
        <v>13</v>
      </c>
      <c r="D263" t="s">
        <v>36</v>
      </c>
      <c r="E263">
        <v>2</v>
      </c>
      <c r="F263">
        <v>4129.37</v>
      </c>
      <c r="H263" s="3">
        <f t="shared" si="20"/>
        <v>8258.74</v>
      </c>
      <c r="I263" s="1">
        <v>45858</v>
      </c>
      <c r="J263" t="s">
        <v>15</v>
      </c>
      <c r="K263" t="s">
        <v>23</v>
      </c>
      <c r="L263" s="2">
        <f t="shared" si="21"/>
        <v>4129.37</v>
      </c>
      <c r="M263" s="4">
        <f t="shared" si="22"/>
        <v>0.6</v>
      </c>
      <c r="N263" s="1">
        <f t="shared" si="23"/>
        <v>45858</v>
      </c>
      <c r="O263" s="3">
        <f>(Table13[[#This Row],[Units_Sold]]*Table13[[#This Row],[Unit_Price_Cleaned]]*(1-Table13[[#This Row],[Discount Cleaned]]))</f>
        <v>3303.4960000000001</v>
      </c>
      <c r="P263" t="str">
        <f t="shared" si="24"/>
        <v>Profit</v>
      </c>
      <c r="Q263" t="str" cm="1">
        <f t="array" ref="Q263">IF(K263="",INDEX($K$2:$K$2501,MATCH(MAX(COUNTIF($K$2:$K$2501,$K$2:$K$2501)),COUNTIF($K$2:$K$2501,$K$2:$K$2501),0)),K263)</f>
        <v>B2B</v>
      </c>
    </row>
    <row r="264" spans="1:17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 s="3">
        <f t="shared" si="20"/>
        <v>5660.2651428571462</v>
      </c>
      <c r="I264" s="1">
        <v>45598</v>
      </c>
      <c r="J264" t="s">
        <v>40</v>
      </c>
      <c r="K264" t="s">
        <v>23</v>
      </c>
      <c r="L264" s="2">
        <f t="shared" si="21"/>
        <v>2830.1325714285731</v>
      </c>
      <c r="M264" s="4">
        <f t="shared" si="22"/>
        <v>0.52</v>
      </c>
      <c r="N264" s="1">
        <f t="shared" si="23"/>
        <v>45598</v>
      </c>
      <c r="O264" s="3">
        <f>(Table13[[#This Row],[Units_Sold]]*Table13[[#This Row],[Unit_Price_Cleaned]]*(1-Table13[[#This Row],[Discount Cleaned]]))</f>
        <v>2716.92726857143</v>
      </c>
      <c r="P264" t="str">
        <f t="shared" si="24"/>
        <v>Profit</v>
      </c>
      <c r="Q264" t="str" cm="1">
        <f t="array" ref="Q264">IF(K264="",INDEX($K$2:$K$2501,MATCH(MAX(COUNTIF($K$2:$K$2501,$K$2:$K$2501)),COUNTIF($K$2:$K$2501,$K$2:$K$2501),0)),K264)</f>
        <v>B2B</v>
      </c>
    </row>
    <row r="265" spans="1:17" x14ac:dyDescent="0.3">
      <c r="A265">
        <v>1263</v>
      </c>
      <c r="B265" t="s">
        <v>315</v>
      </c>
      <c r="C265" t="s">
        <v>25</v>
      </c>
      <c r="D265" t="s">
        <v>66</v>
      </c>
      <c r="E265">
        <v>2</v>
      </c>
      <c r="F265">
        <v>2542.7199999999998</v>
      </c>
      <c r="H265" s="3">
        <f t="shared" si="20"/>
        <v>5085.4399999999996</v>
      </c>
      <c r="J265" t="s">
        <v>15</v>
      </c>
      <c r="L265" s="2">
        <f t="shared" si="21"/>
        <v>2542.7199999999998</v>
      </c>
      <c r="M265" s="4">
        <f t="shared" si="22"/>
        <v>0.6</v>
      </c>
      <c r="N265" s="1">
        <f t="shared" si="23"/>
        <v>45782</v>
      </c>
      <c r="O265" s="3">
        <f>(Table13[[#This Row],[Units_Sold]]*Table13[[#This Row],[Unit_Price_Cleaned]]*(1-Table13[[#This Row],[Discount Cleaned]]))</f>
        <v>2034.1759999999999</v>
      </c>
      <c r="P265" t="str">
        <f t="shared" si="24"/>
        <v>Profit</v>
      </c>
      <c r="Q265" t="str" cm="1">
        <f t="array" ref="Q265">IF(K265="",INDEX($K$2:$K$2501,MATCH(MAX(COUNTIF($K$2:$K$2501,$K$2:$K$2501)),COUNTIF($K$2:$K$2501,$K$2:$K$2501),0)),K265)</f>
        <v>B2B</v>
      </c>
    </row>
    <row r="266" spans="1:17" x14ac:dyDescent="0.3">
      <c r="A266">
        <v>1264</v>
      </c>
      <c r="B266" t="s">
        <v>316</v>
      </c>
      <c r="C266" t="s">
        <v>33</v>
      </c>
      <c r="D266" t="s">
        <v>82</v>
      </c>
      <c r="E266">
        <v>2</v>
      </c>
      <c r="F266">
        <v>3382.08</v>
      </c>
      <c r="H266" s="3">
        <f t="shared" si="20"/>
        <v>6764.16</v>
      </c>
      <c r="I266" s="1">
        <v>45592</v>
      </c>
      <c r="J266" t="s">
        <v>15</v>
      </c>
      <c r="L266" s="2">
        <f t="shared" si="21"/>
        <v>3382.08</v>
      </c>
      <c r="M266" s="4">
        <f t="shared" si="22"/>
        <v>0.6</v>
      </c>
      <c r="N266" s="1">
        <f t="shared" si="23"/>
        <v>45592</v>
      </c>
      <c r="O266" s="3">
        <f>(Table13[[#This Row],[Units_Sold]]*Table13[[#This Row],[Unit_Price_Cleaned]]*(1-Table13[[#This Row],[Discount Cleaned]]))</f>
        <v>2705.6640000000002</v>
      </c>
      <c r="P266" t="str">
        <f t="shared" si="24"/>
        <v>Profit</v>
      </c>
      <c r="Q266" t="str" cm="1">
        <f t="array" ref="Q266">IF(K266="",INDEX($K$2:$K$2501,MATCH(MAX(COUNTIF($K$2:$K$2501,$K$2:$K$2501)),COUNTIF($K$2:$K$2501,$K$2:$K$2501),0)),K266)</f>
        <v>B2B</v>
      </c>
    </row>
    <row r="267" spans="1:17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 s="3">
        <f t="shared" si="20"/>
        <v>0</v>
      </c>
      <c r="I267" s="1">
        <v>45740</v>
      </c>
      <c r="J267" t="s">
        <v>56</v>
      </c>
      <c r="K267" t="s">
        <v>16</v>
      </c>
      <c r="L267" s="2">
        <f t="shared" si="21"/>
        <v>721.41</v>
      </c>
      <c r="M267" s="4">
        <f t="shared" si="22"/>
        <v>1.1599999999999999</v>
      </c>
      <c r="N267" s="1">
        <f t="shared" si="23"/>
        <v>45740</v>
      </c>
      <c r="O267" s="3">
        <f>(Table13[[#This Row],[Units_Sold]]*Table13[[#This Row],[Unit_Price_Cleaned]]*(1-Table13[[#This Row],[Discount Cleaned]]))</f>
        <v>0</v>
      </c>
      <c r="P267" t="str">
        <f t="shared" si="24"/>
        <v>Loss</v>
      </c>
      <c r="Q267" t="str" cm="1">
        <f t="array" ref="Q267">IF(K267="",INDEX($K$2:$K$2501,MATCH(MAX(COUNTIF($K$2:$K$2501,$K$2:$K$2501)),COUNTIF($K$2:$K$2501,$K$2:$K$2501),0)),K267)</f>
        <v>B2C</v>
      </c>
    </row>
    <row r="268" spans="1:17" x14ac:dyDescent="0.3">
      <c r="A268">
        <v>1266</v>
      </c>
      <c r="B268" t="s">
        <v>318</v>
      </c>
      <c r="C268" t="s">
        <v>25</v>
      </c>
      <c r="D268" t="s">
        <v>66</v>
      </c>
      <c r="E268">
        <v>2</v>
      </c>
      <c r="G268">
        <v>1.1200000000000001</v>
      </c>
      <c r="H268" s="3">
        <f t="shared" si="20"/>
        <v>5145.5528000000013</v>
      </c>
      <c r="I268" s="1">
        <v>45224</v>
      </c>
      <c r="J268" t="s">
        <v>15</v>
      </c>
      <c r="K268" t="s">
        <v>16</v>
      </c>
      <c r="L268" s="2">
        <f t="shared" si="21"/>
        <v>2572.7764000000006</v>
      </c>
      <c r="M268" s="4">
        <f t="shared" si="22"/>
        <v>1.1200000000000001</v>
      </c>
      <c r="N268" s="1">
        <f t="shared" si="23"/>
        <v>45224</v>
      </c>
      <c r="O268" s="3">
        <f>(Table13[[#This Row],[Units_Sold]]*Table13[[#This Row],[Unit_Price_Cleaned]]*(1-Table13[[#This Row],[Discount Cleaned]]))</f>
        <v>-617.46633600000075</v>
      </c>
      <c r="P268" t="str">
        <f t="shared" si="24"/>
        <v>Loss</v>
      </c>
      <c r="Q268" t="str" cm="1">
        <f t="array" ref="Q268">IF(K268="",INDEX($K$2:$K$2501,MATCH(MAX(COUNTIF($K$2:$K$2501,$K$2:$K$2501)),COUNTIF($K$2:$K$2501,$K$2:$K$2501),0)),K268)</f>
        <v>B2C</v>
      </c>
    </row>
    <row r="269" spans="1:17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 s="3">
        <f t="shared" si="20"/>
        <v>9765.69</v>
      </c>
      <c r="I269" s="1">
        <v>45246</v>
      </c>
      <c r="J269" t="s">
        <v>15</v>
      </c>
      <c r="K269" t="s">
        <v>23</v>
      </c>
      <c r="L269" s="2">
        <f t="shared" si="21"/>
        <v>3255.23</v>
      </c>
      <c r="M269" s="4">
        <f t="shared" si="22"/>
        <v>0.6</v>
      </c>
      <c r="N269" s="1">
        <f t="shared" si="23"/>
        <v>45246</v>
      </c>
      <c r="O269" s="3">
        <f>(Table13[[#This Row],[Units_Sold]]*Table13[[#This Row],[Unit_Price_Cleaned]]*(1-Table13[[#This Row],[Discount Cleaned]]))</f>
        <v>3906.2760000000003</v>
      </c>
      <c r="P269" t="str">
        <f t="shared" si="24"/>
        <v>Profit</v>
      </c>
      <c r="Q269" t="str" cm="1">
        <f t="array" ref="Q269">IF(K269="",INDEX($K$2:$K$2501,MATCH(MAX(COUNTIF($K$2:$K$2501,$K$2:$K$2501)),COUNTIF($K$2:$K$2501,$K$2:$K$2501),0)),K269)</f>
        <v>B2B</v>
      </c>
    </row>
    <row r="270" spans="1:17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 s="3">
        <f t="shared" si="20"/>
        <v>2725.8557142857148</v>
      </c>
      <c r="J270" t="s">
        <v>46</v>
      </c>
      <c r="L270" s="2">
        <f t="shared" si="21"/>
        <v>2725.8557142857148</v>
      </c>
      <c r="M270" s="4">
        <f t="shared" si="22"/>
        <v>1.03</v>
      </c>
      <c r="N270" s="1">
        <f t="shared" si="23"/>
        <v>45782</v>
      </c>
      <c r="O270" s="3">
        <f>(Table13[[#This Row],[Units_Sold]]*Table13[[#This Row],[Unit_Price_Cleaned]]*(1-Table13[[#This Row],[Discount Cleaned]]))</f>
        <v>-81.775671428571513</v>
      </c>
      <c r="P270" t="str">
        <f t="shared" si="24"/>
        <v>Loss</v>
      </c>
      <c r="Q270" t="str" cm="1">
        <f t="array" ref="Q270">IF(K270="",INDEX($K$2:$K$2501,MATCH(MAX(COUNTIF($K$2:$K$2501,$K$2:$K$2501)),COUNTIF($K$2:$K$2501,$K$2:$K$2501),0)),K270)</f>
        <v>B2B</v>
      </c>
    </row>
    <row r="271" spans="1:17" x14ac:dyDescent="0.3">
      <c r="A271">
        <v>1269</v>
      </c>
      <c r="B271" t="s">
        <v>321</v>
      </c>
      <c r="C271" t="s">
        <v>33</v>
      </c>
      <c r="D271" t="s">
        <v>82</v>
      </c>
      <c r="E271">
        <v>2</v>
      </c>
      <c r="H271" s="3">
        <f t="shared" si="20"/>
        <v>5552.4404000000004</v>
      </c>
      <c r="J271" t="s">
        <v>22</v>
      </c>
      <c r="L271" s="2">
        <f t="shared" si="21"/>
        <v>2776.2202000000002</v>
      </c>
      <c r="M271" s="4">
        <f t="shared" si="22"/>
        <v>0.6</v>
      </c>
      <c r="N271" s="1">
        <f t="shared" si="23"/>
        <v>45782</v>
      </c>
      <c r="O271" s="3">
        <f>(Table13[[#This Row],[Units_Sold]]*Table13[[#This Row],[Unit_Price_Cleaned]]*(1-Table13[[#This Row],[Discount Cleaned]]))</f>
        <v>2220.9761600000002</v>
      </c>
      <c r="P271" t="str">
        <f t="shared" si="24"/>
        <v>Profit</v>
      </c>
      <c r="Q271" t="str" cm="1">
        <f t="array" ref="Q271">IF(K271="",INDEX($K$2:$K$2501,MATCH(MAX(COUNTIF($K$2:$K$2501,$K$2:$K$2501)),COUNTIF($K$2:$K$2501,$K$2:$K$2501),0)),K271)</f>
        <v>B2B</v>
      </c>
    </row>
    <row r="272" spans="1:17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 s="3">
        <f t="shared" si="20"/>
        <v>0</v>
      </c>
      <c r="I272" s="1">
        <v>45837</v>
      </c>
      <c r="J272" t="s">
        <v>56</v>
      </c>
      <c r="K272" t="s">
        <v>23</v>
      </c>
      <c r="L272" s="2">
        <f t="shared" si="21"/>
        <v>4446.82</v>
      </c>
      <c r="M272" s="4">
        <f t="shared" si="22"/>
        <v>0.6</v>
      </c>
      <c r="N272" s="1">
        <f t="shared" si="23"/>
        <v>45837</v>
      </c>
      <c r="O272" s="3">
        <f>(Table13[[#This Row],[Units_Sold]]*Table13[[#This Row],[Unit_Price_Cleaned]]*(1-Table13[[#This Row],[Discount Cleaned]]))</f>
        <v>0</v>
      </c>
      <c r="P272" t="str">
        <f t="shared" si="24"/>
        <v>Loss</v>
      </c>
      <c r="Q272" t="str" cm="1">
        <f t="array" ref="Q272">IF(K272="",INDEX($K$2:$K$2501,MATCH(MAX(COUNTIF($K$2:$K$2501,$K$2:$K$2501)),COUNTIF($K$2:$K$2501,$K$2:$K$2501),0)),K272)</f>
        <v>B2B</v>
      </c>
    </row>
    <row r="273" spans="1:17" x14ac:dyDescent="0.3">
      <c r="A273">
        <v>1271</v>
      </c>
      <c r="B273" t="s">
        <v>323</v>
      </c>
      <c r="C273" t="s">
        <v>33</v>
      </c>
      <c r="D273" t="s">
        <v>44</v>
      </c>
      <c r="E273">
        <v>2</v>
      </c>
      <c r="H273" s="3">
        <f t="shared" si="20"/>
        <v>5683.5261224489814</v>
      </c>
      <c r="I273" s="1">
        <v>45425</v>
      </c>
      <c r="J273" t="s">
        <v>40</v>
      </c>
      <c r="K273" t="s">
        <v>23</v>
      </c>
      <c r="L273" s="2">
        <f t="shared" si="21"/>
        <v>2841.7630612244907</v>
      </c>
      <c r="M273" s="4">
        <f t="shared" si="22"/>
        <v>0.6</v>
      </c>
      <c r="N273" s="1">
        <f t="shared" si="23"/>
        <v>45425</v>
      </c>
      <c r="O273" s="3">
        <f>(Table13[[#This Row],[Units_Sold]]*Table13[[#This Row],[Unit_Price_Cleaned]]*(1-Table13[[#This Row],[Discount Cleaned]]))</f>
        <v>2273.4104489795927</v>
      </c>
      <c r="P273" t="str">
        <f t="shared" si="24"/>
        <v>Profit</v>
      </c>
      <c r="Q273" t="str" cm="1">
        <f t="array" ref="Q273">IF(K273="",INDEX($K$2:$K$2501,MATCH(MAX(COUNTIF($K$2:$K$2501,$K$2:$K$2501)),COUNTIF($K$2:$K$2501,$K$2:$K$2501),0)),K273)</f>
        <v>B2B</v>
      </c>
    </row>
    <row r="274" spans="1:17" x14ac:dyDescent="0.3">
      <c r="A274">
        <v>1272</v>
      </c>
      <c r="B274" t="s">
        <v>324</v>
      </c>
      <c r="C274" t="s">
        <v>29</v>
      </c>
      <c r="D274" t="s">
        <v>30</v>
      </c>
      <c r="E274">
        <v>2</v>
      </c>
      <c r="F274">
        <v>1429.94</v>
      </c>
      <c r="H274" s="3">
        <f t="shared" si="20"/>
        <v>2859.88</v>
      </c>
      <c r="I274" s="1">
        <v>45272</v>
      </c>
      <c r="J274" t="s">
        <v>56</v>
      </c>
      <c r="K274" t="s">
        <v>23</v>
      </c>
      <c r="L274" s="2">
        <f t="shared" si="21"/>
        <v>1429.94</v>
      </c>
      <c r="M274" s="4">
        <f t="shared" si="22"/>
        <v>0.6</v>
      </c>
      <c r="N274" s="1">
        <f t="shared" si="23"/>
        <v>45272</v>
      </c>
      <c r="O274" s="3">
        <f>(Table13[[#This Row],[Units_Sold]]*Table13[[#This Row],[Unit_Price_Cleaned]]*(1-Table13[[#This Row],[Discount Cleaned]]))</f>
        <v>1143.952</v>
      </c>
      <c r="P274" t="str">
        <f t="shared" si="24"/>
        <v>Profit</v>
      </c>
      <c r="Q274" t="str" cm="1">
        <f t="array" ref="Q274">IF(K274="",INDEX($K$2:$K$2501,MATCH(MAX(COUNTIF($K$2:$K$2501,$K$2:$K$2501)),COUNTIF($K$2:$K$2501,$K$2:$K$2501),0)),K274)</f>
        <v>B2B</v>
      </c>
    </row>
    <row r="275" spans="1:17" x14ac:dyDescent="0.3">
      <c r="A275">
        <v>1273</v>
      </c>
      <c r="B275" t="s">
        <v>325</v>
      </c>
      <c r="C275" t="s">
        <v>33</v>
      </c>
      <c r="D275" t="s">
        <v>44</v>
      </c>
      <c r="E275">
        <v>2</v>
      </c>
      <c r="H275" s="3">
        <f t="shared" si="20"/>
        <v>5683.5261224489814</v>
      </c>
      <c r="I275" s="1">
        <v>45659</v>
      </c>
      <c r="J275" t="s">
        <v>56</v>
      </c>
      <c r="K275" t="s">
        <v>16</v>
      </c>
      <c r="L275" s="2">
        <f t="shared" si="21"/>
        <v>2841.7630612244907</v>
      </c>
      <c r="M275" s="4">
        <f t="shared" si="22"/>
        <v>0.6</v>
      </c>
      <c r="N275" s="1">
        <f t="shared" si="23"/>
        <v>45659</v>
      </c>
      <c r="O275" s="3">
        <f>(Table13[[#This Row],[Units_Sold]]*Table13[[#This Row],[Unit_Price_Cleaned]]*(1-Table13[[#This Row],[Discount Cleaned]]))</f>
        <v>2273.4104489795927</v>
      </c>
      <c r="P275" t="str">
        <f t="shared" si="24"/>
        <v>Profit</v>
      </c>
      <c r="Q275" t="str" cm="1">
        <f t="array" ref="Q275">IF(K275="",INDEX($K$2:$K$2501,MATCH(MAX(COUNTIF($K$2:$K$2501,$K$2:$K$2501)),COUNTIF($K$2:$K$2501,$K$2:$K$2501),0)),K275)</f>
        <v>B2C</v>
      </c>
    </row>
    <row r="276" spans="1:17" x14ac:dyDescent="0.3">
      <c r="A276">
        <v>1274</v>
      </c>
      <c r="B276" t="s">
        <v>326</v>
      </c>
      <c r="C276" t="s">
        <v>38</v>
      </c>
      <c r="D276" t="s">
        <v>63</v>
      </c>
      <c r="E276">
        <v>2</v>
      </c>
      <c r="G276">
        <v>0.59</v>
      </c>
      <c r="H276" s="3">
        <f t="shared" si="20"/>
        <v>5690.4839344262318</v>
      </c>
      <c r="J276" t="s">
        <v>18</v>
      </c>
      <c r="K276" t="s">
        <v>23</v>
      </c>
      <c r="L276" s="2">
        <f t="shared" si="21"/>
        <v>2845.2419672131159</v>
      </c>
      <c r="M276" s="4">
        <f t="shared" si="22"/>
        <v>0.59</v>
      </c>
      <c r="N276" s="1">
        <f t="shared" si="23"/>
        <v>45782</v>
      </c>
      <c r="O276" s="3">
        <f>(Table13[[#This Row],[Units_Sold]]*Table13[[#This Row],[Unit_Price_Cleaned]]*(1-Table13[[#This Row],[Discount Cleaned]]))</f>
        <v>2333.0984131147552</v>
      </c>
      <c r="P276" t="str">
        <f t="shared" si="24"/>
        <v>Profit</v>
      </c>
      <c r="Q276" t="str" cm="1">
        <f t="array" ref="Q276">IF(K276="",INDEX($K$2:$K$2501,MATCH(MAX(COUNTIF($K$2:$K$2501,$K$2:$K$2501)),COUNTIF($K$2:$K$2501,$K$2:$K$2501),0)),K276)</f>
        <v>B2B</v>
      </c>
    </row>
    <row r="277" spans="1:17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 s="3">
        <f t="shared" si="20"/>
        <v>12396</v>
      </c>
      <c r="I277" s="1">
        <v>45348</v>
      </c>
      <c r="J277" t="s">
        <v>40</v>
      </c>
      <c r="K277" t="s">
        <v>23</v>
      </c>
      <c r="L277" s="2">
        <f t="shared" si="21"/>
        <v>4132</v>
      </c>
      <c r="M277" s="4">
        <f t="shared" si="22"/>
        <v>0.6</v>
      </c>
      <c r="N277" s="1">
        <f t="shared" si="23"/>
        <v>45348</v>
      </c>
      <c r="O277" s="3">
        <f>(Table13[[#This Row],[Units_Sold]]*Table13[[#This Row],[Unit_Price_Cleaned]]*(1-Table13[[#This Row],[Discount Cleaned]]))</f>
        <v>4958.4000000000005</v>
      </c>
      <c r="P277" t="str">
        <f t="shared" si="24"/>
        <v>Profit</v>
      </c>
      <c r="Q277" t="str" cm="1">
        <f t="array" ref="Q277">IF(K277="",INDEX($K$2:$K$2501,MATCH(MAX(COUNTIF($K$2:$K$2501,$K$2:$K$2501)),COUNTIF($K$2:$K$2501,$K$2:$K$2501),0)),K277)</f>
        <v>B2B</v>
      </c>
    </row>
    <row r="278" spans="1:17" x14ac:dyDescent="0.3">
      <c r="A278">
        <v>1276</v>
      </c>
      <c r="B278" t="s">
        <v>328</v>
      </c>
      <c r="C278" t="s">
        <v>25</v>
      </c>
      <c r="D278" t="s">
        <v>86</v>
      </c>
      <c r="E278">
        <v>2</v>
      </c>
      <c r="F278">
        <v>3243.45</v>
      </c>
      <c r="G278">
        <v>0.61</v>
      </c>
      <c r="H278" s="3">
        <f t="shared" si="20"/>
        <v>6486.9</v>
      </c>
      <c r="J278" t="s">
        <v>22</v>
      </c>
      <c r="L278" s="2">
        <f t="shared" si="21"/>
        <v>3243.45</v>
      </c>
      <c r="M278" s="4">
        <f t="shared" si="22"/>
        <v>0.61</v>
      </c>
      <c r="N278" s="1">
        <f t="shared" si="23"/>
        <v>45782</v>
      </c>
      <c r="O278" s="3">
        <f>(Table13[[#This Row],[Units_Sold]]*Table13[[#This Row],[Unit_Price_Cleaned]]*(1-Table13[[#This Row],[Discount Cleaned]]))</f>
        <v>2529.8910000000001</v>
      </c>
      <c r="P278" t="str">
        <f t="shared" si="24"/>
        <v>Profit</v>
      </c>
      <c r="Q278" t="str" cm="1">
        <f t="array" ref="Q278">IF(K278="",INDEX($K$2:$K$2501,MATCH(MAX(COUNTIF($K$2:$K$2501,$K$2:$K$2501)),COUNTIF($K$2:$K$2501,$K$2:$K$2501),0)),K278)</f>
        <v>B2B</v>
      </c>
    </row>
    <row r="279" spans="1:17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 s="3">
        <f t="shared" si="20"/>
        <v>9441.0400000000009</v>
      </c>
      <c r="I279" s="1">
        <v>45540</v>
      </c>
      <c r="J279" t="s">
        <v>15</v>
      </c>
      <c r="K279" t="s">
        <v>16</v>
      </c>
      <c r="L279" s="2">
        <f t="shared" si="21"/>
        <v>4720.5200000000004</v>
      </c>
      <c r="M279" s="4">
        <f t="shared" si="22"/>
        <v>0.56999999999999995</v>
      </c>
      <c r="N279" s="1">
        <f t="shared" si="23"/>
        <v>45540</v>
      </c>
      <c r="O279" s="3">
        <f>(Table13[[#This Row],[Units_Sold]]*Table13[[#This Row],[Unit_Price_Cleaned]]*(1-Table13[[#This Row],[Discount Cleaned]]))</f>
        <v>4059.6472000000008</v>
      </c>
      <c r="P279" t="str">
        <f t="shared" si="24"/>
        <v>Profit</v>
      </c>
      <c r="Q279" t="str" cm="1">
        <f t="array" ref="Q279">IF(K279="",INDEX($K$2:$K$2501,MATCH(MAX(COUNTIF($K$2:$K$2501,$K$2:$K$2501)),COUNTIF($K$2:$K$2501,$K$2:$K$2501),0)),K279)</f>
        <v>B2C</v>
      </c>
    </row>
    <row r="280" spans="1:17" x14ac:dyDescent="0.3">
      <c r="A280">
        <v>1278</v>
      </c>
      <c r="B280" t="s">
        <v>330</v>
      </c>
      <c r="C280" t="s">
        <v>29</v>
      </c>
      <c r="D280" t="s">
        <v>42</v>
      </c>
      <c r="E280">
        <v>2</v>
      </c>
      <c r="F280">
        <v>3550.91</v>
      </c>
      <c r="H280" s="3">
        <f t="shared" si="20"/>
        <v>7101.82</v>
      </c>
      <c r="I280" s="1">
        <v>45558</v>
      </c>
      <c r="J280" t="s">
        <v>15</v>
      </c>
      <c r="K280" t="s">
        <v>16</v>
      </c>
      <c r="L280" s="2">
        <f t="shared" si="21"/>
        <v>3550.91</v>
      </c>
      <c r="M280" s="4">
        <f t="shared" si="22"/>
        <v>0.6</v>
      </c>
      <c r="N280" s="1">
        <f t="shared" si="23"/>
        <v>45558</v>
      </c>
      <c r="O280" s="3">
        <f>(Table13[[#This Row],[Units_Sold]]*Table13[[#This Row],[Unit_Price_Cleaned]]*(1-Table13[[#This Row],[Discount Cleaned]]))</f>
        <v>2840.7280000000001</v>
      </c>
      <c r="P280" t="str">
        <f t="shared" si="24"/>
        <v>Profit</v>
      </c>
      <c r="Q280" t="str" cm="1">
        <f t="array" ref="Q280">IF(K280="",INDEX($K$2:$K$2501,MATCH(MAX(COUNTIF($K$2:$K$2501,$K$2:$K$2501)),COUNTIF($K$2:$K$2501,$K$2:$K$2501),0)),K280)</f>
        <v>B2C</v>
      </c>
    </row>
    <row r="281" spans="1:17" x14ac:dyDescent="0.3">
      <c r="A281">
        <v>1279</v>
      </c>
      <c r="B281" t="s">
        <v>331</v>
      </c>
      <c r="C281" t="s">
        <v>25</v>
      </c>
      <c r="D281" t="s">
        <v>86</v>
      </c>
      <c r="E281">
        <v>2</v>
      </c>
      <c r="F281">
        <v>2600.33</v>
      </c>
      <c r="H281" s="3">
        <f t="shared" si="20"/>
        <v>5200.66</v>
      </c>
      <c r="I281" s="1">
        <v>45525</v>
      </c>
      <c r="J281" t="s">
        <v>18</v>
      </c>
      <c r="K281" t="s">
        <v>16</v>
      </c>
      <c r="L281" s="2">
        <f t="shared" si="21"/>
        <v>2600.33</v>
      </c>
      <c r="M281" s="4">
        <f t="shared" si="22"/>
        <v>0.6</v>
      </c>
      <c r="N281" s="1">
        <f t="shared" si="23"/>
        <v>45525</v>
      </c>
      <c r="O281" s="3">
        <f>(Table13[[#This Row],[Units_Sold]]*Table13[[#This Row],[Unit_Price_Cleaned]]*(1-Table13[[#This Row],[Discount Cleaned]]))</f>
        <v>2080.2640000000001</v>
      </c>
      <c r="P281" t="str">
        <f t="shared" si="24"/>
        <v>Profit</v>
      </c>
      <c r="Q281" t="str" cm="1">
        <f t="array" ref="Q281">IF(K281="",INDEX($K$2:$K$2501,MATCH(MAX(COUNTIF($K$2:$K$2501,$K$2:$K$2501)),COUNTIF($K$2:$K$2501,$K$2:$K$2501),0)),K281)</f>
        <v>B2C</v>
      </c>
    </row>
    <row r="282" spans="1:17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 s="3">
        <f t="shared" si="20"/>
        <v>7461.118846153845</v>
      </c>
      <c r="I282" s="1">
        <v>45578</v>
      </c>
      <c r="J282" t="s">
        <v>18</v>
      </c>
      <c r="K282" t="s">
        <v>23</v>
      </c>
      <c r="L282" s="2">
        <f t="shared" si="21"/>
        <v>2487.039615384615</v>
      </c>
      <c r="M282" s="4">
        <f t="shared" si="22"/>
        <v>0.6</v>
      </c>
      <c r="N282" s="1">
        <f t="shared" si="23"/>
        <v>45578</v>
      </c>
      <c r="O282" s="3">
        <f>(Table13[[#This Row],[Units_Sold]]*Table13[[#This Row],[Unit_Price_Cleaned]]*(1-Table13[[#This Row],[Discount Cleaned]]))</f>
        <v>2984.447538461538</v>
      </c>
      <c r="P282" t="str">
        <f t="shared" si="24"/>
        <v>Profit</v>
      </c>
      <c r="Q282" t="str" cm="1">
        <f t="array" ref="Q282">IF(K282="",INDEX($K$2:$K$2501,MATCH(MAX(COUNTIF($K$2:$K$2501,$K$2:$K$2501)),COUNTIF($K$2:$K$2501,$K$2:$K$2501),0)),K282)</f>
        <v>B2B</v>
      </c>
    </row>
    <row r="283" spans="1:17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 s="3">
        <f t="shared" si="20"/>
        <v>-1096.3800000000001</v>
      </c>
      <c r="I283" s="1">
        <v>45603</v>
      </c>
      <c r="J283" t="s">
        <v>22</v>
      </c>
      <c r="L283" s="2">
        <f t="shared" si="21"/>
        <v>548.19000000000005</v>
      </c>
      <c r="M283" s="4">
        <f t="shared" si="22"/>
        <v>0.6</v>
      </c>
      <c r="N283" s="1">
        <f t="shared" si="23"/>
        <v>45603</v>
      </c>
      <c r="O283" s="3">
        <f>(Table13[[#This Row],[Units_Sold]]*Table13[[#This Row],[Unit_Price_Cleaned]]*(1-Table13[[#This Row],[Discount Cleaned]]))</f>
        <v>-438.55200000000008</v>
      </c>
      <c r="P283" t="str">
        <f t="shared" si="24"/>
        <v>Loss</v>
      </c>
      <c r="Q283" t="str" cm="1">
        <f t="array" ref="Q283">IF(K283="",INDEX($K$2:$K$2501,MATCH(MAX(COUNTIF($K$2:$K$2501,$K$2:$K$2501)),COUNTIF($K$2:$K$2501,$K$2:$K$2501),0)),K283)</f>
        <v>B2B</v>
      </c>
    </row>
    <row r="284" spans="1:17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 s="3">
        <f t="shared" si="20"/>
        <v>-2888.8714285714286</v>
      </c>
      <c r="I284" s="1">
        <v>45676</v>
      </c>
      <c r="J284" t="s">
        <v>22</v>
      </c>
      <c r="K284" t="s">
        <v>23</v>
      </c>
      <c r="L284" s="2">
        <f t="shared" si="21"/>
        <v>2888.8714285714286</v>
      </c>
      <c r="M284" s="4">
        <f t="shared" si="22"/>
        <v>0.14000000000000001</v>
      </c>
      <c r="N284" s="1">
        <f t="shared" si="23"/>
        <v>45676</v>
      </c>
      <c r="O284" s="3">
        <f>(Table13[[#This Row],[Units_Sold]]*Table13[[#This Row],[Unit_Price_Cleaned]]*(1-Table13[[#This Row],[Discount Cleaned]]))</f>
        <v>-2484.4294285714286</v>
      </c>
      <c r="P284" t="str">
        <f t="shared" si="24"/>
        <v>Loss</v>
      </c>
      <c r="Q284" t="str" cm="1">
        <f t="array" ref="Q284">IF(K284="",INDEX($K$2:$K$2501,MATCH(MAX(COUNTIF($K$2:$K$2501,$K$2:$K$2501)),COUNTIF($K$2:$K$2501,$K$2:$K$2501),0)),K284)</f>
        <v>B2B</v>
      </c>
    </row>
    <row r="285" spans="1:17" x14ac:dyDescent="0.3">
      <c r="A285">
        <v>1283</v>
      </c>
      <c r="B285" t="s">
        <v>335</v>
      </c>
      <c r="C285" t="s">
        <v>25</v>
      </c>
      <c r="D285" t="s">
        <v>66</v>
      </c>
      <c r="E285">
        <v>2</v>
      </c>
      <c r="G285">
        <v>0.08</v>
      </c>
      <c r="H285" s="3">
        <f t="shared" si="20"/>
        <v>5145.5528000000013</v>
      </c>
      <c r="J285" t="s">
        <v>56</v>
      </c>
      <c r="K285" t="s">
        <v>23</v>
      </c>
      <c r="L285" s="2">
        <f t="shared" si="21"/>
        <v>2572.7764000000006</v>
      </c>
      <c r="M285" s="4">
        <f t="shared" si="22"/>
        <v>0.08</v>
      </c>
      <c r="N285" s="1">
        <f t="shared" si="23"/>
        <v>45782</v>
      </c>
      <c r="O285" s="3">
        <f>(Table13[[#This Row],[Units_Sold]]*Table13[[#This Row],[Unit_Price_Cleaned]]*(1-Table13[[#This Row],[Discount Cleaned]]))</f>
        <v>4733.9085760000016</v>
      </c>
      <c r="P285" t="str">
        <f t="shared" si="24"/>
        <v>Profit</v>
      </c>
      <c r="Q285" t="str" cm="1">
        <f t="array" ref="Q285">IF(K285="",INDEX($K$2:$K$2501,MATCH(MAX(COUNTIF($K$2:$K$2501,$K$2:$K$2501)),COUNTIF($K$2:$K$2501,$K$2:$K$2501),0)),K285)</f>
        <v>B2B</v>
      </c>
    </row>
    <row r="286" spans="1:17" x14ac:dyDescent="0.3">
      <c r="A286">
        <v>1284</v>
      </c>
      <c r="B286" t="s">
        <v>336</v>
      </c>
      <c r="C286" t="s">
        <v>20</v>
      </c>
      <c r="D286" t="s">
        <v>21</v>
      </c>
      <c r="E286">
        <v>2</v>
      </c>
      <c r="F286">
        <v>1500.19</v>
      </c>
      <c r="H286" s="3">
        <f t="shared" si="20"/>
        <v>3000.38</v>
      </c>
      <c r="I286" s="1">
        <v>45430</v>
      </c>
      <c r="J286" t="s">
        <v>56</v>
      </c>
      <c r="L286" s="2">
        <f t="shared" si="21"/>
        <v>1500.19</v>
      </c>
      <c r="M286" s="4">
        <f t="shared" si="22"/>
        <v>0.6</v>
      </c>
      <c r="N286" s="1">
        <f t="shared" si="23"/>
        <v>45430</v>
      </c>
      <c r="O286" s="3">
        <f>(Table13[[#This Row],[Units_Sold]]*Table13[[#This Row],[Unit_Price_Cleaned]]*(1-Table13[[#This Row],[Discount Cleaned]]))</f>
        <v>1200.152</v>
      </c>
      <c r="P286" t="str">
        <f t="shared" si="24"/>
        <v>Profit</v>
      </c>
      <c r="Q286" t="str" cm="1">
        <f t="array" ref="Q286">IF(K286="",INDEX($K$2:$K$2501,MATCH(MAX(COUNTIF($K$2:$K$2501,$K$2:$K$2501)),COUNTIF($K$2:$K$2501,$K$2:$K$2501),0)),K286)</f>
        <v>B2B</v>
      </c>
    </row>
    <row r="287" spans="1:17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 s="3">
        <f t="shared" si="20"/>
        <v>13088.195192307694</v>
      </c>
      <c r="J287" t="s">
        <v>15</v>
      </c>
      <c r="L287" s="2">
        <f t="shared" si="21"/>
        <v>2617.6390384615388</v>
      </c>
      <c r="M287" s="4">
        <f t="shared" si="22"/>
        <v>0.6</v>
      </c>
      <c r="N287" s="1">
        <f t="shared" si="23"/>
        <v>45782</v>
      </c>
      <c r="O287" s="3">
        <f>(Table13[[#This Row],[Units_Sold]]*Table13[[#This Row],[Unit_Price_Cleaned]]*(1-Table13[[#This Row],[Discount Cleaned]]))</f>
        <v>5235.2780769230776</v>
      </c>
      <c r="P287" t="str">
        <f t="shared" si="24"/>
        <v>Profit</v>
      </c>
      <c r="Q287" t="str" cm="1">
        <f t="array" ref="Q287">IF(K287="",INDEX($K$2:$K$2501,MATCH(MAX(COUNTIF($K$2:$K$2501,$K$2:$K$2501)),COUNTIF($K$2:$K$2501,$K$2:$K$2501),0)),K287)</f>
        <v>B2B</v>
      </c>
    </row>
    <row r="288" spans="1:17" x14ac:dyDescent="0.3">
      <c r="A288">
        <v>1286</v>
      </c>
      <c r="B288" t="s">
        <v>338</v>
      </c>
      <c r="C288" t="s">
        <v>33</v>
      </c>
      <c r="D288" t="s">
        <v>82</v>
      </c>
      <c r="E288">
        <v>2</v>
      </c>
      <c r="F288">
        <v>2972.45</v>
      </c>
      <c r="H288" s="3">
        <f t="shared" si="20"/>
        <v>5944.9</v>
      </c>
      <c r="I288" s="1">
        <v>45651</v>
      </c>
      <c r="J288" t="s">
        <v>22</v>
      </c>
      <c r="K288" t="s">
        <v>16</v>
      </c>
      <c r="L288" s="2">
        <f t="shared" si="21"/>
        <v>2972.45</v>
      </c>
      <c r="M288" s="4">
        <f t="shared" si="22"/>
        <v>0.6</v>
      </c>
      <c r="N288" s="1">
        <f t="shared" si="23"/>
        <v>45651</v>
      </c>
      <c r="O288" s="3">
        <f>(Table13[[#This Row],[Units_Sold]]*Table13[[#This Row],[Unit_Price_Cleaned]]*(1-Table13[[#This Row],[Discount Cleaned]]))</f>
        <v>2377.96</v>
      </c>
      <c r="P288" t="str">
        <f t="shared" si="24"/>
        <v>Profit</v>
      </c>
      <c r="Q288" t="str" cm="1">
        <f t="array" ref="Q288">IF(K288="",INDEX($K$2:$K$2501,MATCH(MAX(COUNTIF($K$2:$K$2501,$K$2:$K$2501)),COUNTIF($K$2:$K$2501,$K$2:$K$2501),0)),K288)</f>
        <v>B2C</v>
      </c>
    </row>
    <row r="289" spans="1:17" x14ac:dyDescent="0.3">
      <c r="A289">
        <v>1287</v>
      </c>
      <c r="B289" t="s">
        <v>339</v>
      </c>
      <c r="C289" t="s">
        <v>13</v>
      </c>
      <c r="D289" t="s">
        <v>14</v>
      </c>
      <c r="E289">
        <v>2</v>
      </c>
      <c r="H289" s="3">
        <f t="shared" si="20"/>
        <v>4762.5355172413792</v>
      </c>
      <c r="I289" s="1">
        <v>45694</v>
      </c>
      <c r="J289" t="s">
        <v>40</v>
      </c>
      <c r="K289" t="s">
        <v>23</v>
      </c>
      <c r="L289" s="2">
        <f t="shared" si="21"/>
        <v>2381.2677586206896</v>
      </c>
      <c r="M289" s="4">
        <f t="shared" si="22"/>
        <v>0.6</v>
      </c>
      <c r="N289" s="1">
        <f t="shared" si="23"/>
        <v>45694</v>
      </c>
      <c r="O289" s="3">
        <f>(Table13[[#This Row],[Units_Sold]]*Table13[[#This Row],[Unit_Price_Cleaned]]*(1-Table13[[#This Row],[Discount Cleaned]]))</f>
        <v>1905.0142068965517</v>
      </c>
      <c r="P289" t="str">
        <f t="shared" si="24"/>
        <v>Profit</v>
      </c>
      <c r="Q289" t="str" cm="1">
        <f t="array" ref="Q289">IF(K289="",INDEX($K$2:$K$2501,MATCH(MAX(COUNTIF($K$2:$K$2501,$K$2:$K$2501)),COUNTIF($K$2:$K$2501,$K$2:$K$2501),0)),K289)</f>
        <v>B2B</v>
      </c>
    </row>
    <row r="290" spans="1:17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 s="3">
        <f t="shared" si="20"/>
        <v>10291.105600000003</v>
      </c>
      <c r="J290" t="s">
        <v>15</v>
      </c>
      <c r="K290" t="s">
        <v>23</v>
      </c>
      <c r="L290" s="2">
        <f t="shared" si="21"/>
        <v>2572.7764000000006</v>
      </c>
      <c r="M290" s="4">
        <f t="shared" si="22"/>
        <v>0.6</v>
      </c>
      <c r="N290" s="1">
        <f t="shared" si="23"/>
        <v>45782</v>
      </c>
      <c r="O290" s="3">
        <f>(Table13[[#This Row],[Units_Sold]]*Table13[[#This Row],[Unit_Price_Cleaned]]*(1-Table13[[#This Row],[Discount Cleaned]]))</f>
        <v>4116.4422400000012</v>
      </c>
      <c r="P290" t="str">
        <f t="shared" si="24"/>
        <v>Profit</v>
      </c>
      <c r="Q290" t="str" cm="1">
        <f t="array" ref="Q290">IF(K290="",INDEX($K$2:$K$2501,MATCH(MAX(COUNTIF($K$2:$K$2501,$K$2:$K$2501)),COUNTIF($K$2:$K$2501,$K$2:$K$2501),0)),K290)</f>
        <v>B2B</v>
      </c>
    </row>
    <row r="291" spans="1:17" x14ac:dyDescent="0.3">
      <c r="A291">
        <v>1289</v>
      </c>
      <c r="B291" t="s">
        <v>341</v>
      </c>
      <c r="C291" t="s">
        <v>20</v>
      </c>
      <c r="D291" t="s">
        <v>88</v>
      </c>
      <c r="E291">
        <v>2</v>
      </c>
      <c r="F291">
        <v>3590.85</v>
      </c>
      <c r="H291" s="3">
        <f t="shared" si="20"/>
        <v>7181.7</v>
      </c>
      <c r="J291" t="s">
        <v>22</v>
      </c>
      <c r="K291" t="s">
        <v>16</v>
      </c>
      <c r="L291" s="2">
        <f t="shared" si="21"/>
        <v>3590.85</v>
      </c>
      <c r="M291" s="4">
        <f t="shared" si="22"/>
        <v>0.6</v>
      </c>
      <c r="N291" s="1">
        <f t="shared" si="23"/>
        <v>45782</v>
      </c>
      <c r="O291" s="3">
        <f>(Table13[[#This Row],[Units_Sold]]*Table13[[#This Row],[Unit_Price_Cleaned]]*(1-Table13[[#This Row],[Discount Cleaned]]))</f>
        <v>2872.6800000000003</v>
      </c>
      <c r="P291" t="str">
        <f t="shared" si="24"/>
        <v>Profit</v>
      </c>
      <c r="Q291" t="str" cm="1">
        <f t="array" ref="Q291">IF(K291="",INDEX($K$2:$K$2501,MATCH(MAX(COUNTIF($K$2:$K$2501,$K$2:$K$2501)),COUNTIF($K$2:$K$2501,$K$2:$K$2501),0)),K291)</f>
        <v>B2C</v>
      </c>
    </row>
    <row r="292" spans="1:17" x14ac:dyDescent="0.3">
      <c r="A292">
        <v>1290</v>
      </c>
      <c r="B292" t="s">
        <v>342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 s="3">
        <f t="shared" si="20"/>
        <v>2824.24</v>
      </c>
      <c r="J292" t="s">
        <v>15</v>
      </c>
      <c r="K292" t="s">
        <v>23</v>
      </c>
      <c r="L292" s="2">
        <f t="shared" si="21"/>
        <v>1412.12</v>
      </c>
      <c r="M292" s="4">
        <f t="shared" si="22"/>
        <v>1.2</v>
      </c>
      <c r="N292" s="1">
        <f t="shared" si="23"/>
        <v>45782</v>
      </c>
      <c r="O292" s="3">
        <f>(Table13[[#This Row],[Units_Sold]]*Table13[[#This Row],[Unit_Price_Cleaned]]*(1-Table13[[#This Row],[Discount Cleaned]]))</f>
        <v>-564.84799999999984</v>
      </c>
      <c r="P292" t="str">
        <f t="shared" si="24"/>
        <v>Loss</v>
      </c>
      <c r="Q292" t="str" cm="1">
        <f t="array" ref="Q292">IF(K292="",INDEX($K$2:$K$2501,MATCH(MAX(COUNTIF($K$2:$K$2501,$K$2:$K$2501)),COUNTIF($K$2:$K$2501,$K$2:$K$2501),0)),K292)</f>
        <v>B2B</v>
      </c>
    </row>
    <row r="293" spans="1:17" x14ac:dyDescent="0.3">
      <c r="A293">
        <v>1291</v>
      </c>
      <c r="B293" t="s">
        <v>343</v>
      </c>
      <c r="C293" t="s">
        <v>20</v>
      </c>
      <c r="D293" t="s">
        <v>21</v>
      </c>
      <c r="E293">
        <v>2</v>
      </c>
      <c r="H293" s="3">
        <f t="shared" si="20"/>
        <v>5362.348727272727</v>
      </c>
      <c r="J293" t="s">
        <v>56</v>
      </c>
      <c r="L293" s="2">
        <f t="shared" si="21"/>
        <v>2681.1743636363635</v>
      </c>
      <c r="M293" s="4">
        <f t="shared" si="22"/>
        <v>0.6</v>
      </c>
      <c r="N293" s="1">
        <f t="shared" si="23"/>
        <v>45782</v>
      </c>
      <c r="O293" s="3">
        <f>(Table13[[#This Row],[Units_Sold]]*Table13[[#This Row],[Unit_Price_Cleaned]]*(1-Table13[[#This Row],[Discount Cleaned]]))</f>
        <v>2144.9394909090911</v>
      </c>
      <c r="P293" t="str">
        <f t="shared" si="24"/>
        <v>Profit</v>
      </c>
      <c r="Q293" t="str" cm="1">
        <f t="array" ref="Q293">IF(K293="",INDEX($K$2:$K$2501,MATCH(MAX(COUNTIF($K$2:$K$2501,$K$2:$K$2501)),COUNTIF($K$2:$K$2501,$K$2:$K$2501),0)),K293)</f>
        <v>B2B</v>
      </c>
    </row>
    <row r="294" spans="1:17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 s="3">
        <f t="shared" si="20"/>
        <v>8412.7955769230757</v>
      </c>
      <c r="J294" t="s">
        <v>22</v>
      </c>
      <c r="L294" s="2">
        <f t="shared" si="21"/>
        <v>2804.2651923076919</v>
      </c>
      <c r="M294" s="4">
        <f t="shared" si="22"/>
        <v>0.46</v>
      </c>
      <c r="N294" s="1">
        <f t="shared" si="23"/>
        <v>45782</v>
      </c>
      <c r="O294" s="3">
        <f>(Table13[[#This Row],[Units_Sold]]*Table13[[#This Row],[Unit_Price_Cleaned]]*(1-Table13[[#This Row],[Discount Cleaned]]))</f>
        <v>4542.9096115384609</v>
      </c>
      <c r="P294" t="str">
        <f t="shared" si="24"/>
        <v>Profit</v>
      </c>
      <c r="Q294" t="str" cm="1">
        <f t="array" ref="Q294">IF(K294="",INDEX($K$2:$K$2501,MATCH(MAX(COUNTIF($K$2:$K$2501,$K$2:$K$2501)),COUNTIF($K$2:$K$2501,$K$2:$K$2501),0)),K294)</f>
        <v>B2B</v>
      </c>
    </row>
    <row r="295" spans="1:17" x14ac:dyDescent="0.3">
      <c r="A295">
        <v>1293</v>
      </c>
      <c r="B295" t="s">
        <v>345</v>
      </c>
      <c r="C295" t="s">
        <v>20</v>
      </c>
      <c r="D295" t="s">
        <v>88</v>
      </c>
      <c r="E295">
        <v>2</v>
      </c>
      <c r="H295" s="3">
        <f t="shared" si="20"/>
        <v>5451.7114285714297</v>
      </c>
      <c r="J295" t="s">
        <v>56</v>
      </c>
      <c r="K295" t="s">
        <v>23</v>
      </c>
      <c r="L295" s="2">
        <f t="shared" si="21"/>
        <v>2725.8557142857148</v>
      </c>
      <c r="M295" s="4">
        <f t="shared" si="22"/>
        <v>0.6</v>
      </c>
      <c r="N295" s="1">
        <f t="shared" si="23"/>
        <v>45782</v>
      </c>
      <c r="O295" s="3">
        <f>(Table13[[#This Row],[Units_Sold]]*Table13[[#This Row],[Unit_Price_Cleaned]]*(1-Table13[[#This Row],[Discount Cleaned]]))</f>
        <v>2180.6845714285719</v>
      </c>
      <c r="P295" t="str">
        <f t="shared" si="24"/>
        <v>Profit</v>
      </c>
      <c r="Q295" t="str" cm="1">
        <f t="array" ref="Q295">IF(K295="",INDEX($K$2:$K$2501,MATCH(MAX(COUNTIF($K$2:$K$2501,$K$2:$K$2501)),COUNTIF($K$2:$K$2501,$K$2:$K$2501),0)),K295)</f>
        <v>B2B</v>
      </c>
    </row>
    <row r="296" spans="1:17" x14ac:dyDescent="0.3">
      <c r="A296">
        <v>1294</v>
      </c>
      <c r="B296" t="s">
        <v>346</v>
      </c>
      <c r="C296" t="s">
        <v>29</v>
      </c>
      <c r="D296" t="s">
        <v>120</v>
      </c>
      <c r="E296">
        <v>2</v>
      </c>
      <c r="G296">
        <v>0.56000000000000005</v>
      </c>
      <c r="H296" s="3">
        <f t="shared" si="20"/>
        <v>5660.2651428571462</v>
      </c>
      <c r="J296" t="s">
        <v>15</v>
      </c>
      <c r="K296" t="s">
        <v>23</v>
      </c>
      <c r="L296" s="2">
        <f t="shared" si="21"/>
        <v>2830.1325714285731</v>
      </c>
      <c r="M296" s="4">
        <f t="shared" si="22"/>
        <v>0.56000000000000005</v>
      </c>
      <c r="N296" s="1">
        <f t="shared" si="23"/>
        <v>45782</v>
      </c>
      <c r="O296" s="3">
        <f>(Table13[[#This Row],[Units_Sold]]*Table13[[#This Row],[Unit_Price_Cleaned]]*(1-Table13[[#This Row],[Discount Cleaned]]))</f>
        <v>2490.5166628571442</v>
      </c>
      <c r="P296" t="str">
        <f t="shared" si="24"/>
        <v>Profit</v>
      </c>
      <c r="Q296" t="str" cm="1">
        <f t="array" ref="Q296">IF(K296="",INDEX($K$2:$K$2501,MATCH(MAX(COUNTIF($K$2:$K$2501,$K$2:$K$2501)),COUNTIF($K$2:$K$2501,$K$2:$K$2501),0)),K296)</f>
        <v>B2B</v>
      </c>
    </row>
    <row r="297" spans="1:17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 s="3">
        <f t="shared" si="20"/>
        <v>-2700.1263043478252</v>
      </c>
      <c r="I297" s="1">
        <v>45499</v>
      </c>
      <c r="J297" t="s">
        <v>40</v>
      </c>
      <c r="K297" t="s">
        <v>16</v>
      </c>
      <c r="L297" s="2">
        <f t="shared" si="21"/>
        <v>2700.1263043478252</v>
      </c>
      <c r="M297" s="4">
        <f t="shared" si="22"/>
        <v>0.6</v>
      </c>
      <c r="N297" s="1">
        <f t="shared" si="23"/>
        <v>45499</v>
      </c>
      <c r="O297" s="3">
        <f>(Table13[[#This Row],[Units_Sold]]*Table13[[#This Row],[Unit_Price_Cleaned]]*(1-Table13[[#This Row],[Discount Cleaned]]))</f>
        <v>-1080.0505217391301</v>
      </c>
      <c r="P297" t="str">
        <f t="shared" si="24"/>
        <v>Loss</v>
      </c>
      <c r="Q297" t="str" cm="1">
        <f t="array" ref="Q297">IF(K297="",INDEX($K$2:$K$2501,MATCH(MAX(COUNTIF($K$2:$K$2501,$K$2:$K$2501)),COUNTIF($K$2:$K$2501,$K$2:$K$2501),0)),K297)</f>
        <v>B2C</v>
      </c>
    </row>
    <row r="298" spans="1:17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 s="3">
        <f t="shared" si="20"/>
        <v>-5591.58</v>
      </c>
      <c r="I298" s="1">
        <v>45742</v>
      </c>
      <c r="J298" t="s">
        <v>40</v>
      </c>
      <c r="K298" t="s">
        <v>23</v>
      </c>
      <c r="L298" s="2">
        <f t="shared" si="21"/>
        <v>2795.79</v>
      </c>
      <c r="M298" s="4">
        <f t="shared" si="22"/>
        <v>0.6</v>
      </c>
      <c r="N298" s="1">
        <f t="shared" si="23"/>
        <v>45742</v>
      </c>
      <c r="O298" s="3">
        <f>(Table13[[#This Row],[Units_Sold]]*Table13[[#This Row],[Unit_Price_Cleaned]]*(1-Table13[[#This Row],[Discount Cleaned]]))</f>
        <v>-2236.6320000000001</v>
      </c>
      <c r="P298" t="str">
        <f t="shared" si="24"/>
        <v>Loss</v>
      </c>
      <c r="Q298" t="str" cm="1">
        <f t="array" ref="Q298">IF(K298="",INDEX($K$2:$K$2501,MATCH(MAX(COUNTIF($K$2:$K$2501,$K$2:$K$2501)),COUNTIF($K$2:$K$2501,$K$2:$K$2501),0)),K298)</f>
        <v>B2B</v>
      </c>
    </row>
    <row r="299" spans="1:17" x14ac:dyDescent="0.3">
      <c r="A299">
        <v>1297</v>
      </c>
      <c r="B299" t="s">
        <v>349</v>
      </c>
      <c r="C299" t="s">
        <v>20</v>
      </c>
      <c r="D299" t="s">
        <v>21</v>
      </c>
      <c r="E299">
        <v>2</v>
      </c>
      <c r="F299">
        <v>4524.2</v>
      </c>
      <c r="H299" s="3">
        <f t="shared" si="20"/>
        <v>9048.4</v>
      </c>
      <c r="I299" s="1">
        <v>45506</v>
      </c>
      <c r="J299" t="s">
        <v>15</v>
      </c>
      <c r="K299" t="s">
        <v>16</v>
      </c>
      <c r="L299" s="2">
        <f t="shared" si="21"/>
        <v>4524.2</v>
      </c>
      <c r="M299" s="4">
        <f t="shared" si="22"/>
        <v>0.6</v>
      </c>
      <c r="N299" s="1">
        <f t="shared" si="23"/>
        <v>45506</v>
      </c>
      <c r="O299" s="3">
        <f>(Table13[[#This Row],[Units_Sold]]*Table13[[#This Row],[Unit_Price_Cleaned]]*(1-Table13[[#This Row],[Discount Cleaned]]))</f>
        <v>3619.36</v>
      </c>
      <c r="P299" t="str">
        <f t="shared" si="24"/>
        <v>Profit</v>
      </c>
      <c r="Q299" t="str" cm="1">
        <f t="array" ref="Q299">IF(K299="",INDEX($K$2:$K$2501,MATCH(MAX(COUNTIF($K$2:$K$2501,$K$2:$K$2501)),COUNTIF($K$2:$K$2501,$K$2:$K$2501),0)),K299)</f>
        <v>B2C</v>
      </c>
    </row>
    <row r="300" spans="1:17" x14ac:dyDescent="0.3">
      <c r="A300">
        <v>1298</v>
      </c>
      <c r="B300" t="s">
        <v>350</v>
      </c>
      <c r="C300" t="s">
        <v>33</v>
      </c>
      <c r="D300" t="s">
        <v>82</v>
      </c>
      <c r="E300">
        <v>2</v>
      </c>
      <c r="H300" s="3">
        <f t="shared" si="20"/>
        <v>5552.4404000000004</v>
      </c>
      <c r="I300" s="1">
        <v>45657</v>
      </c>
      <c r="J300" t="s">
        <v>18</v>
      </c>
      <c r="K300" t="s">
        <v>16</v>
      </c>
      <c r="L300" s="2">
        <f t="shared" si="21"/>
        <v>2776.2202000000002</v>
      </c>
      <c r="M300" s="4">
        <f t="shared" si="22"/>
        <v>0.6</v>
      </c>
      <c r="N300" s="1">
        <f t="shared" si="23"/>
        <v>45657</v>
      </c>
      <c r="O300" s="3">
        <f>(Table13[[#This Row],[Units_Sold]]*Table13[[#This Row],[Unit_Price_Cleaned]]*(1-Table13[[#This Row],[Discount Cleaned]]))</f>
        <v>2220.9761600000002</v>
      </c>
      <c r="P300" t="str">
        <f t="shared" si="24"/>
        <v>Profit</v>
      </c>
      <c r="Q300" t="str" cm="1">
        <f t="array" ref="Q300">IF(K300="",INDEX($K$2:$K$2501,MATCH(MAX(COUNTIF($K$2:$K$2501,$K$2:$K$2501)),COUNTIF($K$2:$K$2501,$K$2:$K$2501),0)),K300)</f>
        <v>B2C</v>
      </c>
    </row>
    <row r="301" spans="1:17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 s="3">
        <f t="shared" si="20"/>
        <v>1026.58</v>
      </c>
      <c r="I301" s="1">
        <v>45591</v>
      </c>
      <c r="J301" t="s">
        <v>56</v>
      </c>
      <c r="K301" t="s">
        <v>16</v>
      </c>
      <c r="L301" s="2">
        <f t="shared" si="21"/>
        <v>1026.58</v>
      </c>
      <c r="M301" s="4">
        <f t="shared" si="22"/>
        <v>0.6</v>
      </c>
      <c r="N301" s="1">
        <f t="shared" si="23"/>
        <v>45591</v>
      </c>
      <c r="O301" s="3">
        <f>(Table13[[#This Row],[Units_Sold]]*Table13[[#This Row],[Unit_Price_Cleaned]]*(1-Table13[[#This Row],[Discount Cleaned]]))</f>
        <v>410.63200000000001</v>
      </c>
      <c r="P301" t="str">
        <f t="shared" si="24"/>
        <v>Loss</v>
      </c>
      <c r="Q301" t="str" cm="1">
        <f t="array" ref="Q301">IF(K301="",INDEX($K$2:$K$2501,MATCH(MAX(COUNTIF($K$2:$K$2501,$K$2:$K$2501)),COUNTIF($K$2:$K$2501,$K$2:$K$2501),0)),K301)</f>
        <v>B2C</v>
      </c>
    </row>
    <row r="302" spans="1:17" x14ac:dyDescent="0.3">
      <c r="A302">
        <v>1300</v>
      </c>
      <c r="B302" t="s">
        <v>352</v>
      </c>
      <c r="C302" t="s">
        <v>13</v>
      </c>
      <c r="D302" t="s">
        <v>14</v>
      </c>
      <c r="E302">
        <v>2</v>
      </c>
      <c r="F302">
        <v>4611.8999999999996</v>
      </c>
      <c r="H302" s="3">
        <f t="shared" si="20"/>
        <v>9223.7999999999993</v>
      </c>
      <c r="I302" s="1">
        <v>45772</v>
      </c>
      <c r="J302" t="s">
        <v>15</v>
      </c>
      <c r="K302" t="s">
        <v>23</v>
      </c>
      <c r="L302" s="2">
        <f t="shared" si="21"/>
        <v>4611.8999999999996</v>
      </c>
      <c r="M302" s="4">
        <f t="shared" si="22"/>
        <v>0.6</v>
      </c>
      <c r="N302" s="1">
        <f t="shared" si="23"/>
        <v>45772</v>
      </c>
      <c r="O302" s="3">
        <f>(Table13[[#This Row],[Units_Sold]]*Table13[[#This Row],[Unit_Price_Cleaned]]*(1-Table13[[#This Row],[Discount Cleaned]]))</f>
        <v>3689.52</v>
      </c>
      <c r="P302" t="str">
        <f t="shared" si="24"/>
        <v>Profit</v>
      </c>
      <c r="Q302" t="str" cm="1">
        <f t="array" ref="Q302">IF(K302="",INDEX($K$2:$K$2501,MATCH(MAX(COUNTIF($K$2:$K$2501,$K$2:$K$2501)),COUNTIF($K$2:$K$2501,$K$2:$K$2501),0)),K302)</f>
        <v>B2B</v>
      </c>
    </row>
    <row r="303" spans="1:17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 s="3">
        <f t="shared" si="20"/>
        <v>13925.438983050846</v>
      </c>
      <c r="I303" s="1">
        <v>45843</v>
      </c>
      <c r="J303" t="s">
        <v>56</v>
      </c>
      <c r="L303" s="2">
        <f t="shared" si="21"/>
        <v>2785.0877966101693</v>
      </c>
      <c r="M303" s="4">
        <f t="shared" si="22"/>
        <v>1.1499999999999999</v>
      </c>
      <c r="N303" s="1">
        <f t="shared" si="23"/>
        <v>45843</v>
      </c>
      <c r="O303" s="3">
        <f>(Table13[[#This Row],[Units_Sold]]*Table13[[#This Row],[Unit_Price_Cleaned]]*(1-Table13[[#This Row],[Discount Cleaned]]))</f>
        <v>-2088.8158474576258</v>
      </c>
      <c r="P303" t="str">
        <f t="shared" si="24"/>
        <v>Loss</v>
      </c>
      <c r="Q303" t="str" cm="1">
        <f t="array" ref="Q303">IF(K303="",INDEX($K$2:$K$2501,MATCH(MAX(COUNTIF($K$2:$K$2501,$K$2:$K$2501)),COUNTIF($K$2:$K$2501,$K$2:$K$2501),0)),K303)</f>
        <v>B2B</v>
      </c>
    </row>
    <row r="304" spans="1:17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 s="3">
        <f t="shared" si="20"/>
        <v>12881.528448275858</v>
      </c>
      <c r="I304" s="1">
        <v>45702</v>
      </c>
      <c r="J304" t="s">
        <v>18</v>
      </c>
      <c r="K304" t="s">
        <v>16</v>
      </c>
      <c r="L304" s="2">
        <f t="shared" si="21"/>
        <v>2576.3056896551716</v>
      </c>
      <c r="M304" s="4">
        <f t="shared" si="22"/>
        <v>0.09</v>
      </c>
      <c r="N304" s="1">
        <f t="shared" si="23"/>
        <v>45702</v>
      </c>
      <c r="O304" s="3">
        <f>(Table13[[#This Row],[Units_Sold]]*Table13[[#This Row],[Unit_Price_Cleaned]]*(1-Table13[[#This Row],[Discount Cleaned]]))</f>
        <v>11722.19088793103</v>
      </c>
      <c r="P304" t="str">
        <f t="shared" si="24"/>
        <v>Profit</v>
      </c>
      <c r="Q304" t="str" cm="1">
        <f t="array" ref="Q304">IF(K304="",INDEX($K$2:$K$2501,MATCH(MAX(COUNTIF($K$2:$K$2501,$K$2:$K$2501)),COUNTIF($K$2:$K$2501,$K$2:$K$2501),0)),K304)</f>
        <v>B2C</v>
      </c>
    </row>
    <row r="305" spans="1:17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 s="3">
        <f t="shared" si="20"/>
        <v>3576.4800000000005</v>
      </c>
      <c r="J305" t="s">
        <v>46</v>
      </c>
      <c r="K305" t="s">
        <v>23</v>
      </c>
      <c r="L305" s="2">
        <f t="shared" si="21"/>
        <v>1192.1600000000001</v>
      </c>
      <c r="M305" s="4">
        <f t="shared" si="22"/>
        <v>0.6</v>
      </c>
      <c r="N305" s="1">
        <f t="shared" si="23"/>
        <v>45782</v>
      </c>
      <c r="O305" s="3">
        <f>(Table13[[#This Row],[Units_Sold]]*Table13[[#This Row],[Unit_Price_Cleaned]]*(1-Table13[[#This Row],[Discount Cleaned]]))</f>
        <v>1430.5920000000003</v>
      </c>
      <c r="P305" t="str">
        <f t="shared" si="24"/>
        <v>Profit</v>
      </c>
      <c r="Q305" t="str" cm="1">
        <f t="array" ref="Q305">IF(K305="",INDEX($K$2:$K$2501,MATCH(MAX(COUNTIF($K$2:$K$2501,$K$2:$K$2501)),COUNTIF($K$2:$K$2501,$K$2:$K$2501),0)),K305)</f>
        <v>B2B</v>
      </c>
    </row>
    <row r="306" spans="1:17" x14ac:dyDescent="0.3">
      <c r="A306">
        <v>1047</v>
      </c>
      <c r="B306" t="s">
        <v>356</v>
      </c>
      <c r="C306" t="s">
        <v>38</v>
      </c>
      <c r="D306" t="s">
        <v>59</v>
      </c>
      <c r="E306">
        <v>2</v>
      </c>
      <c r="F306">
        <v>3218.39</v>
      </c>
      <c r="H306" s="3">
        <f t="shared" si="20"/>
        <v>6436.78</v>
      </c>
      <c r="I306" s="1">
        <v>45810</v>
      </c>
      <c r="J306" t="s">
        <v>22</v>
      </c>
      <c r="K306" t="s">
        <v>23</v>
      </c>
      <c r="L306" s="2">
        <f t="shared" si="21"/>
        <v>3218.39</v>
      </c>
      <c r="M306" s="4">
        <f t="shared" si="22"/>
        <v>0.6</v>
      </c>
      <c r="N306" s="1">
        <f t="shared" si="23"/>
        <v>45810</v>
      </c>
      <c r="O306" s="3">
        <f>(Table13[[#This Row],[Units_Sold]]*Table13[[#This Row],[Unit_Price_Cleaned]]*(1-Table13[[#This Row],[Discount Cleaned]]))</f>
        <v>2574.712</v>
      </c>
      <c r="P306" t="str">
        <f t="shared" si="24"/>
        <v>Profit</v>
      </c>
      <c r="Q306" t="str" cm="1">
        <f t="array" ref="Q306">IF(K306="",INDEX($K$2:$K$2501,MATCH(MAX(COUNTIF($K$2:$K$2501,$K$2:$K$2501)),COUNTIF($K$2:$K$2501,$K$2:$K$2501),0)),K306)</f>
        <v>B2B</v>
      </c>
    </row>
    <row r="307" spans="1:17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 s="3">
        <f t="shared" si="20"/>
        <v>7450.753200000001</v>
      </c>
      <c r="I307" s="1">
        <v>45157</v>
      </c>
      <c r="J307" t="s">
        <v>15</v>
      </c>
      <c r="L307" s="2">
        <f t="shared" si="21"/>
        <v>2483.5844000000002</v>
      </c>
      <c r="M307" s="4">
        <f t="shared" si="22"/>
        <v>0.6</v>
      </c>
      <c r="N307" s="1">
        <f t="shared" si="23"/>
        <v>45157</v>
      </c>
      <c r="O307" s="3">
        <f>(Table13[[#This Row],[Units_Sold]]*Table13[[#This Row],[Unit_Price_Cleaned]]*(1-Table13[[#This Row],[Discount Cleaned]]))</f>
        <v>2980.3012800000006</v>
      </c>
      <c r="P307" t="str">
        <f t="shared" si="24"/>
        <v>Profit</v>
      </c>
      <c r="Q307" t="str" cm="1">
        <f t="array" ref="Q307">IF(K307="",INDEX($K$2:$K$2501,MATCH(MAX(COUNTIF($K$2:$K$2501,$K$2:$K$2501)),COUNTIF($K$2:$K$2501,$K$2:$K$2501),0)),K307)</f>
        <v>B2B</v>
      </c>
    </row>
    <row r="308" spans="1:17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 s="3">
        <f t="shared" si="20"/>
        <v>10470.556153846155</v>
      </c>
      <c r="J308" t="s">
        <v>18</v>
      </c>
      <c r="L308" s="2">
        <f t="shared" si="21"/>
        <v>2617.6390384615388</v>
      </c>
      <c r="M308" s="4">
        <f t="shared" si="22"/>
        <v>0.6</v>
      </c>
      <c r="N308" s="1">
        <f t="shared" si="23"/>
        <v>45782</v>
      </c>
      <c r="O308" s="3">
        <f>(Table13[[#This Row],[Units_Sold]]*Table13[[#This Row],[Unit_Price_Cleaned]]*(1-Table13[[#This Row],[Discount Cleaned]]))</f>
        <v>4188.2224615384621</v>
      </c>
      <c r="P308" t="str">
        <f t="shared" si="24"/>
        <v>Profit</v>
      </c>
      <c r="Q308" t="str" cm="1">
        <f t="array" ref="Q308">IF(K308="",INDEX($K$2:$K$2501,MATCH(MAX(COUNTIF($K$2:$K$2501,$K$2:$K$2501)),COUNTIF($K$2:$K$2501,$K$2:$K$2501),0)),K308)</f>
        <v>B2B</v>
      </c>
    </row>
    <row r="309" spans="1:17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 s="3">
        <f t="shared" si="20"/>
        <v>5296.86</v>
      </c>
      <c r="I309" s="1">
        <v>45512</v>
      </c>
      <c r="J309" t="s">
        <v>18</v>
      </c>
      <c r="K309" t="s">
        <v>23</v>
      </c>
      <c r="L309" s="2">
        <f t="shared" si="21"/>
        <v>2648.43</v>
      </c>
      <c r="M309" s="4">
        <f t="shared" si="22"/>
        <v>0.6</v>
      </c>
      <c r="N309" s="1">
        <f t="shared" si="23"/>
        <v>45512</v>
      </c>
      <c r="O309" s="3">
        <f>(Table13[[#This Row],[Units_Sold]]*Table13[[#This Row],[Unit_Price_Cleaned]]*(1-Table13[[#This Row],[Discount Cleaned]]))</f>
        <v>2118.7440000000001</v>
      </c>
      <c r="P309" t="str">
        <f t="shared" si="24"/>
        <v>Profit</v>
      </c>
      <c r="Q309" t="str" cm="1">
        <f t="array" ref="Q309">IF(K309="",INDEX($K$2:$K$2501,MATCH(MAX(COUNTIF($K$2:$K$2501,$K$2:$K$2501)),COUNTIF($K$2:$K$2501,$K$2:$K$2501),0)),K309)</f>
        <v>B2B</v>
      </c>
    </row>
    <row r="310" spans="1:17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 s="3">
        <f t="shared" si="20"/>
        <v>8407.24</v>
      </c>
      <c r="I310" s="1">
        <v>45755</v>
      </c>
      <c r="J310" t="s">
        <v>22</v>
      </c>
      <c r="K310" t="s">
        <v>23</v>
      </c>
      <c r="L310" s="2">
        <f t="shared" si="21"/>
        <v>4203.62</v>
      </c>
      <c r="M310" s="4">
        <f t="shared" si="22"/>
        <v>0.6</v>
      </c>
      <c r="N310" s="1">
        <f t="shared" si="23"/>
        <v>45755</v>
      </c>
      <c r="O310" s="3">
        <f>(Table13[[#This Row],[Units_Sold]]*Table13[[#This Row],[Unit_Price_Cleaned]]*(1-Table13[[#This Row],[Discount Cleaned]]))</f>
        <v>3362.8960000000002</v>
      </c>
      <c r="P310" t="str">
        <f t="shared" si="24"/>
        <v>Profit</v>
      </c>
      <c r="Q310" t="str" cm="1">
        <f t="array" ref="Q310">IF(K310="",INDEX($K$2:$K$2501,MATCH(MAX(COUNTIF($K$2:$K$2501,$K$2:$K$2501)),COUNTIF($K$2:$K$2501,$K$2:$K$2501),0)),K310)</f>
        <v>B2B</v>
      </c>
    </row>
    <row r="311" spans="1:17" x14ac:dyDescent="0.3">
      <c r="A311">
        <v>1309</v>
      </c>
      <c r="B311" t="s">
        <v>361</v>
      </c>
      <c r="C311" t="s">
        <v>29</v>
      </c>
      <c r="D311" t="s">
        <v>141</v>
      </c>
      <c r="E311">
        <v>2</v>
      </c>
      <c r="H311" s="3">
        <f t="shared" si="20"/>
        <v>4925.58</v>
      </c>
      <c r="I311" s="1">
        <v>45719</v>
      </c>
      <c r="J311" t="s">
        <v>46</v>
      </c>
      <c r="K311" t="s">
        <v>23</v>
      </c>
      <c r="L311" s="2">
        <f t="shared" si="21"/>
        <v>2462.79</v>
      </c>
      <c r="M311" s="4">
        <f t="shared" si="22"/>
        <v>0.6</v>
      </c>
      <c r="N311" s="1">
        <f t="shared" si="23"/>
        <v>45719</v>
      </c>
      <c r="O311" s="3">
        <f>(Table13[[#This Row],[Units_Sold]]*Table13[[#This Row],[Unit_Price_Cleaned]]*(1-Table13[[#This Row],[Discount Cleaned]]))</f>
        <v>1970.232</v>
      </c>
      <c r="P311" t="str">
        <f t="shared" si="24"/>
        <v>Profit</v>
      </c>
      <c r="Q311" t="str" cm="1">
        <f t="array" ref="Q311">IF(K311="",INDEX($K$2:$K$2501,MATCH(MAX(COUNTIF($K$2:$K$2501,$K$2:$K$2501)),COUNTIF($K$2:$K$2501,$K$2:$K$2501),0)),K311)</f>
        <v>B2B</v>
      </c>
    </row>
    <row r="312" spans="1:17" x14ac:dyDescent="0.3">
      <c r="A312">
        <v>1310</v>
      </c>
      <c r="B312" t="s">
        <v>362</v>
      </c>
      <c r="C312" t="s">
        <v>38</v>
      </c>
      <c r="D312" t="s">
        <v>59</v>
      </c>
      <c r="E312">
        <v>2</v>
      </c>
      <c r="H312" s="3">
        <f t="shared" si="20"/>
        <v>5608.5303846153838</v>
      </c>
      <c r="I312" s="1">
        <v>45720</v>
      </c>
      <c r="J312" t="s">
        <v>46</v>
      </c>
      <c r="K312" t="s">
        <v>23</v>
      </c>
      <c r="L312" s="2">
        <f t="shared" si="21"/>
        <v>2804.2651923076919</v>
      </c>
      <c r="M312" s="4">
        <f t="shared" si="22"/>
        <v>0.6</v>
      </c>
      <c r="N312" s="1">
        <f t="shared" si="23"/>
        <v>45720</v>
      </c>
      <c r="O312" s="3">
        <f>(Table13[[#This Row],[Units_Sold]]*Table13[[#This Row],[Unit_Price_Cleaned]]*(1-Table13[[#This Row],[Discount Cleaned]]))</f>
        <v>2243.4121538461536</v>
      </c>
      <c r="P312" t="str">
        <f t="shared" si="24"/>
        <v>Profit</v>
      </c>
      <c r="Q312" t="str" cm="1">
        <f t="array" ref="Q312">IF(K312="",INDEX($K$2:$K$2501,MATCH(MAX(COUNTIF($K$2:$K$2501,$K$2:$K$2501)),COUNTIF($K$2:$K$2501,$K$2:$K$2501),0)),K312)</f>
        <v>B2B</v>
      </c>
    </row>
    <row r="313" spans="1:17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 s="3">
        <f t="shared" si="20"/>
        <v>7450.753200000001</v>
      </c>
      <c r="I313" s="1">
        <v>45272</v>
      </c>
      <c r="J313" t="s">
        <v>22</v>
      </c>
      <c r="K313" t="s">
        <v>23</v>
      </c>
      <c r="L313" s="2">
        <f t="shared" si="21"/>
        <v>2483.5844000000002</v>
      </c>
      <c r="M313" s="4">
        <f t="shared" si="22"/>
        <v>0.13</v>
      </c>
      <c r="N313" s="1">
        <f t="shared" si="23"/>
        <v>45272</v>
      </c>
      <c r="O313" s="3">
        <f>(Table13[[#This Row],[Units_Sold]]*Table13[[#This Row],[Unit_Price_Cleaned]]*(1-Table13[[#This Row],[Discount Cleaned]]))</f>
        <v>6482.1552840000013</v>
      </c>
      <c r="P313" t="str">
        <f t="shared" si="24"/>
        <v>Profit</v>
      </c>
      <c r="Q313" t="str" cm="1">
        <f t="array" ref="Q313">IF(K313="",INDEX($K$2:$K$2501,MATCH(MAX(COUNTIF($K$2:$K$2501,$K$2:$K$2501)),COUNTIF($K$2:$K$2501,$K$2:$K$2501),0)),K313)</f>
        <v>B2B</v>
      </c>
    </row>
    <row r="314" spans="1:17" x14ac:dyDescent="0.3">
      <c r="A314">
        <v>1312</v>
      </c>
      <c r="B314" t="s">
        <v>364</v>
      </c>
      <c r="C314" t="s">
        <v>29</v>
      </c>
      <c r="D314" t="s">
        <v>42</v>
      </c>
      <c r="E314">
        <v>2</v>
      </c>
      <c r="H314" s="3">
        <f t="shared" si="20"/>
        <v>5119.3334615384629</v>
      </c>
      <c r="I314" s="1">
        <v>45806</v>
      </c>
      <c r="J314" t="s">
        <v>46</v>
      </c>
      <c r="K314" t="s">
        <v>23</v>
      </c>
      <c r="L314" s="2">
        <f t="shared" si="21"/>
        <v>2559.6667307692314</v>
      </c>
      <c r="M314" s="4">
        <f t="shared" si="22"/>
        <v>0.6</v>
      </c>
      <c r="N314" s="1">
        <f t="shared" si="23"/>
        <v>45806</v>
      </c>
      <c r="O314" s="3">
        <f>(Table13[[#This Row],[Units_Sold]]*Table13[[#This Row],[Unit_Price_Cleaned]]*(1-Table13[[#This Row],[Discount Cleaned]]))</f>
        <v>2047.7333846153851</v>
      </c>
      <c r="P314" t="str">
        <f t="shared" si="24"/>
        <v>Profit</v>
      </c>
      <c r="Q314" t="str" cm="1">
        <f t="array" ref="Q314">IF(K314="",INDEX($K$2:$K$2501,MATCH(MAX(COUNTIF($K$2:$K$2501,$K$2:$K$2501)),COUNTIF($K$2:$K$2501,$K$2:$K$2501),0)),K314)</f>
        <v>B2B</v>
      </c>
    </row>
    <row r="315" spans="1:17" x14ac:dyDescent="0.3">
      <c r="A315">
        <v>1313</v>
      </c>
      <c r="B315" t="s">
        <v>365</v>
      </c>
      <c r="C315" t="s">
        <v>29</v>
      </c>
      <c r="D315" t="s">
        <v>120</v>
      </c>
      <c r="E315">
        <v>2</v>
      </c>
      <c r="F315">
        <v>4763.45</v>
      </c>
      <c r="G315">
        <v>0.96</v>
      </c>
      <c r="H315" s="3">
        <f t="shared" si="20"/>
        <v>9526.9</v>
      </c>
      <c r="I315" s="1">
        <v>45284</v>
      </c>
      <c r="J315" t="s">
        <v>46</v>
      </c>
      <c r="K315" t="s">
        <v>16</v>
      </c>
      <c r="L315" s="2">
        <f t="shared" si="21"/>
        <v>4763.45</v>
      </c>
      <c r="M315" s="4">
        <f t="shared" si="22"/>
        <v>0.96</v>
      </c>
      <c r="N315" s="1">
        <f t="shared" si="23"/>
        <v>45284</v>
      </c>
      <c r="O315" s="3">
        <f>(Table13[[#This Row],[Units_Sold]]*Table13[[#This Row],[Unit_Price_Cleaned]]*(1-Table13[[#This Row],[Discount Cleaned]]))</f>
        <v>381.07600000000031</v>
      </c>
      <c r="P315" t="str">
        <f t="shared" si="24"/>
        <v>Loss</v>
      </c>
      <c r="Q315" t="str" cm="1">
        <f t="array" ref="Q315">IF(K315="",INDEX($K$2:$K$2501,MATCH(MAX(COUNTIF($K$2:$K$2501,$K$2:$K$2501)),COUNTIF($K$2:$K$2501,$K$2:$K$2501),0)),K315)</f>
        <v>B2C</v>
      </c>
    </row>
    <row r="316" spans="1:17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 s="3">
        <f t="shared" si="20"/>
        <v>-2572.7764000000006</v>
      </c>
      <c r="I316" s="1">
        <v>45626</v>
      </c>
      <c r="J316" t="s">
        <v>56</v>
      </c>
      <c r="K316" t="s">
        <v>16</v>
      </c>
      <c r="L316" s="2">
        <f t="shared" si="21"/>
        <v>2572.7764000000006</v>
      </c>
      <c r="M316" s="4">
        <f t="shared" si="22"/>
        <v>0.6</v>
      </c>
      <c r="N316" s="1">
        <f t="shared" si="23"/>
        <v>45626</v>
      </c>
      <c r="O316" s="3">
        <f>(Table13[[#This Row],[Units_Sold]]*Table13[[#This Row],[Unit_Price_Cleaned]]*(1-Table13[[#This Row],[Discount Cleaned]]))</f>
        <v>-1029.1105600000003</v>
      </c>
      <c r="P316" t="str">
        <f t="shared" si="24"/>
        <v>Loss</v>
      </c>
      <c r="Q316" t="str" cm="1">
        <f t="array" ref="Q316">IF(K316="",INDEX($K$2:$K$2501,MATCH(MAX(COUNTIF($K$2:$K$2501,$K$2:$K$2501)),COUNTIF($K$2:$K$2501,$K$2:$K$2501),0)),K316)</f>
        <v>B2C</v>
      </c>
    </row>
    <row r="317" spans="1:17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 s="3">
        <f t="shared" si="20"/>
        <v>-1030.08</v>
      </c>
      <c r="I317" s="1">
        <v>45473</v>
      </c>
      <c r="J317" t="s">
        <v>40</v>
      </c>
      <c r="L317" s="2">
        <f t="shared" si="21"/>
        <v>515.04</v>
      </c>
      <c r="M317" s="4">
        <f t="shared" si="22"/>
        <v>0.6</v>
      </c>
      <c r="N317" s="1">
        <f t="shared" si="23"/>
        <v>45473</v>
      </c>
      <c r="O317" s="3">
        <f>(Table13[[#This Row],[Units_Sold]]*Table13[[#This Row],[Unit_Price_Cleaned]]*(1-Table13[[#This Row],[Discount Cleaned]]))</f>
        <v>-412.03199999999998</v>
      </c>
      <c r="P317" t="str">
        <f t="shared" si="24"/>
        <v>Loss</v>
      </c>
      <c r="Q317" t="str" cm="1">
        <f t="array" ref="Q317">IF(K317="",INDEX($K$2:$K$2501,MATCH(MAX(COUNTIF($K$2:$K$2501,$K$2:$K$2501)),COUNTIF($K$2:$K$2501,$K$2:$K$2501),0)),K317)</f>
        <v>B2B</v>
      </c>
    </row>
    <row r="318" spans="1:17" x14ac:dyDescent="0.3">
      <c r="A318">
        <v>1316</v>
      </c>
      <c r="B318" t="s">
        <v>368</v>
      </c>
      <c r="C318" t="s">
        <v>33</v>
      </c>
      <c r="D318" t="s">
        <v>34</v>
      </c>
      <c r="E318">
        <v>2</v>
      </c>
      <c r="F318">
        <v>1345.98</v>
      </c>
      <c r="H318" s="3">
        <f t="shared" si="20"/>
        <v>2691.96</v>
      </c>
      <c r="I318" s="1">
        <v>45769</v>
      </c>
      <c r="J318" t="s">
        <v>46</v>
      </c>
      <c r="L318" s="2">
        <f t="shared" si="21"/>
        <v>1345.98</v>
      </c>
      <c r="M318" s="4">
        <f t="shared" si="22"/>
        <v>0.6</v>
      </c>
      <c r="N318" s="1">
        <f t="shared" si="23"/>
        <v>45769</v>
      </c>
      <c r="O318" s="3">
        <f>(Table13[[#This Row],[Units_Sold]]*Table13[[#This Row],[Unit_Price_Cleaned]]*(1-Table13[[#This Row],[Discount Cleaned]]))</f>
        <v>1076.7840000000001</v>
      </c>
      <c r="P318" t="str">
        <f t="shared" si="24"/>
        <v>Profit</v>
      </c>
      <c r="Q318" t="str" cm="1">
        <f t="array" ref="Q318">IF(K318="",INDEX($K$2:$K$2501,MATCH(MAX(COUNTIF($K$2:$K$2501,$K$2:$K$2501)),COUNTIF($K$2:$K$2501,$K$2:$K$2501),0)),K318)</f>
        <v>B2B</v>
      </c>
    </row>
    <row r="319" spans="1:17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 s="3">
        <f t="shared" si="20"/>
        <v>0</v>
      </c>
      <c r="I319" s="1">
        <v>45508</v>
      </c>
      <c r="J319" t="s">
        <v>22</v>
      </c>
      <c r="K319" t="s">
        <v>23</v>
      </c>
      <c r="L319" s="2">
        <f t="shared" si="21"/>
        <v>2830.1325714285731</v>
      </c>
      <c r="M319" s="4">
        <f t="shared" si="22"/>
        <v>0.6</v>
      </c>
      <c r="N319" s="1">
        <f t="shared" si="23"/>
        <v>45508</v>
      </c>
      <c r="O319" s="3">
        <f>(Table13[[#This Row],[Units_Sold]]*Table13[[#This Row],[Unit_Price_Cleaned]]*(1-Table13[[#This Row],[Discount Cleaned]]))</f>
        <v>0</v>
      </c>
      <c r="P319" t="str">
        <f t="shared" si="24"/>
        <v>Loss</v>
      </c>
      <c r="Q319" t="str" cm="1">
        <f t="array" ref="Q319">IF(K319="",INDEX($K$2:$K$2501,MATCH(MAX(COUNTIF($K$2:$K$2501,$K$2:$K$2501)),COUNTIF($K$2:$K$2501,$K$2:$K$2501),0)),K319)</f>
        <v>B2B</v>
      </c>
    </row>
    <row r="320" spans="1:17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 s="3">
        <f t="shared" si="20"/>
        <v>7852.9171153846164</v>
      </c>
      <c r="J320" t="s">
        <v>46</v>
      </c>
      <c r="K320" t="s">
        <v>16</v>
      </c>
      <c r="L320" s="2">
        <f t="shared" si="21"/>
        <v>2617.6390384615388</v>
      </c>
      <c r="M320" s="4">
        <f t="shared" si="22"/>
        <v>0.6</v>
      </c>
      <c r="N320" s="1">
        <f t="shared" si="23"/>
        <v>45782</v>
      </c>
      <c r="O320" s="3">
        <f>(Table13[[#This Row],[Units_Sold]]*Table13[[#This Row],[Unit_Price_Cleaned]]*(1-Table13[[#This Row],[Discount Cleaned]]))</f>
        <v>3141.1668461538466</v>
      </c>
      <c r="P320" t="str">
        <f t="shared" si="24"/>
        <v>Profit</v>
      </c>
      <c r="Q320" t="str" cm="1">
        <f t="array" ref="Q320">IF(K320="",INDEX($K$2:$K$2501,MATCH(MAX(COUNTIF($K$2:$K$2501,$K$2:$K$2501)),COUNTIF($K$2:$K$2501,$K$2:$K$2501),0)),K320)</f>
        <v>B2C</v>
      </c>
    </row>
    <row r="321" spans="1:17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 s="3">
        <f t="shared" si="20"/>
        <v>0</v>
      </c>
      <c r="I321" s="1">
        <v>45358</v>
      </c>
      <c r="J321" t="s">
        <v>18</v>
      </c>
      <c r="L321" s="2">
        <f t="shared" si="21"/>
        <v>2868.7768181818178</v>
      </c>
      <c r="M321" s="4">
        <f t="shared" si="22"/>
        <v>0.6</v>
      </c>
      <c r="N321" s="1">
        <f t="shared" si="23"/>
        <v>45358</v>
      </c>
      <c r="O321" s="3">
        <f>(Table13[[#This Row],[Units_Sold]]*Table13[[#This Row],[Unit_Price_Cleaned]]*(1-Table13[[#This Row],[Discount Cleaned]]))</f>
        <v>0</v>
      </c>
      <c r="P321" t="str">
        <f t="shared" si="24"/>
        <v>Loss</v>
      </c>
      <c r="Q321" t="str" cm="1">
        <f t="array" ref="Q321">IF(K321="",INDEX($K$2:$K$2501,MATCH(MAX(COUNTIF($K$2:$K$2501,$K$2:$K$2501)),COUNTIF($K$2:$K$2501,$K$2:$K$2501),0)),K321)</f>
        <v>B2B</v>
      </c>
    </row>
    <row r="322" spans="1:17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 s="3">
        <f t="shared" ref="H322:H385" si="25">(L322*E322)</f>
        <v>10470.556153846155</v>
      </c>
      <c r="J322" t="s">
        <v>15</v>
      </c>
      <c r="K322" t="s">
        <v>23</v>
      </c>
      <c r="L322" s="2">
        <f t="shared" ref="L322:L385" si="26">IF(F322="",AVERAGEIF($D$2:$D$2501,D322,$F$2:$F$2501),F322)</f>
        <v>2617.6390384615388</v>
      </c>
      <c r="M322" s="4">
        <f t="shared" ref="M322:M385" si="27">IF(G322="",MEDIAN($G$2,$G$2501),G322)</f>
        <v>0.6</v>
      </c>
      <c r="N322" s="1">
        <f t="shared" ref="N322:N385" si="28">IF(I322="",MODE($I$32:$I$2501),I322)</f>
        <v>45782</v>
      </c>
      <c r="O322" s="3">
        <f>(Table13[[#This Row],[Units_Sold]]*Table13[[#This Row],[Unit_Price_Cleaned]]*(1-Table13[[#This Row],[Discount Cleaned]]))</f>
        <v>4188.2224615384621</v>
      </c>
      <c r="P322" t="str">
        <f t="shared" ref="P322:P385" si="29">IF(O322&gt;500,"Profit","Loss")</f>
        <v>Profit</v>
      </c>
      <c r="Q322" t="str" cm="1">
        <f t="array" ref="Q322">IF(K322="",INDEX($K$2:$K$2501,MATCH(MAX(COUNTIF($K$2:$K$2501,$K$2:$K$2501)),COUNTIF($K$2:$K$2501,$K$2:$K$2501),0)),K322)</f>
        <v>B2B</v>
      </c>
    </row>
    <row r="323" spans="1:17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 s="3">
        <f t="shared" si="25"/>
        <v>8100.3789130434761</v>
      </c>
      <c r="I323" s="1">
        <v>45561</v>
      </c>
      <c r="J323" t="s">
        <v>15</v>
      </c>
      <c r="L323" s="2">
        <f t="shared" si="26"/>
        <v>2700.1263043478252</v>
      </c>
      <c r="M323" s="4">
        <f t="shared" si="27"/>
        <v>1.02</v>
      </c>
      <c r="N323" s="1">
        <f t="shared" si="28"/>
        <v>45561</v>
      </c>
      <c r="O323" s="3">
        <f>(Table13[[#This Row],[Units_Sold]]*Table13[[#This Row],[Unit_Price_Cleaned]]*(1-Table13[[#This Row],[Discount Cleaned]]))</f>
        <v>-162.00757826086968</v>
      </c>
      <c r="P323" t="str">
        <f t="shared" si="29"/>
        <v>Loss</v>
      </c>
      <c r="Q323" t="str" cm="1">
        <f t="array" ref="Q323">IF(K323="",INDEX($K$2:$K$2501,MATCH(MAX(COUNTIF($K$2:$K$2501,$K$2:$K$2501)),COUNTIF($K$2:$K$2501,$K$2:$K$2501),0)),K323)</f>
        <v>B2B</v>
      </c>
    </row>
    <row r="324" spans="1:17" x14ac:dyDescent="0.3">
      <c r="A324">
        <v>1322</v>
      </c>
      <c r="B324" t="s">
        <v>374</v>
      </c>
      <c r="C324" t="s">
        <v>33</v>
      </c>
      <c r="D324" t="s">
        <v>72</v>
      </c>
      <c r="E324">
        <v>2</v>
      </c>
      <c r="F324">
        <v>2387.61</v>
      </c>
      <c r="H324" s="3">
        <f t="shared" si="25"/>
        <v>4775.22</v>
      </c>
      <c r="I324" s="1">
        <v>45628</v>
      </c>
      <c r="J324" t="s">
        <v>15</v>
      </c>
      <c r="K324" t="s">
        <v>16</v>
      </c>
      <c r="L324" s="2">
        <f t="shared" si="26"/>
        <v>2387.61</v>
      </c>
      <c r="M324" s="4">
        <f t="shared" si="27"/>
        <v>0.6</v>
      </c>
      <c r="N324" s="1">
        <f t="shared" si="28"/>
        <v>45628</v>
      </c>
      <c r="O324" s="3">
        <f>(Table13[[#This Row],[Units_Sold]]*Table13[[#This Row],[Unit_Price_Cleaned]]*(1-Table13[[#This Row],[Discount Cleaned]]))</f>
        <v>1910.0880000000002</v>
      </c>
      <c r="P324" t="str">
        <f t="shared" si="29"/>
        <v>Profit</v>
      </c>
      <c r="Q324" t="str" cm="1">
        <f t="array" ref="Q324">IF(K324="",INDEX($K$2:$K$2501,MATCH(MAX(COUNTIF($K$2:$K$2501,$K$2:$K$2501)),COUNTIF($K$2:$K$2501,$K$2:$K$2501),0)),K324)</f>
        <v>B2C</v>
      </c>
    </row>
    <row r="325" spans="1:17" x14ac:dyDescent="0.3">
      <c r="A325">
        <v>1323</v>
      </c>
      <c r="B325" t="s">
        <v>375</v>
      </c>
      <c r="C325" t="s">
        <v>20</v>
      </c>
      <c r="D325" t="s">
        <v>21</v>
      </c>
      <c r="E325">
        <v>2</v>
      </c>
      <c r="G325">
        <v>1.1200000000000001</v>
      </c>
      <c r="H325" s="3">
        <f t="shared" si="25"/>
        <v>5362.348727272727</v>
      </c>
      <c r="I325" s="1">
        <v>45412</v>
      </c>
      <c r="J325" t="s">
        <v>46</v>
      </c>
      <c r="L325" s="2">
        <f t="shared" si="26"/>
        <v>2681.1743636363635</v>
      </c>
      <c r="M325" s="4">
        <f t="shared" si="27"/>
        <v>1.1200000000000001</v>
      </c>
      <c r="N325" s="1">
        <f t="shared" si="28"/>
        <v>45412</v>
      </c>
      <c r="O325" s="3">
        <f>(Table13[[#This Row],[Units_Sold]]*Table13[[#This Row],[Unit_Price_Cleaned]]*(1-Table13[[#This Row],[Discount Cleaned]]))</f>
        <v>-643.4818472727278</v>
      </c>
      <c r="P325" t="str">
        <f t="shared" si="29"/>
        <v>Loss</v>
      </c>
      <c r="Q325" t="str" cm="1">
        <f t="array" ref="Q325">IF(K325="",INDEX($K$2:$K$2501,MATCH(MAX(COUNTIF($K$2:$K$2501,$K$2:$K$2501)),COUNTIF($K$2:$K$2501,$K$2:$K$2501),0)),K325)</f>
        <v>B2B</v>
      </c>
    </row>
    <row r="326" spans="1:17" x14ac:dyDescent="0.3">
      <c r="A326">
        <v>1324</v>
      </c>
      <c r="B326" t="s">
        <v>376</v>
      </c>
      <c r="C326" t="s">
        <v>20</v>
      </c>
      <c r="D326" t="s">
        <v>80</v>
      </c>
      <c r="E326">
        <v>2</v>
      </c>
      <c r="H326" s="3">
        <f t="shared" si="25"/>
        <v>4967.1688000000004</v>
      </c>
      <c r="I326" s="1">
        <v>45638</v>
      </c>
      <c r="J326" t="s">
        <v>22</v>
      </c>
      <c r="K326" t="s">
        <v>16</v>
      </c>
      <c r="L326" s="2">
        <f t="shared" si="26"/>
        <v>2483.5844000000002</v>
      </c>
      <c r="M326" s="4">
        <f t="shared" si="27"/>
        <v>0.6</v>
      </c>
      <c r="N326" s="1">
        <f t="shared" si="28"/>
        <v>45638</v>
      </c>
      <c r="O326" s="3">
        <f>(Table13[[#This Row],[Units_Sold]]*Table13[[#This Row],[Unit_Price_Cleaned]]*(1-Table13[[#This Row],[Discount Cleaned]]))</f>
        <v>1986.8675200000002</v>
      </c>
      <c r="P326" t="str">
        <f t="shared" si="29"/>
        <v>Profit</v>
      </c>
      <c r="Q326" t="str" cm="1">
        <f t="array" ref="Q326">IF(K326="",INDEX($K$2:$K$2501,MATCH(MAX(COUNTIF($K$2:$K$2501,$K$2:$K$2501)),COUNTIF($K$2:$K$2501,$K$2:$K$2501),0)),K326)</f>
        <v>B2C</v>
      </c>
    </row>
    <row r="327" spans="1:17" x14ac:dyDescent="0.3">
      <c r="A327">
        <v>1325</v>
      </c>
      <c r="B327" t="s">
        <v>377</v>
      </c>
      <c r="C327" t="s">
        <v>13</v>
      </c>
      <c r="D327" t="s">
        <v>102</v>
      </c>
      <c r="E327">
        <v>2</v>
      </c>
      <c r="F327">
        <v>1315.93</v>
      </c>
      <c r="H327" s="3">
        <f t="shared" si="25"/>
        <v>2631.86</v>
      </c>
      <c r="I327" s="1">
        <v>45844</v>
      </c>
      <c r="J327" t="s">
        <v>40</v>
      </c>
      <c r="L327" s="2">
        <f t="shared" si="26"/>
        <v>1315.93</v>
      </c>
      <c r="M327" s="4">
        <f t="shared" si="27"/>
        <v>0.6</v>
      </c>
      <c r="N327" s="1">
        <f t="shared" si="28"/>
        <v>45844</v>
      </c>
      <c r="O327" s="3">
        <f>(Table13[[#This Row],[Units_Sold]]*Table13[[#This Row],[Unit_Price_Cleaned]]*(1-Table13[[#This Row],[Discount Cleaned]]))</f>
        <v>1052.7440000000001</v>
      </c>
      <c r="P327" t="str">
        <f t="shared" si="29"/>
        <v>Profit</v>
      </c>
      <c r="Q327" t="str" cm="1">
        <f t="array" ref="Q327">IF(K327="",INDEX($K$2:$K$2501,MATCH(MAX(COUNTIF($K$2:$K$2501,$K$2:$K$2501)),COUNTIF($K$2:$K$2501,$K$2:$K$2501),0)),K327)</f>
        <v>B2B</v>
      </c>
    </row>
    <row r="328" spans="1:17" x14ac:dyDescent="0.3">
      <c r="A328">
        <v>1326</v>
      </c>
      <c r="B328" t="s">
        <v>378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 s="3">
        <f t="shared" si="25"/>
        <v>8208.7199999999993</v>
      </c>
      <c r="I328" s="1">
        <v>45648</v>
      </c>
      <c r="J328" t="s">
        <v>22</v>
      </c>
      <c r="L328" s="2">
        <f t="shared" si="26"/>
        <v>4104.3599999999997</v>
      </c>
      <c r="M328" s="4">
        <f t="shared" si="27"/>
        <v>1.1100000000000001</v>
      </c>
      <c r="N328" s="1">
        <f t="shared" si="28"/>
        <v>45648</v>
      </c>
      <c r="O328" s="3">
        <f>(Table13[[#This Row],[Units_Sold]]*Table13[[#This Row],[Unit_Price_Cleaned]]*(1-Table13[[#This Row],[Discount Cleaned]]))</f>
        <v>-902.95920000000069</v>
      </c>
      <c r="P328" t="str">
        <f t="shared" si="29"/>
        <v>Loss</v>
      </c>
      <c r="Q328" t="str" cm="1">
        <f t="array" ref="Q328">IF(K328="",INDEX($K$2:$K$2501,MATCH(MAX(COUNTIF($K$2:$K$2501,$K$2:$K$2501)),COUNTIF($K$2:$K$2501,$K$2:$K$2501),0)),K328)</f>
        <v>B2B</v>
      </c>
    </row>
    <row r="329" spans="1:17" x14ac:dyDescent="0.3">
      <c r="A329">
        <v>1327</v>
      </c>
      <c r="B329" t="s">
        <v>379</v>
      </c>
      <c r="C329" t="s">
        <v>25</v>
      </c>
      <c r="D329" t="s">
        <v>66</v>
      </c>
      <c r="E329">
        <v>2</v>
      </c>
      <c r="F329">
        <v>2964.44</v>
      </c>
      <c r="H329" s="3">
        <f t="shared" si="25"/>
        <v>5928.88</v>
      </c>
      <c r="I329" s="1">
        <v>45144</v>
      </c>
      <c r="J329" t="s">
        <v>22</v>
      </c>
      <c r="L329" s="2">
        <f t="shared" si="26"/>
        <v>2964.44</v>
      </c>
      <c r="M329" s="4">
        <f t="shared" si="27"/>
        <v>0.6</v>
      </c>
      <c r="N329" s="1">
        <f t="shared" si="28"/>
        <v>45144</v>
      </c>
      <c r="O329" s="3">
        <f>(Table13[[#This Row],[Units_Sold]]*Table13[[#This Row],[Unit_Price_Cleaned]]*(1-Table13[[#This Row],[Discount Cleaned]]))</f>
        <v>2371.5520000000001</v>
      </c>
      <c r="P329" t="str">
        <f t="shared" si="29"/>
        <v>Profit</v>
      </c>
      <c r="Q329" t="str" cm="1">
        <f t="array" ref="Q329">IF(K329="",INDEX($K$2:$K$2501,MATCH(MAX(COUNTIF($K$2:$K$2501,$K$2:$K$2501)),COUNTIF($K$2:$K$2501,$K$2:$K$2501),0)),K329)</f>
        <v>B2B</v>
      </c>
    </row>
    <row r="330" spans="1:17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 s="3">
        <f t="shared" si="25"/>
        <v>13000.96</v>
      </c>
      <c r="I330" s="1">
        <v>45804</v>
      </c>
      <c r="J330" t="s">
        <v>46</v>
      </c>
      <c r="K330" t="s">
        <v>23</v>
      </c>
      <c r="L330" s="2">
        <f t="shared" si="26"/>
        <v>3250.24</v>
      </c>
      <c r="M330" s="4">
        <f t="shared" si="27"/>
        <v>0.56000000000000005</v>
      </c>
      <c r="N330" s="1">
        <f t="shared" si="28"/>
        <v>45804</v>
      </c>
      <c r="O330" s="3">
        <f>(Table13[[#This Row],[Units_Sold]]*Table13[[#This Row],[Unit_Price_Cleaned]]*(1-Table13[[#This Row],[Discount Cleaned]]))</f>
        <v>5720.4223999999986</v>
      </c>
      <c r="P330" t="str">
        <f t="shared" si="29"/>
        <v>Profit</v>
      </c>
      <c r="Q330" t="str" cm="1">
        <f t="array" ref="Q330">IF(K330="",INDEX($K$2:$K$2501,MATCH(MAX(COUNTIF($K$2:$K$2501,$K$2:$K$2501)),COUNTIF($K$2:$K$2501,$K$2:$K$2501),0)),K330)</f>
        <v>B2B</v>
      </c>
    </row>
    <row r="331" spans="1:17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 s="3">
        <f t="shared" si="25"/>
        <v>2587.7800000000002</v>
      </c>
      <c r="I331" s="1">
        <v>45285</v>
      </c>
      <c r="J331" t="s">
        <v>56</v>
      </c>
      <c r="K331" t="s">
        <v>16</v>
      </c>
      <c r="L331" s="2">
        <f t="shared" si="26"/>
        <v>2587.7800000000002</v>
      </c>
      <c r="M331" s="4">
        <f t="shared" si="27"/>
        <v>0.6</v>
      </c>
      <c r="N331" s="1">
        <f t="shared" si="28"/>
        <v>45285</v>
      </c>
      <c r="O331" s="3">
        <f>(Table13[[#This Row],[Units_Sold]]*Table13[[#This Row],[Unit_Price_Cleaned]]*(1-Table13[[#This Row],[Discount Cleaned]]))</f>
        <v>1035.1120000000001</v>
      </c>
      <c r="P331" t="str">
        <f t="shared" si="29"/>
        <v>Profit</v>
      </c>
      <c r="Q331" t="str" cm="1">
        <f t="array" ref="Q331">IF(K331="",INDEX($K$2:$K$2501,MATCH(MAX(COUNTIF($K$2:$K$2501,$K$2:$K$2501)),COUNTIF($K$2:$K$2501,$K$2:$K$2501),0)),K331)</f>
        <v>B2C</v>
      </c>
    </row>
    <row r="332" spans="1:17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 s="3">
        <f t="shared" si="25"/>
        <v>-5608.5303846153838</v>
      </c>
      <c r="I332" s="1">
        <v>45656</v>
      </c>
      <c r="J332" t="s">
        <v>18</v>
      </c>
      <c r="K332" t="s">
        <v>16</v>
      </c>
      <c r="L332" s="2">
        <f t="shared" si="26"/>
        <v>2804.2651923076919</v>
      </c>
      <c r="M332" s="4">
        <f t="shared" si="27"/>
        <v>0.6</v>
      </c>
      <c r="N332" s="1">
        <f t="shared" si="28"/>
        <v>45656</v>
      </c>
      <c r="O332" s="3">
        <f>(Table13[[#This Row],[Units_Sold]]*Table13[[#This Row],[Unit_Price_Cleaned]]*(1-Table13[[#This Row],[Discount Cleaned]]))</f>
        <v>-2243.4121538461536</v>
      </c>
      <c r="P332" t="str">
        <f t="shared" si="29"/>
        <v>Loss</v>
      </c>
      <c r="Q332" t="str" cm="1">
        <f t="array" ref="Q332">IF(K332="",INDEX($K$2:$K$2501,MATCH(MAX(COUNTIF($K$2:$K$2501,$K$2:$K$2501)),COUNTIF($K$2:$K$2501,$K$2:$K$2501),0)),K332)</f>
        <v>B2C</v>
      </c>
    </row>
    <row r="333" spans="1:17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 s="3">
        <f t="shared" si="25"/>
        <v>15705.834230769233</v>
      </c>
      <c r="I333" s="1">
        <v>45682</v>
      </c>
      <c r="J333" t="s">
        <v>40</v>
      </c>
      <c r="L333" s="2">
        <f t="shared" si="26"/>
        <v>2617.6390384615388</v>
      </c>
      <c r="M333" s="4">
        <f t="shared" si="27"/>
        <v>0.6</v>
      </c>
      <c r="N333" s="1">
        <f t="shared" si="28"/>
        <v>45682</v>
      </c>
      <c r="O333" s="3">
        <f>(Table13[[#This Row],[Units_Sold]]*Table13[[#This Row],[Unit_Price_Cleaned]]*(1-Table13[[#This Row],[Discount Cleaned]]))</f>
        <v>6282.3336923076931</v>
      </c>
      <c r="P333" t="str">
        <f t="shared" si="29"/>
        <v>Profit</v>
      </c>
      <c r="Q333" t="str" cm="1">
        <f t="array" ref="Q333">IF(K333="",INDEX($K$2:$K$2501,MATCH(MAX(COUNTIF($K$2:$K$2501,$K$2:$K$2501)),COUNTIF($K$2:$K$2501,$K$2:$K$2501),0)),K333)</f>
        <v>B2B</v>
      </c>
    </row>
    <row r="334" spans="1:17" x14ac:dyDescent="0.3">
      <c r="A334">
        <v>1332</v>
      </c>
      <c r="B334" t="s">
        <v>384</v>
      </c>
      <c r="C334" t="s">
        <v>33</v>
      </c>
      <c r="D334" t="s">
        <v>82</v>
      </c>
      <c r="E334">
        <v>2</v>
      </c>
      <c r="G334">
        <v>0</v>
      </c>
      <c r="H334" s="3">
        <f t="shared" si="25"/>
        <v>5552.4404000000004</v>
      </c>
      <c r="I334" s="1">
        <v>45788</v>
      </c>
      <c r="J334" t="s">
        <v>22</v>
      </c>
      <c r="K334" t="s">
        <v>16</v>
      </c>
      <c r="L334" s="2">
        <f t="shared" si="26"/>
        <v>2776.2202000000002</v>
      </c>
      <c r="M334" s="4">
        <f t="shared" si="27"/>
        <v>0</v>
      </c>
      <c r="N334" s="1">
        <f t="shared" si="28"/>
        <v>45788</v>
      </c>
      <c r="O334" s="3">
        <f>(Table13[[#This Row],[Units_Sold]]*Table13[[#This Row],[Unit_Price_Cleaned]]*(1-Table13[[#This Row],[Discount Cleaned]]))</f>
        <v>5552.4404000000004</v>
      </c>
      <c r="P334" t="str">
        <f t="shared" si="29"/>
        <v>Profit</v>
      </c>
      <c r="Q334" t="str" cm="1">
        <f t="array" ref="Q334">IF(K334="",INDEX($K$2:$K$2501,MATCH(MAX(COUNTIF($K$2:$K$2501,$K$2:$K$2501)),COUNTIF($K$2:$K$2501,$K$2:$K$2501),0)),K334)</f>
        <v>B2C</v>
      </c>
    </row>
    <row r="335" spans="1:17" x14ac:dyDescent="0.3">
      <c r="A335">
        <v>1028</v>
      </c>
      <c r="B335" t="s">
        <v>385</v>
      </c>
      <c r="C335" t="s">
        <v>29</v>
      </c>
      <c r="D335" t="s">
        <v>120</v>
      </c>
      <c r="E335">
        <v>2</v>
      </c>
      <c r="H335" s="3">
        <f t="shared" si="25"/>
        <v>5660.2651428571462</v>
      </c>
      <c r="I335" s="1">
        <v>45240</v>
      </c>
      <c r="J335" t="s">
        <v>18</v>
      </c>
      <c r="K335" t="s">
        <v>23</v>
      </c>
      <c r="L335" s="2">
        <f t="shared" si="26"/>
        <v>2830.1325714285731</v>
      </c>
      <c r="M335" s="4">
        <f t="shared" si="27"/>
        <v>0.6</v>
      </c>
      <c r="N335" s="1">
        <f t="shared" si="28"/>
        <v>45240</v>
      </c>
      <c r="O335" s="3">
        <f>(Table13[[#This Row],[Units_Sold]]*Table13[[#This Row],[Unit_Price_Cleaned]]*(1-Table13[[#This Row],[Discount Cleaned]]))</f>
        <v>2264.1060571428584</v>
      </c>
      <c r="P335" t="str">
        <f t="shared" si="29"/>
        <v>Profit</v>
      </c>
      <c r="Q335" t="str" cm="1">
        <f t="array" ref="Q335">IF(K335="",INDEX($K$2:$K$2501,MATCH(MAX(COUNTIF($K$2:$K$2501,$K$2:$K$2501)),COUNTIF($K$2:$K$2501,$K$2:$K$2501),0)),K335)</f>
        <v>B2B</v>
      </c>
    </row>
    <row r="336" spans="1:17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 s="3">
        <f t="shared" si="25"/>
        <v>8728.14</v>
      </c>
      <c r="I336" s="1">
        <v>45814</v>
      </c>
      <c r="J336" t="s">
        <v>15</v>
      </c>
      <c r="L336" s="2">
        <f t="shared" si="26"/>
        <v>1454.69</v>
      </c>
      <c r="M336" s="4">
        <f t="shared" si="27"/>
        <v>0.6</v>
      </c>
      <c r="N336" s="1">
        <f t="shared" si="28"/>
        <v>45814</v>
      </c>
      <c r="O336" s="3">
        <f>(Table13[[#This Row],[Units_Sold]]*Table13[[#This Row],[Unit_Price_Cleaned]]*(1-Table13[[#This Row],[Discount Cleaned]]))</f>
        <v>3491.2559999999999</v>
      </c>
      <c r="P336" t="str">
        <f t="shared" si="29"/>
        <v>Profit</v>
      </c>
      <c r="Q336" t="str" cm="1">
        <f t="array" ref="Q336">IF(K336="",INDEX($K$2:$K$2501,MATCH(MAX(COUNTIF($K$2:$K$2501,$K$2:$K$2501)),COUNTIF($K$2:$K$2501,$K$2:$K$2501),0)),K336)</f>
        <v>B2B</v>
      </c>
    </row>
    <row r="337" spans="1:17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 s="3">
        <f t="shared" si="25"/>
        <v>12863.882000000003</v>
      </c>
      <c r="I337" s="1">
        <v>45772</v>
      </c>
      <c r="J337" t="s">
        <v>56</v>
      </c>
      <c r="K337" t="s">
        <v>16</v>
      </c>
      <c r="L337" s="2">
        <f t="shared" si="26"/>
        <v>2572.7764000000006</v>
      </c>
      <c r="M337" s="4">
        <f t="shared" si="27"/>
        <v>0.6</v>
      </c>
      <c r="N337" s="1">
        <f t="shared" si="28"/>
        <v>45772</v>
      </c>
      <c r="O337" s="3">
        <f>(Table13[[#This Row],[Units_Sold]]*Table13[[#This Row],[Unit_Price_Cleaned]]*(1-Table13[[#This Row],[Discount Cleaned]]))</f>
        <v>5145.5528000000013</v>
      </c>
      <c r="P337" t="str">
        <f t="shared" si="29"/>
        <v>Profit</v>
      </c>
      <c r="Q337" t="str" cm="1">
        <f t="array" ref="Q337">IF(K337="",INDEX($K$2:$K$2501,MATCH(MAX(COUNTIF($K$2:$K$2501,$K$2:$K$2501)),COUNTIF($K$2:$K$2501,$K$2:$K$2501),0)),K337)</f>
        <v>B2C</v>
      </c>
    </row>
    <row r="338" spans="1:17" x14ac:dyDescent="0.3">
      <c r="A338">
        <v>1336</v>
      </c>
      <c r="B338" t="s">
        <v>388</v>
      </c>
      <c r="C338" t="s">
        <v>20</v>
      </c>
      <c r="D338" t="s">
        <v>88</v>
      </c>
      <c r="E338">
        <v>2</v>
      </c>
      <c r="H338" s="3">
        <f t="shared" si="25"/>
        <v>5451.7114285714297</v>
      </c>
      <c r="J338" t="s">
        <v>15</v>
      </c>
      <c r="K338" t="s">
        <v>23</v>
      </c>
      <c r="L338" s="2">
        <f t="shared" si="26"/>
        <v>2725.8557142857148</v>
      </c>
      <c r="M338" s="4">
        <f t="shared" si="27"/>
        <v>0.6</v>
      </c>
      <c r="N338" s="1">
        <f t="shared" si="28"/>
        <v>45782</v>
      </c>
      <c r="O338" s="3">
        <f>(Table13[[#This Row],[Units_Sold]]*Table13[[#This Row],[Unit_Price_Cleaned]]*(1-Table13[[#This Row],[Discount Cleaned]]))</f>
        <v>2180.6845714285719</v>
      </c>
      <c r="P338" t="str">
        <f t="shared" si="29"/>
        <v>Profit</v>
      </c>
      <c r="Q338" t="str" cm="1">
        <f t="array" ref="Q338">IF(K338="",INDEX($K$2:$K$2501,MATCH(MAX(COUNTIF($K$2:$K$2501,$K$2:$K$2501)),COUNTIF($K$2:$K$2501,$K$2:$K$2501),0)),K338)</f>
        <v>B2B</v>
      </c>
    </row>
    <row r="339" spans="1:17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 s="3">
        <f t="shared" si="25"/>
        <v>13720.079999999998</v>
      </c>
      <c r="I339" s="1">
        <v>45595</v>
      </c>
      <c r="J339" t="s">
        <v>56</v>
      </c>
      <c r="K339" t="s">
        <v>16</v>
      </c>
      <c r="L339" s="2">
        <f t="shared" si="26"/>
        <v>2286.6799999999998</v>
      </c>
      <c r="M339" s="4">
        <f t="shared" si="27"/>
        <v>1.27</v>
      </c>
      <c r="N339" s="1">
        <f t="shared" si="28"/>
        <v>45595</v>
      </c>
      <c r="O339" s="3">
        <f>(Table13[[#This Row],[Units_Sold]]*Table13[[#This Row],[Unit_Price_Cleaned]]*(1-Table13[[#This Row],[Discount Cleaned]]))</f>
        <v>-3704.4215999999997</v>
      </c>
      <c r="P339" t="str">
        <f t="shared" si="29"/>
        <v>Loss</v>
      </c>
      <c r="Q339" t="str" cm="1">
        <f t="array" ref="Q339">IF(K339="",INDEX($K$2:$K$2501,MATCH(MAX(COUNTIF($K$2:$K$2501,$K$2:$K$2501)),COUNTIF($K$2:$K$2501,$K$2:$K$2501),0)),K339)</f>
        <v>B2C</v>
      </c>
    </row>
    <row r="340" spans="1:17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 s="3">
        <f t="shared" si="25"/>
        <v>0</v>
      </c>
      <c r="I340" s="1">
        <v>45617</v>
      </c>
      <c r="J340" t="s">
        <v>18</v>
      </c>
      <c r="K340" t="s">
        <v>23</v>
      </c>
      <c r="L340" s="2">
        <f t="shared" si="26"/>
        <v>2776.2202000000002</v>
      </c>
      <c r="M340" s="4">
        <f t="shared" si="27"/>
        <v>0.6</v>
      </c>
      <c r="N340" s="1">
        <f t="shared" si="28"/>
        <v>45617</v>
      </c>
      <c r="O340" s="3">
        <f>(Table13[[#This Row],[Units_Sold]]*Table13[[#This Row],[Unit_Price_Cleaned]]*(1-Table13[[#This Row],[Discount Cleaned]]))</f>
        <v>0</v>
      </c>
      <c r="P340" t="str">
        <f t="shared" si="29"/>
        <v>Loss</v>
      </c>
      <c r="Q340" t="str" cm="1">
        <f t="array" ref="Q340">IF(K340="",INDEX($K$2:$K$2501,MATCH(MAX(COUNTIF($K$2:$K$2501,$K$2:$K$2501)),COUNTIF($K$2:$K$2501,$K$2:$K$2501),0)),K340)</f>
        <v>B2B</v>
      </c>
    </row>
    <row r="341" spans="1:17" x14ac:dyDescent="0.3">
      <c r="A341">
        <v>1339</v>
      </c>
      <c r="B341" t="s">
        <v>391</v>
      </c>
      <c r="C341" t="s">
        <v>38</v>
      </c>
      <c r="D341" t="s">
        <v>59</v>
      </c>
      <c r="E341">
        <v>2</v>
      </c>
      <c r="F341">
        <v>4507.5</v>
      </c>
      <c r="H341" s="3">
        <f t="shared" si="25"/>
        <v>9015</v>
      </c>
      <c r="I341" s="1">
        <v>45839</v>
      </c>
      <c r="J341" t="s">
        <v>40</v>
      </c>
      <c r="L341" s="2">
        <f t="shared" si="26"/>
        <v>4507.5</v>
      </c>
      <c r="M341" s="4">
        <f t="shared" si="27"/>
        <v>0.6</v>
      </c>
      <c r="N341" s="1">
        <f t="shared" si="28"/>
        <v>45839</v>
      </c>
      <c r="O341" s="3">
        <f>(Table13[[#This Row],[Units_Sold]]*Table13[[#This Row],[Unit_Price_Cleaned]]*(1-Table13[[#This Row],[Discount Cleaned]]))</f>
        <v>3606</v>
      </c>
      <c r="P341" t="str">
        <f t="shared" si="29"/>
        <v>Profit</v>
      </c>
      <c r="Q341" t="str" cm="1">
        <f t="array" ref="Q341">IF(K341="",INDEX($K$2:$K$2501,MATCH(MAX(COUNTIF($K$2:$K$2501,$K$2:$K$2501)),COUNTIF($K$2:$K$2501,$K$2:$K$2501),0)),K341)</f>
        <v>B2B</v>
      </c>
    </row>
    <row r="342" spans="1:17" x14ac:dyDescent="0.3">
      <c r="A342">
        <v>1340</v>
      </c>
      <c r="B342" t="s">
        <v>392</v>
      </c>
      <c r="C342" t="s">
        <v>13</v>
      </c>
      <c r="D342" t="s">
        <v>49</v>
      </c>
      <c r="E342">
        <v>2</v>
      </c>
      <c r="G342">
        <v>0.06</v>
      </c>
      <c r="H342" s="3">
        <f t="shared" si="25"/>
        <v>5570.1755932203387</v>
      </c>
      <c r="I342" s="1">
        <v>45826</v>
      </c>
      <c r="J342" t="s">
        <v>22</v>
      </c>
      <c r="L342" s="2">
        <f t="shared" si="26"/>
        <v>2785.0877966101693</v>
      </c>
      <c r="M342" s="4">
        <f t="shared" si="27"/>
        <v>0.06</v>
      </c>
      <c r="N342" s="1">
        <f t="shared" si="28"/>
        <v>45826</v>
      </c>
      <c r="O342" s="3">
        <f>(Table13[[#This Row],[Units_Sold]]*Table13[[#This Row],[Unit_Price_Cleaned]]*(1-Table13[[#This Row],[Discount Cleaned]]))</f>
        <v>5235.9650576271179</v>
      </c>
      <c r="P342" t="str">
        <f t="shared" si="29"/>
        <v>Profit</v>
      </c>
      <c r="Q342" t="str" cm="1">
        <f t="array" ref="Q342">IF(K342="",INDEX($K$2:$K$2501,MATCH(MAX(COUNTIF($K$2:$K$2501,$K$2:$K$2501)),COUNTIF($K$2:$K$2501,$K$2:$K$2501),0)),K342)</f>
        <v>B2B</v>
      </c>
    </row>
    <row r="343" spans="1:17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 s="3">
        <f t="shared" si="25"/>
        <v>-3074.06</v>
      </c>
      <c r="I343" s="1">
        <v>45771</v>
      </c>
      <c r="J343" t="s">
        <v>18</v>
      </c>
      <c r="L343" s="2">
        <f t="shared" si="26"/>
        <v>3074.06</v>
      </c>
      <c r="M343" s="4">
        <f t="shared" si="27"/>
        <v>1.24</v>
      </c>
      <c r="N343" s="1">
        <f t="shared" si="28"/>
        <v>45771</v>
      </c>
      <c r="O343" s="3">
        <f>(Table13[[#This Row],[Units_Sold]]*Table13[[#This Row],[Unit_Price_Cleaned]]*(1-Table13[[#This Row],[Discount Cleaned]]))</f>
        <v>737.77440000000001</v>
      </c>
      <c r="P343" t="str">
        <f t="shared" si="29"/>
        <v>Profit</v>
      </c>
      <c r="Q343" t="str" cm="1">
        <f t="array" ref="Q343">IF(K343="",INDEX($K$2:$K$2501,MATCH(MAX(COUNTIF($K$2:$K$2501,$K$2:$K$2501)),COUNTIF($K$2:$K$2501,$K$2:$K$2501),0)),K343)</f>
        <v>B2B</v>
      </c>
    </row>
    <row r="344" spans="1:17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 s="3">
        <f t="shared" si="25"/>
        <v>-4707.2</v>
      </c>
      <c r="J344" t="s">
        <v>46</v>
      </c>
      <c r="K344" t="s">
        <v>23</v>
      </c>
      <c r="L344" s="2">
        <f t="shared" si="26"/>
        <v>4707.2</v>
      </c>
      <c r="M344" s="4">
        <f t="shared" si="27"/>
        <v>0.6</v>
      </c>
      <c r="N344" s="1">
        <f t="shared" si="28"/>
        <v>45782</v>
      </c>
      <c r="O344" s="3">
        <f>(Table13[[#This Row],[Units_Sold]]*Table13[[#This Row],[Unit_Price_Cleaned]]*(1-Table13[[#This Row],[Discount Cleaned]]))</f>
        <v>-1882.88</v>
      </c>
      <c r="P344" t="str">
        <f t="shared" si="29"/>
        <v>Loss</v>
      </c>
      <c r="Q344" t="str" cm="1">
        <f t="array" ref="Q344">IF(K344="",INDEX($K$2:$K$2501,MATCH(MAX(COUNTIF($K$2:$K$2501,$K$2:$K$2501)),COUNTIF($K$2:$K$2501,$K$2:$K$2501),0)),K344)</f>
        <v>B2B</v>
      </c>
    </row>
    <row r="345" spans="1:17" x14ac:dyDescent="0.3">
      <c r="A345">
        <v>1343</v>
      </c>
      <c r="B345" t="s">
        <v>395</v>
      </c>
      <c r="C345" t="s">
        <v>13</v>
      </c>
      <c r="D345" t="s">
        <v>102</v>
      </c>
      <c r="E345">
        <v>2</v>
      </c>
      <c r="F345">
        <v>4012.48</v>
      </c>
      <c r="H345" s="3">
        <f t="shared" si="25"/>
        <v>8024.96</v>
      </c>
      <c r="I345" s="1">
        <v>45859</v>
      </c>
      <c r="J345" t="s">
        <v>22</v>
      </c>
      <c r="K345" t="s">
        <v>16</v>
      </c>
      <c r="L345" s="2">
        <f t="shared" si="26"/>
        <v>4012.48</v>
      </c>
      <c r="M345" s="4">
        <f t="shared" si="27"/>
        <v>0.6</v>
      </c>
      <c r="N345" s="1">
        <f t="shared" si="28"/>
        <v>45859</v>
      </c>
      <c r="O345" s="3">
        <f>(Table13[[#This Row],[Units_Sold]]*Table13[[#This Row],[Unit_Price_Cleaned]]*(1-Table13[[#This Row],[Discount Cleaned]]))</f>
        <v>3209.9840000000004</v>
      </c>
      <c r="P345" t="str">
        <f t="shared" si="29"/>
        <v>Profit</v>
      </c>
      <c r="Q345" t="str" cm="1">
        <f t="array" ref="Q345">IF(K345="",INDEX($K$2:$K$2501,MATCH(MAX(COUNTIF($K$2:$K$2501,$K$2:$K$2501)),COUNTIF($K$2:$K$2501,$K$2:$K$2501),0)),K345)</f>
        <v>B2C</v>
      </c>
    </row>
    <row r="346" spans="1:17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 s="3">
        <f t="shared" si="25"/>
        <v>13547.64</v>
      </c>
      <c r="J346" t="s">
        <v>22</v>
      </c>
      <c r="K346" t="s">
        <v>16</v>
      </c>
      <c r="L346" s="2">
        <f t="shared" si="26"/>
        <v>3386.91</v>
      </c>
      <c r="M346" s="4">
        <f t="shared" si="27"/>
        <v>0.6</v>
      </c>
      <c r="N346" s="1">
        <f t="shared" si="28"/>
        <v>45782</v>
      </c>
      <c r="O346" s="3">
        <f>(Table13[[#This Row],[Units_Sold]]*Table13[[#This Row],[Unit_Price_Cleaned]]*(1-Table13[[#This Row],[Discount Cleaned]]))</f>
        <v>5419.0560000000005</v>
      </c>
      <c r="P346" t="str">
        <f t="shared" si="29"/>
        <v>Profit</v>
      </c>
      <c r="Q346" t="str" cm="1">
        <f t="array" ref="Q346">IF(K346="",INDEX($K$2:$K$2501,MATCH(MAX(COUNTIF($K$2:$K$2501,$K$2:$K$2501)),COUNTIF($K$2:$K$2501,$K$2:$K$2501),0)),K346)</f>
        <v>B2C</v>
      </c>
    </row>
    <row r="347" spans="1:17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 s="3">
        <f t="shared" si="25"/>
        <v>5431.091698113205</v>
      </c>
      <c r="J347" t="s">
        <v>40</v>
      </c>
      <c r="K347" t="s">
        <v>23</v>
      </c>
      <c r="L347" s="2">
        <f t="shared" si="26"/>
        <v>2715.5458490566025</v>
      </c>
      <c r="M347" s="4">
        <f t="shared" si="27"/>
        <v>0.18</v>
      </c>
      <c r="N347" s="1">
        <f t="shared" si="28"/>
        <v>45782</v>
      </c>
      <c r="O347" s="3">
        <f>(Table13[[#This Row],[Units_Sold]]*Table13[[#This Row],[Unit_Price_Cleaned]]*(1-Table13[[#This Row],[Discount Cleaned]]))</f>
        <v>4453.4951924528286</v>
      </c>
      <c r="P347" t="str">
        <f t="shared" si="29"/>
        <v>Profit</v>
      </c>
      <c r="Q347" t="str" cm="1">
        <f t="array" ref="Q347">IF(K347="",INDEX($K$2:$K$2501,MATCH(MAX(COUNTIF($K$2:$K$2501,$K$2:$K$2501)),COUNTIF($K$2:$K$2501,$K$2:$K$2501),0)),K347)</f>
        <v>B2B</v>
      </c>
    </row>
    <row r="348" spans="1:17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 s="3">
        <f t="shared" si="25"/>
        <v>-3245.3</v>
      </c>
      <c r="J348" t="s">
        <v>22</v>
      </c>
      <c r="K348" t="s">
        <v>16</v>
      </c>
      <c r="L348" s="2">
        <f t="shared" si="26"/>
        <v>1622.65</v>
      </c>
      <c r="M348" s="4">
        <f t="shared" si="27"/>
        <v>0.6</v>
      </c>
      <c r="N348" s="1">
        <f t="shared" si="28"/>
        <v>45782</v>
      </c>
      <c r="O348" s="3">
        <f>(Table13[[#This Row],[Units_Sold]]*Table13[[#This Row],[Unit_Price_Cleaned]]*(1-Table13[[#This Row],[Discount Cleaned]]))</f>
        <v>-1298.1200000000001</v>
      </c>
      <c r="P348" t="str">
        <f t="shared" si="29"/>
        <v>Loss</v>
      </c>
      <c r="Q348" t="str" cm="1">
        <f t="array" ref="Q348">IF(K348="",INDEX($K$2:$K$2501,MATCH(MAX(COUNTIF($K$2:$K$2501,$K$2:$K$2501)),COUNTIF($K$2:$K$2501,$K$2:$K$2501),0)),K348)</f>
        <v>B2C</v>
      </c>
    </row>
    <row r="349" spans="1:17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 s="3">
        <f t="shared" si="25"/>
        <v>13370.699999999999</v>
      </c>
      <c r="I349" s="1">
        <v>45694</v>
      </c>
      <c r="J349" t="s">
        <v>40</v>
      </c>
      <c r="K349" t="s">
        <v>16</v>
      </c>
      <c r="L349" s="2">
        <f t="shared" si="26"/>
        <v>2228.4499999999998</v>
      </c>
      <c r="M349" s="4">
        <f t="shared" si="27"/>
        <v>1.2</v>
      </c>
      <c r="N349" s="1">
        <f t="shared" si="28"/>
        <v>45694</v>
      </c>
      <c r="O349" s="3">
        <f>(Table13[[#This Row],[Units_Sold]]*Table13[[#This Row],[Unit_Price_Cleaned]]*(1-Table13[[#This Row],[Discount Cleaned]]))</f>
        <v>-2674.139999999999</v>
      </c>
      <c r="P349" t="str">
        <f t="shared" si="29"/>
        <v>Loss</v>
      </c>
      <c r="Q349" t="str" cm="1">
        <f t="array" ref="Q349">IF(K349="",INDEX($K$2:$K$2501,MATCH(MAX(COUNTIF($K$2:$K$2501,$K$2:$K$2501)),COUNTIF($K$2:$K$2501,$K$2:$K$2501),0)),K349)</f>
        <v>B2C</v>
      </c>
    </row>
    <row r="350" spans="1:17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 s="3">
        <f t="shared" si="25"/>
        <v>2438.4</v>
      </c>
      <c r="I350" s="1">
        <v>45604</v>
      </c>
      <c r="J350" t="s">
        <v>56</v>
      </c>
      <c r="K350" t="s">
        <v>23</v>
      </c>
      <c r="L350" s="2">
        <f t="shared" si="26"/>
        <v>1219.2</v>
      </c>
      <c r="M350" s="4">
        <f t="shared" si="27"/>
        <v>1.17</v>
      </c>
      <c r="N350" s="1">
        <f t="shared" si="28"/>
        <v>45604</v>
      </c>
      <c r="O350" s="3">
        <f>(Table13[[#This Row],[Units_Sold]]*Table13[[#This Row],[Unit_Price_Cleaned]]*(1-Table13[[#This Row],[Discount Cleaned]]))</f>
        <v>-414.52799999999985</v>
      </c>
      <c r="P350" t="str">
        <f t="shared" si="29"/>
        <v>Loss</v>
      </c>
      <c r="Q350" t="str" cm="1">
        <f t="array" ref="Q350">IF(K350="",INDEX($K$2:$K$2501,MATCH(MAX(COUNTIF($K$2:$K$2501,$K$2:$K$2501)),COUNTIF($K$2:$K$2501,$K$2:$K$2501),0)),K350)</f>
        <v>B2B</v>
      </c>
    </row>
    <row r="351" spans="1:17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 s="3">
        <f t="shared" si="25"/>
        <v>-5400.2526086956505</v>
      </c>
      <c r="I351" s="1">
        <v>45705</v>
      </c>
      <c r="J351" t="s">
        <v>46</v>
      </c>
      <c r="K351" t="s">
        <v>23</v>
      </c>
      <c r="L351" s="2">
        <f t="shared" si="26"/>
        <v>2700.1263043478252</v>
      </c>
      <c r="M351" s="4">
        <f t="shared" si="27"/>
        <v>0.82</v>
      </c>
      <c r="N351" s="1">
        <f t="shared" si="28"/>
        <v>45705</v>
      </c>
      <c r="O351" s="3">
        <f>(Table13[[#This Row],[Units_Sold]]*Table13[[#This Row],[Unit_Price_Cleaned]]*(1-Table13[[#This Row],[Discount Cleaned]]))</f>
        <v>-972.04546956521733</v>
      </c>
      <c r="P351" t="str">
        <f t="shared" si="29"/>
        <v>Loss</v>
      </c>
      <c r="Q351" t="str" cm="1">
        <f t="array" ref="Q351">IF(K351="",INDEX($K$2:$K$2501,MATCH(MAX(COUNTIF($K$2:$K$2501,$K$2:$K$2501)),COUNTIF($K$2:$K$2501,$K$2:$K$2501),0)),K351)</f>
        <v>B2B</v>
      </c>
    </row>
    <row r="352" spans="1:17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 s="3">
        <f t="shared" si="25"/>
        <v>4639.68</v>
      </c>
      <c r="J352" t="s">
        <v>40</v>
      </c>
      <c r="K352" t="s">
        <v>23</v>
      </c>
      <c r="L352" s="2">
        <f t="shared" si="26"/>
        <v>2319.84</v>
      </c>
      <c r="M352" s="4">
        <f t="shared" si="27"/>
        <v>0.6</v>
      </c>
      <c r="N352" s="1">
        <f t="shared" si="28"/>
        <v>45782</v>
      </c>
      <c r="O352" s="3">
        <f>(Table13[[#This Row],[Units_Sold]]*Table13[[#This Row],[Unit_Price_Cleaned]]*(1-Table13[[#This Row],[Discount Cleaned]]))</f>
        <v>1855.8720000000003</v>
      </c>
      <c r="P352" t="str">
        <f t="shared" si="29"/>
        <v>Profit</v>
      </c>
      <c r="Q352" t="str" cm="1">
        <f t="array" ref="Q352">IF(K352="",INDEX($K$2:$K$2501,MATCH(MAX(COUNTIF($K$2:$K$2501,$K$2:$K$2501)),COUNTIF($K$2:$K$2501,$K$2:$K$2501),0)),K352)</f>
        <v>B2B</v>
      </c>
    </row>
    <row r="353" spans="1:17" x14ac:dyDescent="0.3">
      <c r="A353">
        <v>1351</v>
      </c>
      <c r="B353" t="s">
        <v>403</v>
      </c>
      <c r="C353" t="s">
        <v>25</v>
      </c>
      <c r="D353" t="s">
        <v>66</v>
      </c>
      <c r="E353">
        <v>2</v>
      </c>
      <c r="H353" s="3">
        <f t="shared" si="25"/>
        <v>5145.5528000000013</v>
      </c>
      <c r="I353" s="1">
        <v>45546</v>
      </c>
      <c r="J353" t="s">
        <v>56</v>
      </c>
      <c r="K353" t="s">
        <v>16</v>
      </c>
      <c r="L353" s="2">
        <f t="shared" si="26"/>
        <v>2572.7764000000006</v>
      </c>
      <c r="M353" s="4">
        <f t="shared" si="27"/>
        <v>0.6</v>
      </c>
      <c r="N353" s="1">
        <f t="shared" si="28"/>
        <v>45546</v>
      </c>
      <c r="O353" s="3">
        <f>(Table13[[#This Row],[Units_Sold]]*Table13[[#This Row],[Unit_Price_Cleaned]]*(1-Table13[[#This Row],[Discount Cleaned]]))</f>
        <v>2058.2211200000006</v>
      </c>
      <c r="P353" t="str">
        <f t="shared" si="29"/>
        <v>Profit</v>
      </c>
      <c r="Q353" t="str" cm="1">
        <f t="array" ref="Q353">IF(K353="",INDEX($K$2:$K$2501,MATCH(MAX(COUNTIF($K$2:$K$2501,$K$2:$K$2501)),COUNTIF($K$2:$K$2501,$K$2:$K$2501),0)),K353)</f>
        <v>B2C</v>
      </c>
    </row>
    <row r="354" spans="1:17" x14ac:dyDescent="0.3">
      <c r="A354">
        <v>1034</v>
      </c>
      <c r="B354" t="s">
        <v>404</v>
      </c>
      <c r="C354" t="s">
        <v>33</v>
      </c>
      <c r="D354" t="s">
        <v>82</v>
      </c>
      <c r="E354">
        <v>2</v>
      </c>
      <c r="F354">
        <v>3991.4</v>
      </c>
      <c r="H354" s="3">
        <f t="shared" si="25"/>
        <v>7982.8</v>
      </c>
      <c r="I354" s="1">
        <v>45693</v>
      </c>
      <c r="J354" t="s">
        <v>46</v>
      </c>
      <c r="L354" s="2">
        <f t="shared" si="26"/>
        <v>3991.4</v>
      </c>
      <c r="M354" s="4">
        <f t="shared" si="27"/>
        <v>0.6</v>
      </c>
      <c r="N354" s="1">
        <f t="shared" si="28"/>
        <v>45693</v>
      </c>
      <c r="O354" s="3">
        <f>(Table13[[#This Row],[Units_Sold]]*Table13[[#This Row],[Unit_Price_Cleaned]]*(1-Table13[[#This Row],[Discount Cleaned]]))</f>
        <v>3193.1200000000003</v>
      </c>
      <c r="P354" t="str">
        <f t="shared" si="29"/>
        <v>Profit</v>
      </c>
      <c r="Q354" t="str" cm="1">
        <f t="array" ref="Q354">IF(K354="",INDEX($K$2:$K$2501,MATCH(MAX(COUNTIF($K$2:$K$2501,$K$2:$K$2501)),COUNTIF($K$2:$K$2501,$K$2:$K$2501),0)),K354)</f>
        <v>B2B</v>
      </c>
    </row>
    <row r="355" spans="1:17" x14ac:dyDescent="0.3">
      <c r="A355">
        <v>1042</v>
      </c>
      <c r="B355" t="s">
        <v>405</v>
      </c>
      <c r="C355" t="s">
        <v>13</v>
      </c>
      <c r="D355" t="s">
        <v>49</v>
      </c>
      <c r="E355">
        <v>2</v>
      </c>
      <c r="G355">
        <v>0.84</v>
      </c>
      <c r="H355" s="3">
        <f t="shared" si="25"/>
        <v>5570.1755932203387</v>
      </c>
      <c r="I355" s="1">
        <v>45816</v>
      </c>
      <c r="J355" t="s">
        <v>40</v>
      </c>
      <c r="L355" s="2">
        <f t="shared" si="26"/>
        <v>2785.0877966101693</v>
      </c>
      <c r="M355" s="4">
        <f t="shared" si="27"/>
        <v>0.84</v>
      </c>
      <c r="N355" s="1">
        <f t="shared" si="28"/>
        <v>45816</v>
      </c>
      <c r="O355" s="3">
        <f>(Table13[[#This Row],[Units_Sold]]*Table13[[#This Row],[Unit_Price_Cleaned]]*(1-Table13[[#This Row],[Discount Cleaned]]))</f>
        <v>891.22809491525436</v>
      </c>
      <c r="P355" t="str">
        <f t="shared" si="29"/>
        <v>Profit</v>
      </c>
      <c r="Q355" t="str" cm="1">
        <f t="array" ref="Q355">IF(K355="",INDEX($K$2:$K$2501,MATCH(MAX(COUNTIF($K$2:$K$2501,$K$2:$K$2501)),COUNTIF($K$2:$K$2501,$K$2:$K$2501),0)),K355)</f>
        <v>B2B</v>
      </c>
    </row>
    <row r="356" spans="1:17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 s="3">
        <f t="shared" si="25"/>
        <v>2785.0877966101693</v>
      </c>
      <c r="I356" s="1">
        <v>45789</v>
      </c>
      <c r="J356" t="s">
        <v>18</v>
      </c>
      <c r="L356" s="2">
        <f t="shared" si="26"/>
        <v>2785.0877966101693</v>
      </c>
      <c r="M356" s="4">
        <f t="shared" si="27"/>
        <v>0.6</v>
      </c>
      <c r="N356" s="1">
        <f t="shared" si="28"/>
        <v>45789</v>
      </c>
      <c r="O356" s="3">
        <f>(Table13[[#This Row],[Units_Sold]]*Table13[[#This Row],[Unit_Price_Cleaned]]*(1-Table13[[#This Row],[Discount Cleaned]]))</f>
        <v>1114.0351186440678</v>
      </c>
      <c r="P356" t="str">
        <f t="shared" si="29"/>
        <v>Profit</v>
      </c>
      <c r="Q356" t="str" cm="1">
        <f t="array" ref="Q356">IF(K356="",INDEX($K$2:$K$2501,MATCH(MAX(COUNTIF($K$2:$K$2501,$K$2:$K$2501)),COUNTIF($K$2:$K$2501,$K$2:$K$2501),0)),K356)</f>
        <v>B2B</v>
      </c>
    </row>
    <row r="357" spans="1:17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 s="3">
        <f t="shared" si="25"/>
        <v>1054.69</v>
      </c>
      <c r="I357" s="1">
        <v>45585</v>
      </c>
      <c r="J357" t="s">
        <v>22</v>
      </c>
      <c r="K357" t="s">
        <v>23</v>
      </c>
      <c r="L357" s="2">
        <f t="shared" si="26"/>
        <v>1054.69</v>
      </c>
      <c r="M357" s="4">
        <f t="shared" si="27"/>
        <v>0.18</v>
      </c>
      <c r="N357" s="1">
        <f t="shared" si="28"/>
        <v>45585</v>
      </c>
      <c r="O357" s="3">
        <f>(Table13[[#This Row],[Units_Sold]]*Table13[[#This Row],[Unit_Price_Cleaned]]*(1-Table13[[#This Row],[Discount Cleaned]]))</f>
        <v>864.84580000000005</v>
      </c>
      <c r="P357" t="str">
        <f t="shared" si="29"/>
        <v>Profit</v>
      </c>
      <c r="Q357" t="str" cm="1">
        <f t="array" ref="Q357">IF(K357="",INDEX($K$2:$K$2501,MATCH(MAX(COUNTIF($K$2:$K$2501,$K$2:$K$2501)),COUNTIF($K$2:$K$2501,$K$2:$K$2501),0)),K357)</f>
        <v>B2B</v>
      </c>
    </row>
    <row r="358" spans="1:17" x14ac:dyDescent="0.3">
      <c r="A358">
        <v>1356</v>
      </c>
      <c r="B358" t="s">
        <v>408</v>
      </c>
      <c r="C358" t="s">
        <v>20</v>
      </c>
      <c r="D358" t="s">
        <v>88</v>
      </c>
      <c r="E358">
        <v>2</v>
      </c>
      <c r="F358">
        <v>2418.5500000000002</v>
      </c>
      <c r="G358">
        <v>0.88</v>
      </c>
      <c r="H358" s="3">
        <f t="shared" si="25"/>
        <v>4837.1000000000004</v>
      </c>
      <c r="I358" s="1">
        <v>45758</v>
      </c>
      <c r="J358" t="s">
        <v>18</v>
      </c>
      <c r="K358" t="s">
        <v>16</v>
      </c>
      <c r="L358" s="2">
        <f t="shared" si="26"/>
        <v>2418.5500000000002</v>
      </c>
      <c r="M358" s="4">
        <f t="shared" si="27"/>
        <v>0.88</v>
      </c>
      <c r="N358" s="1">
        <f t="shared" si="28"/>
        <v>45758</v>
      </c>
      <c r="O358" s="3">
        <f>(Table13[[#This Row],[Units_Sold]]*Table13[[#This Row],[Unit_Price_Cleaned]]*(1-Table13[[#This Row],[Discount Cleaned]]))</f>
        <v>580.452</v>
      </c>
      <c r="P358" t="str">
        <f t="shared" si="29"/>
        <v>Profit</v>
      </c>
      <c r="Q358" t="str" cm="1">
        <f t="array" ref="Q358">IF(K358="",INDEX($K$2:$K$2501,MATCH(MAX(COUNTIF($K$2:$K$2501,$K$2:$K$2501)),COUNTIF($K$2:$K$2501,$K$2:$K$2501),0)),K358)</f>
        <v>B2C</v>
      </c>
    </row>
    <row r="359" spans="1:17" x14ac:dyDescent="0.3">
      <c r="A359">
        <v>1357</v>
      </c>
      <c r="B359" t="s">
        <v>409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 s="3">
        <f t="shared" si="25"/>
        <v>2257.14</v>
      </c>
      <c r="I359" s="1">
        <v>45678</v>
      </c>
      <c r="J359" t="s">
        <v>56</v>
      </c>
      <c r="L359" s="2">
        <f t="shared" si="26"/>
        <v>1128.57</v>
      </c>
      <c r="M359" s="4">
        <f t="shared" si="27"/>
        <v>0.39</v>
      </c>
      <c r="N359" s="1">
        <f t="shared" si="28"/>
        <v>45678</v>
      </c>
      <c r="O359" s="3">
        <f>(Table13[[#This Row],[Units_Sold]]*Table13[[#This Row],[Unit_Price_Cleaned]]*(1-Table13[[#This Row],[Discount Cleaned]]))</f>
        <v>1376.8553999999999</v>
      </c>
      <c r="P359" t="str">
        <f t="shared" si="29"/>
        <v>Profit</v>
      </c>
      <c r="Q359" t="str" cm="1">
        <f t="array" ref="Q359">IF(K359="",INDEX($K$2:$K$2501,MATCH(MAX(COUNTIF($K$2:$K$2501,$K$2:$K$2501)),COUNTIF($K$2:$K$2501,$K$2:$K$2501),0)),K359)</f>
        <v>B2B</v>
      </c>
    </row>
    <row r="360" spans="1:17" x14ac:dyDescent="0.3">
      <c r="A360">
        <v>1358</v>
      </c>
      <c r="B360" t="s">
        <v>410</v>
      </c>
      <c r="C360" t="s">
        <v>29</v>
      </c>
      <c r="D360" t="s">
        <v>42</v>
      </c>
      <c r="E360">
        <v>2</v>
      </c>
      <c r="G360">
        <v>1.23</v>
      </c>
      <c r="H360" s="3">
        <f t="shared" si="25"/>
        <v>5119.3334615384629</v>
      </c>
      <c r="I360" s="1">
        <v>45704</v>
      </c>
      <c r="J360" t="s">
        <v>40</v>
      </c>
      <c r="K360" t="s">
        <v>16</v>
      </c>
      <c r="L360" s="2">
        <f t="shared" si="26"/>
        <v>2559.6667307692314</v>
      </c>
      <c r="M360" s="4">
        <f t="shared" si="27"/>
        <v>1.23</v>
      </c>
      <c r="N360" s="1">
        <f t="shared" si="28"/>
        <v>45704</v>
      </c>
      <c r="O360" s="3">
        <f>(Table13[[#This Row],[Units_Sold]]*Table13[[#This Row],[Unit_Price_Cleaned]]*(1-Table13[[#This Row],[Discount Cleaned]]))</f>
        <v>-1177.4466961538465</v>
      </c>
      <c r="P360" t="str">
        <f t="shared" si="29"/>
        <v>Loss</v>
      </c>
      <c r="Q360" t="str" cm="1">
        <f t="array" ref="Q360">IF(K360="",INDEX($K$2:$K$2501,MATCH(MAX(COUNTIF($K$2:$K$2501,$K$2:$K$2501)),COUNTIF($K$2:$K$2501,$K$2:$K$2501),0)),K360)</f>
        <v>B2C</v>
      </c>
    </row>
    <row r="361" spans="1:17" x14ac:dyDescent="0.3">
      <c r="A361">
        <v>1359</v>
      </c>
      <c r="B361" t="s">
        <v>411</v>
      </c>
      <c r="C361" t="s">
        <v>33</v>
      </c>
      <c r="D361" t="s">
        <v>34</v>
      </c>
      <c r="E361">
        <v>2</v>
      </c>
      <c r="F361">
        <v>4625.84</v>
      </c>
      <c r="H361" s="3">
        <f t="shared" si="25"/>
        <v>9251.68</v>
      </c>
      <c r="J361" t="s">
        <v>22</v>
      </c>
      <c r="L361" s="2">
        <f t="shared" si="26"/>
        <v>4625.84</v>
      </c>
      <c r="M361" s="4">
        <f t="shared" si="27"/>
        <v>0.6</v>
      </c>
      <c r="N361" s="1">
        <f t="shared" si="28"/>
        <v>45782</v>
      </c>
      <c r="O361" s="3">
        <f>(Table13[[#This Row],[Units_Sold]]*Table13[[#This Row],[Unit_Price_Cleaned]]*(1-Table13[[#This Row],[Discount Cleaned]]))</f>
        <v>3700.6720000000005</v>
      </c>
      <c r="P361" t="str">
        <f t="shared" si="29"/>
        <v>Profit</v>
      </c>
      <c r="Q361" t="str" cm="1">
        <f t="array" ref="Q361">IF(K361="",INDEX($K$2:$K$2501,MATCH(MAX(COUNTIF($K$2:$K$2501,$K$2:$K$2501)),COUNTIF($K$2:$K$2501,$K$2:$K$2501),0)),K361)</f>
        <v>B2B</v>
      </c>
    </row>
    <row r="362" spans="1:17" x14ac:dyDescent="0.3">
      <c r="A362">
        <v>1360</v>
      </c>
      <c r="B362" t="s">
        <v>412</v>
      </c>
      <c r="C362" t="s">
        <v>13</v>
      </c>
      <c r="D362" t="s">
        <v>36</v>
      </c>
      <c r="E362">
        <v>2</v>
      </c>
      <c r="G362">
        <v>1.1299999999999999</v>
      </c>
      <c r="H362" s="3">
        <f t="shared" si="25"/>
        <v>5765.0093103448271</v>
      </c>
      <c r="I362" s="1">
        <v>45692</v>
      </c>
      <c r="J362" t="s">
        <v>15</v>
      </c>
      <c r="L362" s="2">
        <f t="shared" si="26"/>
        <v>2882.5046551724135</v>
      </c>
      <c r="M362" s="4">
        <f t="shared" si="27"/>
        <v>1.1299999999999999</v>
      </c>
      <c r="N362" s="1">
        <f t="shared" si="28"/>
        <v>45692</v>
      </c>
      <c r="O362" s="3">
        <f>(Table13[[#This Row],[Units_Sold]]*Table13[[#This Row],[Unit_Price_Cleaned]]*(1-Table13[[#This Row],[Discount Cleaned]]))</f>
        <v>-749.4512103448269</v>
      </c>
      <c r="P362" t="str">
        <f t="shared" si="29"/>
        <v>Loss</v>
      </c>
      <c r="Q362" t="str" cm="1">
        <f t="array" ref="Q362">IF(K362="",INDEX($K$2:$K$2501,MATCH(MAX(COUNTIF($K$2:$K$2501,$K$2:$K$2501)),COUNTIF($K$2:$K$2501,$K$2:$K$2501),0)),K362)</f>
        <v>B2B</v>
      </c>
    </row>
    <row r="363" spans="1:17" x14ac:dyDescent="0.3">
      <c r="A363">
        <v>1361</v>
      </c>
      <c r="B363" t="s">
        <v>413</v>
      </c>
      <c r="C363" t="s">
        <v>33</v>
      </c>
      <c r="D363" t="s">
        <v>72</v>
      </c>
      <c r="E363">
        <v>2</v>
      </c>
      <c r="H363" s="3">
        <f t="shared" si="25"/>
        <v>5431.091698113205</v>
      </c>
      <c r="I363" s="1">
        <v>45660</v>
      </c>
      <c r="J363" t="s">
        <v>22</v>
      </c>
      <c r="K363" t="s">
        <v>16</v>
      </c>
      <c r="L363" s="2">
        <f t="shared" si="26"/>
        <v>2715.5458490566025</v>
      </c>
      <c r="M363" s="4">
        <f t="shared" si="27"/>
        <v>0.6</v>
      </c>
      <c r="N363" s="1">
        <f t="shared" si="28"/>
        <v>45660</v>
      </c>
      <c r="O363" s="3">
        <f>(Table13[[#This Row],[Units_Sold]]*Table13[[#This Row],[Unit_Price_Cleaned]]*(1-Table13[[#This Row],[Discount Cleaned]]))</f>
        <v>2172.436679245282</v>
      </c>
      <c r="P363" t="str">
        <f t="shared" si="29"/>
        <v>Profit</v>
      </c>
      <c r="Q363" t="str" cm="1">
        <f t="array" ref="Q363">IF(K363="",INDEX($K$2:$K$2501,MATCH(MAX(COUNTIF($K$2:$K$2501,$K$2:$K$2501)),COUNTIF($K$2:$K$2501,$K$2:$K$2501),0)),K363)</f>
        <v>B2C</v>
      </c>
    </row>
    <row r="364" spans="1:17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 s="3">
        <f t="shared" si="25"/>
        <v>-4953.0200000000004</v>
      </c>
      <c r="I364" s="1">
        <v>45633</v>
      </c>
      <c r="J364" t="s">
        <v>18</v>
      </c>
      <c r="K364" t="s">
        <v>16</v>
      </c>
      <c r="L364" s="2">
        <f t="shared" si="26"/>
        <v>4953.0200000000004</v>
      </c>
      <c r="M364" s="4">
        <f t="shared" si="27"/>
        <v>0.6</v>
      </c>
      <c r="N364" s="1">
        <f t="shared" si="28"/>
        <v>45633</v>
      </c>
      <c r="O364" s="3">
        <f>(Table13[[#This Row],[Units_Sold]]*Table13[[#This Row],[Unit_Price_Cleaned]]*(1-Table13[[#This Row],[Discount Cleaned]]))</f>
        <v>-1981.2080000000003</v>
      </c>
      <c r="P364" t="str">
        <f t="shared" si="29"/>
        <v>Loss</v>
      </c>
      <c r="Q364" t="str" cm="1">
        <f t="array" ref="Q364">IF(K364="",INDEX($K$2:$K$2501,MATCH(MAX(COUNTIF($K$2:$K$2501,$K$2:$K$2501)),COUNTIF($K$2:$K$2501,$K$2:$K$2501),0)),K364)</f>
        <v>B2C</v>
      </c>
    </row>
    <row r="365" spans="1:17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 s="3">
        <f t="shared" si="25"/>
        <v>17212.660909090908</v>
      </c>
      <c r="J365" t="s">
        <v>22</v>
      </c>
      <c r="K365" t="s">
        <v>23</v>
      </c>
      <c r="L365" s="2">
        <f t="shared" si="26"/>
        <v>2868.7768181818178</v>
      </c>
      <c r="M365" s="4">
        <f t="shared" si="27"/>
        <v>0.6</v>
      </c>
      <c r="N365" s="1">
        <f t="shared" si="28"/>
        <v>45782</v>
      </c>
      <c r="O365" s="3">
        <f>(Table13[[#This Row],[Units_Sold]]*Table13[[#This Row],[Unit_Price_Cleaned]]*(1-Table13[[#This Row],[Discount Cleaned]]))</f>
        <v>6885.0643636363639</v>
      </c>
      <c r="P365" t="str">
        <f t="shared" si="29"/>
        <v>Profit</v>
      </c>
      <c r="Q365" t="str" cm="1">
        <f t="array" ref="Q365">IF(K365="",INDEX($K$2:$K$2501,MATCH(MAX(COUNTIF($K$2:$K$2501,$K$2:$K$2501)),COUNTIF($K$2:$K$2501,$K$2:$K$2501),0)),K365)</f>
        <v>B2B</v>
      </c>
    </row>
    <row r="366" spans="1:17" x14ac:dyDescent="0.3">
      <c r="A366">
        <v>1364</v>
      </c>
      <c r="B366" t="s">
        <v>416</v>
      </c>
      <c r="C366" t="s">
        <v>33</v>
      </c>
      <c r="D366" t="s">
        <v>72</v>
      </c>
      <c r="E366">
        <v>2</v>
      </c>
      <c r="G366">
        <v>0.01</v>
      </c>
      <c r="H366" s="3">
        <f t="shared" si="25"/>
        <v>5431.091698113205</v>
      </c>
      <c r="J366" t="s">
        <v>18</v>
      </c>
      <c r="K366" t="s">
        <v>16</v>
      </c>
      <c r="L366" s="2">
        <f t="shared" si="26"/>
        <v>2715.5458490566025</v>
      </c>
      <c r="M366" s="4">
        <f t="shared" si="27"/>
        <v>0.01</v>
      </c>
      <c r="N366" s="1">
        <f t="shared" si="28"/>
        <v>45782</v>
      </c>
      <c r="O366" s="3">
        <f>(Table13[[#This Row],[Units_Sold]]*Table13[[#This Row],[Unit_Price_Cleaned]]*(1-Table13[[#This Row],[Discount Cleaned]]))</f>
        <v>5376.7807811320727</v>
      </c>
      <c r="P366" t="str">
        <f t="shared" si="29"/>
        <v>Profit</v>
      </c>
      <c r="Q366" t="str" cm="1">
        <f t="array" ref="Q366">IF(K366="",INDEX($K$2:$K$2501,MATCH(MAX(COUNTIF($K$2:$K$2501,$K$2:$K$2501)),COUNTIF($K$2:$K$2501,$K$2:$K$2501),0)),K366)</f>
        <v>B2C</v>
      </c>
    </row>
    <row r="367" spans="1:17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 s="3">
        <f t="shared" si="25"/>
        <v>776.52</v>
      </c>
      <c r="J367" t="s">
        <v>15</v>
      </c>
      <c r="K367" t="s">
        <v>16</v>
      </c>
      <c r="L367" s="2">
        <f t="shared" si="26"/>
        <v>776.52</v>
      </c>
      <c r="M367" s="4">
        <f t="shared" si="27"/>
        <v>0.6</v>
      </c>
      <c r="N367" s="1">
        <f t="shared" si="28"/>
        <v>45782</v>
      </c>
      <c r="O367" s="3">
        <f>(Table13[[#This Row],[Units_Sold]]*Table13[[#This Row],[Unit_Price_Cleaned]]*(1-Table13[[#This Row],[Discount Cleaned]]))</f>
        <v>310.608</v>
      </c>
      <c r="P367" t="str">
        <f t="shared" si="29"/>
        <v>Loss</v>
      </c>
      <c r="Q367" t="str" cm="1">
        <f t="array" ref="Q367">IF(K367="",INDEX($K$2:$K$2501,MATCH(MAX(COUNTIF($K$2:$K$2501,$K$2:$K$2501)),COUNTIF($K$2:$K$2501,$K$2:$K$2501),0)),K367)</f>
        <v>B2C</v>
      </c>
    </row>
    <row r="368" spans="1:17" x14ac:dyDescent="0.3">
      <c r="A368">
        <v>1366</v>
      </c>
      <c r="B368" t="s">
        <v>418</v>
      </c>
      <c r="C368" t="s">
        <v>38</v>
      </c>
      <c r="D368" t="s">
        <v>91</v>
      </c>
      <c r="E368">
        <v>2</v>
      </c>
      <c r="F368">
        <v>1927.12</v>
      </c>
      <c r="G368">
        <v>0.44</v>
      </c>
      <c r="H368" s="3">
        <f t="shared" si="25"/>
        <v>3854.24</v>
      </c>
      <c r="I368" s="1">
        <v>45517</v>
      </c>
      <c r="J368" t="s">
        <v>40</v>
      </c>
      <c r="K368" t="s">
        <v>16</v>
      </c>
      <c r="L368" s="2">
        <f t="shared" si="26"/>
        <v>1927.12</v>
      </c>
      <c r="M368" s="4">
        <f t="shared" si="27"/>
        <v>0.44</v>
      </c>
      <c r="N368" s="1">
        <f t="shared" si="28"/>
        <v>45517</v>
      </c>
      <c r="O368" s="3">
        <f>(Table13[[#This Row],[Units_Sold]]*Table13[[#This Row],[Unit_Price_Cleaned]]*(1-Table13[[#This Row],[Discount Cleaned]]))</f>
        <v>2158.3744000000002</v>
      </c>
      <c r="P368" t="str">
        <f t="shared" si="29"/>
        <v>Profit</v>
      </c>
      <c r="Q368" t="str" cm="1">
        <f t="array" ref="Q368">IF(K368="",INDEX($K$2:$K$2501,MATCH(MAX(COUNTIF($K$2:$K$2501,$K$2:$K$2501)),COUNTIF($K$2:$K$2501,$K$2:$K$2501),0)),K368)</f>
        <v>B2C</v>
      </c>
    </row>
    <row r="369" spans="1:17" x14ac:dyDescent="0.3">
      <c r="A369">
        <v>1367</v>
      </c>
      <c r="B369" t="s">
        <v>419</v>
      </c>
      <c r="C369" t="s">
        <v>29</v>
      </c>
      <c r="D369" t="s">
        <v>141</v>
      </c>
      <c r="E369">
        <v>2</v>
      </c>
      <c r="F369">
        <v>573.79999999999995</v>
      </c>
      <c r="H369" s="3">
        <f t="shared" si="25"/>
        <v>1147.5999999999999</v>
      </c>
      <c r="I369" s="1">
        <v>45680</v>
      </c>
      <c r="J369" t="s">
        <v>18</v>
      </c>
      <c r="K369" t="s">
        <v>23</v>
      </c>
      <c r="L369" s="2">
        <f t="shared" si="26"/>
        <v>573.79999999999995</v>
      </c>
      <c r="M369" s="4">
        <f t="shared" si="27"/>
        <v>0.6</v>
      </c>
      <c r="N369" s="1">
        <f t="shared" si="28"/>
        <v>45680</v>
      </c>
      <c r="O369" s="3">
        <f>(Table13[[#This Row],[Units_Sold]]*Table13[[#This Row],[Unit_Price_Cleaned]]*(1-Table13[[#This Row],[Discount Cleaned]]))</f>
        <v>459.03999999999996</v>
      </c>
      <c r="P369" t="str">
        <f t="shared" si="29"/>
        <v>Loss</v>
      </c>
      <c r="Q369" t="str" cm="1">
        <f t="array" ref="Q369">IF(K369="",INDEX($K$2:$K$2501,MATCH(MAX(COUNTIF($K$2:$K$2501,$K$2:$K$2501)),COUNTIF($K$2:$K$2501,$K$2:$K$2501),0)),K369)</f>
        <v>B2B</v>
      </c>
    </row>
    <row r="370" spans="1:17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 s="3">
        <f t="shared" si="25"/>
        <v>16131.8</v>
      </c>
      <c r="J370" t="s">
        <v>18</v>
      </c>
      <c r="K370" t="s">
        <v>16</v>
      </c>
      <c r="L370" s="2">
        <f t="shared" si="26"/>
        <v>4032.95</v>
      </c>
      <c r="M370" s="4">
        <f t="shared" si="27"/>
        <v>0.6</v>
      </c>
      <c r="N370" s="1">
        <f t="shared" si="28"/>
        <v>45782</v>
      </c>
      <c r="O370" s="3">
        <f>(Table13[[#This Row],[Units_Sold]]*Table13[[#This Row],[Unit_Price_Cleaned]]*(1-Table13[[#This Row],[Discount Cleaned]]))</f>
        <v>6452.72</v>
      </c>
      <c r="P370" t="str">
        <f t="shared" si="29"/>
        <v>Profit</v>
      </c>
      <c r="Q370" t="str" cm="1">
        <f t="array" ref="Q370">IF(K370="",INDEX($K$2:$K$2501,MATCH(MAX(COUNTIF($K$2:$K$2501,$K$2:$K$2501)),COUNTIF($K$2:$K$2501,$K$2:$K$2501),0)),K370)</f>
        <v>B2C</v>
      </c>
    </row>
    <row r="371" spans="1:17" x14ac:dyDescent="0.3">
      <c r="A371">
        <v>1369</v>
      </c>
      <c r="B371" t="s">
        <v>421</v>
      </c>
      <c r="C371" t="s">
        <v>29</v>
      </c>
      <c r="D371" t="s">
        <v>141</v>
      </c>
      <c r="E371">
        <v>2</v>
      </c>
      <c r="G371">
        <v>1.1000000000000001</v>
      </c>
      <c r="H371" s="3">
        <f t="shared" si="25"/>
        <v>4925.58</v>
      </c>
      <c r="I371" s="1">
        <v>45818</v>
      </c>
      <c r="J371" t="s">
        <v>56</v>
      </c>
      <c r="L371" s="2">
        <f t="shared" si="26"/>
        <v>2462.79</v>
      </c>
      <c r="M371" s="4">
        <f t="shared" si="27"/>
        <v>1.1000000000000001</v>
      </c>
      <c r="N371" s="1">
        <f t="shared" si="28"/>
        <v>45818</v>
      </c>
      <c r="O371" s="3">
        <f>(Table13[[#This Row],[Units_Sold]]*Table13[[#This Row],[Unit_Price_Cleaned]]*(1-Table13[[#This Row],[Discount Cleaned]]))</f>
        <v>-492.55800000000045</v>
      </c>
      <c r="P371" t="str">
        <f t="shared" si="29"/>
        <v>Loss</v>
      </c>
      <c r="Q371" t="str" cm="1">
        <f t="array" ref="Q371">IF(K371="",INDEX($K$2:$K$2501,MATCH(MAX(COUNTIF($K$2:$K$2501,$K$2:$K$2501)),COUNTIF($K$2:$K$2501,$K$2:$K$2501),0)),K371)</f>
        <v>B2B</v>
      </c>
    </row>
    <row r="372" spans="1:17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 s="3">
        <f t="shared" si="25"/>
        <v>-4690.9799999999996</v>
      </c>
      <c r="I372" s="1">
        <v>45620</v>
      </c>
      <c r="J372" t="s">
        <v>56</v>
      </c>
      <c r="K372" t="s">
        <v>23</v>
      </c>
      <c r="L372" s="2">
        <f t="shared" si="26"/>
        <v>2345.4899999999998</v>
      </c>
      <c r="M372" s="4">
        <f t="shared" si="27"/>
        <v>1.18</v>
      </c>
      <c r="N372" s="1">
        <f t="shared" si="28"/>
        <v>45620</v>
      </c>
      <c r="O372" s="3">
        <f>(Table13[[#This Row],[Units_Sold]]*Table13[[#This Row],[Unit_Price_Cleaned]]*(1-Table13[[#This Row],[Discount Cleaned]]))</f>
        <v>844.37639999999965</v>
      </c>
      <c r="P372" t="str">
        <f t="shared" si="29"/>
        <v>Profit</v>
      </c>
      <c r="Q372" t="str" cm="1">
        <f t="array" ref="Q372">IF(K372="",INDEX($K$2:$K$2501,MATCH(MAX(COUNTIF($K$2:$K$2501,$K$2:$K$2501)),COUNTIF($K$2:$K$2501,$K$2:$K$2501),0)),K372)</f>
        <v>B2B</v>
      </c>
    </row>
    <row r="373" spans="1:17" x14ac:dyDescent="0.3">
      <c r="A373">
        <v>1371</v>
      </c>
      <c r="B373" t="s">
        <v>423</v>
      </c>
      <c r="C373" t="s">
        <v>13</v>
      </c>
      <c r="D373" t="s">
        <v>102</v>
      </c>
      <c r="E373">
        <v>2</v>
      </c>
      <c r="H373" s="3">
        <f t="shared" si="25"/>
        <v>5152.6113793103432</v>
      </c>
      <c r="J373" t="s">
        <v>22</v>
      </c>
      <c r="K373" t="s">
        <v>23</v>
      </c>
      <c r="L373" s="2">
        <f t="shared" si="26"/>
        <v>2576.3056896551716</v>
      </c>
      <c r="M373" s="4">
        <f t="shared" si="27"/>
        <v>0.6</v>
      </c>
      <c r="N373" s="1">
        <f t="shared" si="28"/>
        <v>45782</v>
      </c>
      <c r="O373" s="3">
        <f>(Table13[[#This Row],[Units_Sold]]*Table13[[#This Row],[Unit_Price_Cleaned]]*(1-Table13[[#This Row],[Discount Cleaned]]))</f>
        <v>2061.0445517241374</v>
      </c>
      <c r="P373" t="str">
        <f t="shared" si="29"/>
        <v>Profit</v>
      </c>
      <c r="Q373" t="str" cm="1">
        <f t="array" ref="Q373">IF(K373="",INDEX($K$2:$K$2501,MATCH(MAX(COUNTIF($K$2:$K$2501,$K$2:$K$2501)),COUNTIF($K$2:$K$2501,$K$2:$K$2501),0)),K373)</f>
        <v>B2B</v>
      </c>
    </row>
    <row r="374" spans="1:17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 s="3">
        <f t="shared" si="25"/>
        <v>2559.6667307692314</v>
      </c>
      <c r="I374" s="1">
        <v>45652</v>
      </c>
      <c r="J374" t="s">
        <v>15</v>
      </c>
      <c r="L374" s="2">
        <f t="shared" si="26"/>
        <v>2559.6667307692314</v>
      </c>
      <c r="M374" s="4">
        <f t="shared" si="27"/>
        <v>0.19</v>
      </c>
      <c r="N374" s="1">
        <f t="shared" si="28"/>
        <v>45652</v>
      </c>
      <c r="O374" s="3">
        <f>(Table13[[#This Row],[Units_Sold]]*Table13[[#This Row],[Unit_Price_Cleaned]]*(1-Table13[[#This Row],[Discount Cleaned]]))</f>
        <v>2073.3300519230775</v>
      </c>
      <c r="P374" t="str">
        <f t="shared" si="29"/>
        <v>Profit</v>
      </c>
      <c r="Q374" t="str" cm="1">
        <f t="array" ref="Q374">IF(K374="",INDEX($K$2:$K$2501,MATCH(MAX(COUNTIF($K$2:$K$2501,$K$2:$K$2501)),COUNTIF($K$2:$K$2501,$K$2:$K$2501),0)),K374)</f>
        <v>B2B</v>
      </c>
    </row>
    <row r="375" spans="1:17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 s="3">
        <f t="shared" si="25"/>
        <v>-7046.86</v>
      </c>
      <c r="J375" t="s">
        <v>15</v>
      </c>
      <c r="L375" s="2">
        <f t="shared" si="26"/>
        <v>3523.43</v>
      </c>
      <c r="M375" s="4">
        <f t="shared" si="27"/>
        <v>0.19</v>
      </c>
      <c r="N375" s="1">
        <f t="shared" si="28"/>
        <v>45782</v>
      </c>
      <c r="O375" s="3">
        <f>(Table13[[#This Row],[Units_Sold]]*Table13[[#This Row],[Unit_Price_Cleaned]]*(1-Table13[[#This Row],[Discount Cleaned]]))</f>
        <v>-5707.9566000000004</v>
      </c>
      <c r="P375" t="str">
        <f t="shared" si="29"/>
        <v>Loss</v>
      </c>
      <c r="Q375" t="str" cm="1">
        <f t="array" ref="Q375">IF(K375="",INDEX($K$2:$K$2501,MATCH(MAX(COUNTIF($K$2:$K$2501,$K$2:$K$2501)),COUNTIF($K$2:$K$2501,$K$2:$K$2501),0)),K375)</f>
        <v>B2B</v>
      </c>
    </row>
    <row r="376" spans="1:17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 s="3">
        <f t="shared" si="25"/>
        <v>2715.5458490566025</v>
      </c>
      <c r="I376" s="1">
        <v>45335</v>
      </c>
      <c r="J376" t="s">
        <v>40</v>
      </c>
      <c r="L376" s="2">
        <f t="shared" si="26"/>
        <v>2715.5458490566025</v>
      </c>
      <c r="M376" s="4">
        <f t="shared" si="27"/>
        <v>0.6</v>
      </c>
      <c r="N376" s="1">
        <f t="shared" si="28"/>
        <v>45335</v>
      </c>
      <c r="O376" s="3">
        <f>(Table13[[#This Row],[Units_Sold]]*Table13[[#This Row],[Unit_Price_Cleaned]]*(1-Table13[[#This Row],[Discount Cleaned]]))</f>
        <v>1086.218339622641</v>
      </c>
      <c r="P376" t="str">
        <f t="shared" si="29"/>
        <v>Profit</v>
      </c>
      <c r="Q376" t="str" cm="1">
        <f t="array" ref="Q376">IF(K376="",INDEX($K$2:$K$2501,MATCH(MAX(COUNTIF($K$2:$K$2501,$K$2:$K$2501)),COUNTIF($K$2:$K$2501,$K$2:$K$2501),0)),K376)</f>
        <v>B2B</v>
      </c>
    </row>
    <row r="377" spans="1:17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 s="3">
        <f t="shared" si="25"/>
        <v>1261.26</v>
      </c>
      <c r="J377" t="s">
        <v>56</v>
      </c>
      <c r="L377" s="2">
        <f t="shared" si="26"/>
        <v>420.42</v>
      </c>
      <c r="M377" s="4">
        <f t="shared" si="27"/>
        <v>0.6</v>
      </c>
      <c r="N377" s="1">
        <f t="shared" si="28"/>
        <v>45782</v>
      </c>
      <c r="O377" s="3">
        <f>(Table13[[#This Row],[Units_Sold]]*Table13[[#This Row],[Unit_Price_Cleaned]]*(1-Table13[[#This Row],[Discount Cleaned]]))</f>
        <v>504.50400000000002</v>
      </c>
      <c r="P377" t="str">
        <f t="shared" si="29"/>
        <v>Profit</v>
      </c>
      <c r="Q377" t="str" cm="1">
        <f t="array" ref="Q377">IF(K377="",INDEX($K$2:$K$2501,MATCH(MAX(COUNTIF($K$2:$K$2501,$K$2:$K$2501)),COUNTIF($K$2:$K$2501,$K$2:$K$2501),0)),K377)</f>
        <v>B2B</v>
      </c>
    </row>
    <row r="378" spans="1:17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 s="3">
        <f t="shared" si="25"/>
        <v>5789.12</v>
      </c>
      <c r="I378" s="1">
        <v>45500</v>
      </c>
      <c r="J378" t="s">
        <v>56</v>
      </c>
      <c r="K378" t="s">
        <v>23</v>
      </c>
      <c r="L378" s="2">
        <f t="shared" si="26"/>
        <v>1447.28</v>
      </c>
      <c r="M378" s="4">
        <f t="shared" si="27"/>
        <v>0.6</v>
      </c>
      <c r="N378" s="1">
        <f t="shared" si="28"/>
        <v>45500</v>
      </c>
      <c r="O378" s="3">
        <f>(Table13[[#This Row],[Units_Sold]]*Table13[[#This Row],[Unit_Price_Cleaned]]*(1-Table13[[#This Row],[Discount Cleaned]]))</f>
        <v>2315.6480000000001</v>
      </c>
      <c r="P378" t="str">
        <f t="shared" si="29"/>
        <v>Profit</v>
      </c>
      <c r="Q378" t="str" cm="1">
        <f t="array" ref="Q378">IF(K378="",INDEX($K$2:$K$2501,MATCH(MAX(COUNTIF($K$2:$K$2501,$K$2:$K$2501)),COUNTIF($K$2:$K$2501,$K$2:$K$2501),0)),K378)</f>
        <v>B2B</v>
      </c>
    </row>
    <row r="379" spans="1:17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 s="3">
        <f t="shared" si="25"/>
        <v>0</v>
      </c>
      <c r="J379" t="s">
        <v>40</v>
      </c>
      <c r="K379" t="s">
        <v>23</v>
      </c>
      <c r="L379" s="2">
        <f t="shared" si="26"/>
        <v>2725.8557142857148</v>
      </c>
      <c r="M379" s="4">
        <f t="shared" si="27"/>
        <v>0.65</v>
      </c>
      <c r="N379" s="1">
        <f t="shared" si="28"/>
        <v>45782</v>
      </c>
      <c r="O379" s="3">
        <f>(Table13[[#This Row],[Units_Sold]]*Table13[[#This Row],[Unit_Price_Cleaned]]*(1-Table13[[#This Row],[Discount Cleaned]]))</f>
        <v>0</v>
      </c>
      <c r="P379" t="str">
        <f t="shared" si="29"/>
        <v>Loss</v>
      </c>
      <c r="Q379" t="str" cm="1">
        <f t="array" ref="Q379">IF(K379="",INDEX($K$2:$K$2501,MATCH(MAX(COUNTIF($K$2:$K$2501,$K$2:$K$2501)),COUNTIF($K$2:$K$2501,$K$2:$K$2501),0)),K379)</f>
        <v>B2B</v>
      </c>
    </row>
    <row r="380" spans="1:17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 s="3">
        <f t="shared" si="25"/>
        <v>22906.300000000003</v>
      </c>
      <c r="I380" s="1">
        <v>45679</v>
      </c>
      <c r="J380" t="s">
        <v>40</v>
      </c>
      <c r="L380" s="2">
        <f t="shared" si="26"/>
        <v>4581.26</v>
      </c>
      <c r="M380" s="4">
        <f t="shared" si="27"/>
        <v>1.18</v>
      </c>
      <c r="N380" s="1">
        <f t="shared" si="28"/>
        <v>45679</v>
      </c>
      <c r="O380" s="3">
        <f>(Table13[[#This Row],[Units_Sold]]*Table13[[#This Row],[Unit_Price_Cleaned]]*(1-Table13[[#This Row],[Discount Cleaned]]))</f>
        <v>-4123.1339999999991</v>
      </c>
      <c r="P380" t="str">
        <f t="shared" si="29"/>
        <v>Loss</v>
      </c>
      <c r="Q380" t="str" cm="1">
        <f t="array" ref="Q380">IF(K380="",INDEX($K$2:$K$2501,MATCH(MAX(COUNTIF($K$2:$K$2501,$K$2:$K$2501)),COUNTIF($K$2:$K$2501,$K$2:$K$2501),0)),K380)</f>
        <v>B2B</v>
      </c>
    </row>
    <row r="381" spans="1:17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 s="3">
        <f t="shared" si="25"/>
        <v>5362.348727272727</v>
      </c>
      <c r="I381" s="1">
        <v>45574</v>
      </c>
      <c r="J381" t="s">
        <v>15</v>
      </c>
      <c r="L381" s="2">
        <f t="shared" si="26"/>
        <v>2681.1743636363635</v>
      </c>
      <c r="M381" s="4">
        <f t="shared" si="27"/>
        <v>0.6</v>
      </c>
      <c r="N381" s="1">
        <f t="shared" si="28"/>
        <v>45574</v>
      </c>
      <c r="O381" s="3">
        <f>(Table13[[#This Row],[Units_Sold]]*Table13[[#This Row],[Unit_Price_Cleaned]]*(1-Table13[[#This Row],[Discount Cleaned]]))</f>
        <v>2144.9394909090911</v>
      </c>
      <c r="P381" t="str">
        <f t="shared" si="29"/>
        <v>Profit</v>
      </c>
      <c r="Q381" t="str" cm="1">
        <f t="array" ref="Q381">IF(K381="",INDEX($K$2:$K$2501,MATCH(MAX(COUNTIF($K$2:$K$2501,$K$2:$K$2501)),COUNTIF($K$2:$K$2501,$K$2:$K$2501),0)),K381)</f>
        <v>B2B</v>
      </c>
    </row>
    <row r="382" spans="1:17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 s="3">
        <f t="shared" si="25"/>
        <v>5737.5536363636356</v>
      </c>
      <c r="J382" t="s">
        <v>15</v>
      </c>
      <c r="K382" t="s">
        <v>23</v>
      </c>
      <c r="L382" s="2">
        <f t="shared" si="26"/>
        <v>2868.7768181818178</v>
      </c>
      <c r="M382" s="4">
        <f t="shared" si="27"/>
        <v>0.6</v>
      </c>
      <c r="N382" s="1">
        <f t="shared" si="28"/>
        <v>45782</v>
      </c>
      <c r="O382" s="3">
        <f>(Table13[[#This Row],[Units_Sold]]*Table13[[#This Row],[Unit_Price_Cleaned]]*(1-Table13[[#This Row],[Discount Cleaned]]))</f>
        <v>2295.0214545454542</v>
      </c>
      <c r="P382" t="str">
        <f t="shared" si="29"/>
        <v>Profit</v>
      </c>
      <c r="Q382" t="str" cm="1">
        <f t="array" ref="Q382">IF(K382="",INDEX($K$2:$K$2501,MATCH(MAX(COUNTIF($K$2:$K$2501,$K$2:$K$2501)),COUNTIF($K$2:$K$2501,$K$2:$K$2501),0)),K382)</f>
        <v>B2B</v>
      </c>
    </row>
    <row r="383" spans="1:17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 s="3">
        <f t="shared" si="25"/>
        <v>2576.3056896551716</v>
      </c>
      <c r="I383" s="1">
        <v>45486</v>
      </c>
      <c r="J383" t="s">
        <v>40</v>
      </c>
      <c r="K383" t="s">
        <v>16</v>
      </c>
      <c r="L383" s="2">
        <f t="shared" si="26"/>
        <v>2576.3056896551716</v>
      </c>
      <c r="M383" s="4">
        <f t="shared" si="27"/>
        <v>1.07</v>
      </c>
      <c r="N383" s="1">
        <f t="shared" si="28"/>
        <v>45486</v>
      </c>
      <c r="O383" s="3">
        <f>(Table13[[#This Row],[Units_Sold]]*Table13[[#This Row],[Unit_Price_Cleaned]]*(1-Table13[[#This Row],[Discount Cleaned]]))</f>
        <v>-180.34139827586216</v>
      </c>
      <c r="P383" t="str">
        <f t="shared" si="29"/>
        <v>Loss</v>
      </c>
      <c r="Q383" t="str" cm="1">
        <f t="array" ref="Q383">IF(K383="",INDEX($K$2:$K$2501,MATCH(MAX(COUNTIF($K$2:$K$2501,$K$2:$K$2501)),COUNTIF($K$2:$K$2501,$K$2:$K$2501),0)),K383)</f>
        <v>B2C</v>
      </c>
    </row>
    <row r="384" spans="1:17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 s="3">
        <f t="shared" si="25"/>
        <v>-5765.0093103448271</v>
      </c>
      <c r="I384" s="1">
        <v>45549</v>
      </c>
      <c r="J384" t="s">
        <v>40</v>
      </c>
      <c r="K384" t="s">
        <v>23</v>
      </c>
      <c r="L384" s="2">
        <f t="shared" si="26"/>
        <v>2882.5046551724135</v>
      </c>
      <c r="M384" s="4">
        <f t="shared" si="27"/>
        <v>0.6</v>
      </c>
      <c r="N384" s="1">
        <f t="shared" si="28"/>
        <v>45549</v>
      </c>
      <c r="O384" s="3">
        <f>(Table13[[#This Row],[Units_Sold]]*Table13[[#This Row],[Unit_Price_Cleaned]]*(1-Table13[[#This Row],[Discount Cleaned]]))</f>
        <v>-2306.0037241379309</v>
      </c>
      <c r="P384" t="str">
        <f t="shared" si="29"/>
        <v>Loss</v>
      </c>
      <c r="Q384" t="str" cm="1">
        <f t="array" ref="Q384">IF(K384="",INDEX($K$2:$K$2501,MATCH(MAX(COUNTIF($K$2:$K$2501,$K$2:$K$2501)),COUNTIF($K$2:$K$2501,$K$2:$K$2501),0)),K384)</f>
        <v>B2B</v>
      </c>
    </row>
    <row r="385" spans="1:17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 s="3">
        <f t="shared" si="25"/>
        <v>12045.650000000001</v>
      </c>
      <c r="I385" s="1">
        <v>45841</v>
      </c>
      <c r="J385" t="s">
        <v>46</v>
      </c>
      <c r="K385" t="s">
        <v>16</v>
      </c>
      <c r="L385" s="2">
        <f t="shared" si="26"/>
        <v>2409.13</v>
      </c>
      <c r="M385" s="4">
        <f t="shared" si="27"/>
        <v>0.6</v>
      </c>
      <c r="N385" s="1">
        <f t="shared" si="28"/>
        <v>45841</v>
      </c>
      <c r="O385" s="3">
        <f>(Table13[[#This Row],[Units_Sold]]*Table13[[#This Row],[Unit_Price_Cleaned]]*(1-Table13[[#This Row],[Discount Cleaned]]))</f>
        <v>4818.2600000000011</v>
      </c>
      <c r="P385" t="str">
        <f t="shared" si="29"/>
        <v>Profit</v>
      </c>
      <c r="Q385" t="str" cm="1">
        <f t="array" ref="Q385">IF(K385="",INDEX($K$2:$K$2501,MATCH(MAX(COUNTIF($K$2:$K$2501,$K$2:$K$2501)),COUNTIF($K$2:$K$2501,$K$2:$K$2501),0)),K385)</f>
        <v>B2C</v>
      </c>
    </row>
    <row r="386" spans="1:17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 s="3">
        <f t="shared" ref="H386:H449" si="30">(L386*E386)</f>
        <v>5145.5528000000013</v>
      </c>
      <c r="I386" s="1">
        <v>45657</v>
      </c>
      <c r="J386" t="s">
        <v>18</v>
      </c>
      <c r="L386" s="2">
        <f t="shared" ref="L386:L449" si="31">IF(F386="",AVERAGEIF($D$2:$D$2501,D386,$F$2:$F$2501),F386)</f>
        <v>2572.7764000000006</v>
      </c>
      <c r="M386" s="4">
        <f t="shared" ref="M386:M449" si="32">IF(G386="",MEDIAN($G$2,$G$2501),G386)</f>
        <v>0.6</v>
      </c>
      <c r="N386" s="1">
        <f t="shared" ref="N386:N449" si="33">IF(I386="",MODE($I$32:$I$2501),I386)</f>
        <v>45657</v>
      </c>
      <c r="O386" s="3">
        <f>(Table13[[#This Row],[Units_Sold]]*Table13[[#This Row],[Unit_Price_Cleaned]]*(1-Table13[[#This Row],[Discount Cleaned]]))</f>
        <v>2058.2211200000006</v>
      </c>
      <c r="P386" t="str">
        <f t="shared" ref="P386:P449" si="34">IF(O386&gt;500,"Profit","Loss")</f>
        <v>Profit</v>
      </c>
      <c r="Q386" t="str" cm="1">
        <f t="array" ref="Q386">IF(K386="",INDEX($K$2:$K$2501,MATCH(MAX(COUNTIF($K$2:$K$2501,$K$2:$K$2501)),COUNTIF($K$2:$K$2501,$K$2:$K$2501),0)),K386)</f>
        <v>B2B</v>
      </c>
    </row>
    <row r="387" spans="1:17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 s="3">
        <f t="shared" si="30"/>
        <v>2845.2419672131159</v>
      </c>
      <c r="J387" t="s">
        <v>40</v>
      </c>
      <c r="K387" t="s">
        <v>16</v>
      </c>
      <c r="L387" s="2">
        <f t="shared" si="31"/>
        <v>2845.2419672131159</v>
      </c>
      <c r="M387" s="4">
        <f t="shared" si="32"/>
        <v>0.6</v>
      </c>
      <c r="N387" s="1">
        <f t="shared" si="33"/>
        <v>45782</v>
      </c>
      <c r="O387" s="3">
        <f>(Table13[[#This Row],[Units_Sold]]*Table13[[#This Row],[Unit_Price_Cleaned]]*(1-Table13[[#This Row],[Discount Cleaned]]))</f>
        <v>1138.0967868852465</v>
      </c>
      <c r="P387" t="str">
        <f t="shared" si="34"/>
        <v>Profit</v>
      </c>
      <c r="Q387" t="str" cm="1">
        <f t="array" ref="Q387">IF(K387="",INDEX($K$2:$K$2501,MATCH(MAX(COUNTIF($K$2:$K$2501,$K$2:$K$2501)),COUNTIF($K$2:$K$2501,$K$2:$K$2501),0)),K387)</f>
        <v>B2C</v>
      </c>
    </row>
    <row r="388" spans="1:17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 s="3">
        <f t="shared" si="30"/>
        <v>22199.050000000003</v>
      </c>
      <c r="I388" s="1">
        <v>45608</v>
      </c>
      <c r="J388" t="s">
        <v>15</v>
      </c>
      <c r="K388" t="s">
        <v>23</v>
      </c>
      <c r="L388" s="2">
        <f t="shared" si="31"/>
        <v>4439.8100000000004</v>
      </c>
      <c r="M388" s="4">
        <f t="shared" si="32"/>
        <v>1.1000000000000001</v>
      </c>
      <c r="N388" s="1">
        <f t="shared" si="33"/>
        <v>45608</v>
      </c>
      <c r="O388" s="3">
        <f>(Table13[[#This Row],[Units_Sold]]*Table13[[#This Row],[Unit_Price_Cleaned]]*(1-Table13[[#This Row],[Discount Cleaned]]))</f>
        <v>-2219.9050000000025</v>
      </c>
      <c r="P388" t="str">
        <f t="shared" si="34"/>
        <v>Loss</v>
      </c>
      <c r="Q388" t="str" cm="1">
        <f t="array" ref="Q388">IF(K388="",INDEX($K$2:$K$2501,MATCH(MAX(COUNTIF($K$2:$K$2501,$K$2:$K$2501)),COUNTIF($K$2:$K$2501,$K$2:$K$2501),0)),K388)</f>
        <v>B2B</v>
      </c>
    </row>
    <row r="389" spans="1:17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 s="3">
        <f t="shared" si="30"/>
        <v>8043.5230909090906</v>
      </c>
      <c r="I389" s="1">
        <v>45507</v>
      </c>
      <c r="J389" t="s">
        <v>46</v>
      </c>
      <c r="L389" s="2">
        <f t="shared" si="31"/>
        <v>2681.1743636363635</v>
      </c>
      <c r="M389" s="4">
        <f t="shared" si="32"/>
        <v>0.6</v>
      </c>
      <c r="N389" s="1">
        <f t="shared" si="33"/>
        <v>45507</v>
      </c>
      <c r="O389" s="3">
        <f>(Table13[[#This Row],[Units_Sold]]*Table13[[#This Row],[Unit_Price_Cleaned]]*(1-Table13[[#This Row],[Discount Cleaned]]))</f>
        <v>3217.4092363636364</v>
      </c>
      <c r="P389" t="str">
        <f t="shared" si="34"/>
        <v>Profit</v>
      </c>
      <c r="Q389" t="str" cm="1">
        <f t="array" ref="Q389">IF(K389="",INDEX($K$2:$K$2501,MATCH(MAX(COUNTIF($K$2:$K$2501,$K$2:$K$2501)),COUNTIF($K$2:$K$2501,$K$2:$K$2501),0)),K389)</f>
        <v>B2B</v>
      </c>
    </row>
    <row r="390" spans="1:17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 s="3">
        <f t="shared" si="30"/>
        <v>12033.537777777778</v>
      </c>
      <c r="I390" s="1">
        <v>45433</v>
      </c>
      <c r="J390" t="s">
        <v>15</v>
      </c>
      <c r="K390" t="s">
        <v>16</v>
      </c>
      <c r="L390" s="2">
        <f t="shared" si="31"/>
        <v>3008.3844444444444</v>
      </c>
      <c r="M390" s="4">
        <f t="shared" si="32"/>
        <v>0.6</v>
      </c>
      <c r="N390" s="1">
        <f t="shared" si="33"/>
        <v>45433</v>
      </c>
      <c r="O390" s="3">
        <f>(Table13[[#This Row],[Units_Sold]]*Table13[[#This Row],[Unit_Price_Cleaned]]*(1-Table13[[#This Row],[Discount Cleaned]]))</f>
        <v>4813.4151111111114</v>
      </c>
      <c r="P390" t="str">
        <f t="shared" si="34"/>
        <v>Profit</v>
      </c>
      <c r="Q390" t="str" cm="1">
        <f t="array" ref="Q390">IF(K390="",INDEX($K$2:$K$2501,MATCH(MAX(COUNTIF($K$2:$K$2501,$K$2:$K$2501)),COUNTIF($K$2:$K$2501,$K$2:$K$2501),0)),K390)</f>
        <v>B2C</v>
      </c>
    </row>
    <row r="391" spans="1:17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 s="3">
        <f t="shared" si="30"/>
        <v>5484.76</v>
      </c>
      <c r="I391" s="1">
        <v>45132</v>
      </c>
      <c r="J391" t="s">
        <v>18</v>
      </c>
      <c r="L391" s="2">
        <f t="shared" si="31"/>
        <v>2742.38</v>
      </c>
      <c r="M391" s="4">
        <f t="shared" si="32"/>
        <v>0.6</v>
      </c>
      <c r="N391" s="1">
        <f t="shared" si="33"/>
        <v>45132</v>
      </c>
      <c r="O391" s="3">
        <f>(Table13[[#This Row],[Units_Sold]]*Table13[[#This Row],[Unit_Price_Cleaned]]*(1-Table13[[#This Row],[Discount Cleaned]]))</f>
        <v>2193.904</v>
      </c>
      <c r="P391" t="str">
        <f t="shared" si="34"/>
        <v>Profit</v>
      </c>
      <c r="Q391" t="str" cm="1">
        <f t="array" ref="Q391">IF(K391="",INDEX($K$2:$K$2501,MATCH(MAX(COUNTIF($K$2:$K$2501,$K$2:$K$2501)),COUNTIF($K$2:$K$2501,$K$2:$K$2501),0)),K391)</f>
        <v>B2B</v>
      </c>
    </row>
    <row r="392" spans="1:17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 s="3">
        <f t="shared" si="30"/>
        <v>9525.0710344827585</v>
      </c>
      <c r="J392" t="s">
        <v>46</v>
      </c>
      <c r="L392" s="2">
        <f t="shared" si="31"/>
        <v>2381.2677586206896</v>
      </c>
      <c r="M392" s="4">
        <f t="shared" si="32"/>
        <v>0.6</v>
      </c>
      <c r="N392" s="1">
        <f t="shared" si="33"/>
        <v>45782</v>
      </c>
      <c r="O392" s="3">
        <f>(Table13[[#This Row],[Units_Sold]]*Table13[[#This Row],[Unit_Price_Cleaned]]*(1-Table13[[#This Row],[Discount Cleaned]]))</f>
        <v>3810.0284137931035</v>
      </c>
      <c r="P392" t="str">
        <f t="shared" si="34"/>
        <v>Profit</v>
      </c>
      <c r="Q392" t="str" cm="1">
        <f t="array" ref="Q392">IF(K392="",INDEX($K$2:$K$2501,MATCH(MAX(COUNTIF($K$2:$K$2501,$K$2:$K$2501)),COUNTIF($K$2:$K$2501,$K$2:$K$2501),0)),K392)</f>
        <v>B2B</v>
      </c>
    </row>
    <row r="393" spans="1:17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 s="3">
        <f t="shared" si="30"/>
        <v>0</v>
      </c>
      <c r="I393" s="1">
        <v>45738</v>
      </c>
      <c r="J393" t="s">
        <v>56</v>
      </c>
      <c r="L393" s="2">
        <f t="shared" si="31"/>
        <v>2213.79</v>
      </c>
      <c r="M393" s="4">
        <f t="shared" si="32"/>
        <v>0.01</v>
      </c>
      <c r="N393" s="1">
        <f t="shared" si="33"/>
        <v>45738</v>
      </c>
      <c r="O393" s="3">
        <f>(Table13[[#This Row],[Units_Sold]]*Table13[[#This Row],[Unit_Price_Cleaned]]*(1-Table13[[#This Row],[Discount Cleaned]]))</f>
        <v>0</v>
      </c>
      <c r="P393" t="str">
        <f t="shared" si="34"/>
        <v>Loss</v>
      </c>
      <c r="Q393" t="str" cm="1">
        <f t="array" ref="Q393">IF(K393="",INDEX($K$2:$K$2501,MATCH(MAX(COUNTIF($K$2:$K$2501,$K$2:$K$2501)),COUNTIF($K$2:$K$2501,$K$2:$K$2501),0)),K393)</f>
        <v>B2B</v>
      </c>
    </row>
    <row r="394" spans="1:17" x14ac:dyDescent="0.3">
      <c r="A394">
        <v>1014</v>
      </c>
      <c r="B394" t="s">
        <v>444</v>
      </c>
      <c r="C394" t="s">
        <v>13</v>
      </c>
      <c r="D394" t="s">
        <v>102</v>
      </c>
      <c r="E394">
        <v>2</v>
      </c>
      <c r="F394">
        <v>784.1</v>
      </c>
      <c r="H394" s="3">
        <f t="shared" si="30"/>
        <v>1568.2</v>
      </c>
      <c r="I394" s="1">
        <v>45693</v>
      </c>
      <c r="J394" t="s">
        <v>15</v>
      </c>
      <c r="L394" s="2">
        <f t="shared" si="31"/>
        <v>784.1</v>
      </c>
      <c r="M394" s="4">
        <f t="shared" si="32"/>
        <v>0.6</v>
      </c>
      <c r="N394" s="1">
        <f t="shared" si="33"/>
        <v>45693</v>
      </c>
      <c r="O394" s="3">
        <f>(Table13[[#This Row],[Units_Sold]]*Table13[[#This Row],[Unit_Price_Cleaned]]*(1-Table13[[#This Row],[Discount Cleaned]]))</f>
        <v>627.28000000000009</v>
      </c>
      <c r="P394" t="str">
        <f t="shared" si="34"/>
        <v>Profit</v>
      </c>
      <c r="Q394" t="str" cm="1">
        <f t="array" ref="Q394">IF(K394="",INDEX($K$2:$K$2501,MATCH(MAX(COUNTIF($K$2:$K$2501,$K$2:$K$2501)),COUNTIF($K$2:$K$2501,$K$2:$K$2501),0)),K394)</f>
        <v>B2B</v>
      </c>
    </row>
    <row r="395" spans="1:17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 s="3">
        <f t="shared" si="30"/>
        <v>14901.506400000002</v>
      </c>
      <c r="J395" t="s">
        <v>56</v>
      </c>
      <c r="K395" t="s">
        <v>16</v>
      </c>
      <c r="L395" s="2">
        <f t="shared" si="31"/>
        <v>2483.5844000000002</v>
      </c>
      <c r="M395" s="4">
        <f t="shared" si="32"/>
        <v>0.6</v>
      </c>
      <c r="N395" s="1">
        <f t="shared" si="33"/>
        <v>45782</v>
      </c>
      <c r="O395" s="3">
        <f>(Table13[[#This Row],[Units_Sold]]*Table13[[#This Row],[Unit_Price_Cleaned]]*(1-Table13[[#This Row],[Discount Cleaned]]))</f>
        <v>5960.6025600000012</v>
      </c>
      <c r="P395" t="str">
        <f t="shared" si="34"/>
        <v>Profit</v>
      </c>
      <c r="Q395" t="str" cm="1">
        <f t="array" ref="Q395">IF(K395="",INDEX($K$2:$K$2501,MATCH(MAX(COUNTIF($K$2:$K$2501,$K$2:$K$2501)),COUNTIF($K$2:$K$2501,$K$2:$K$2501),0)),K395)</f>
        <v>B2C</v>
      </c>
    </row>
    <row r="396" spans="1:17" x14ac:dyDescent="0.3">
      <c r="A396">
        <v>1394</v>
      </c>
      <c r="B396" t="s">
        <v>446</v>
      </c>
      <c r="C396" t="s">
        <v>20</v>
      </c>
      <c r="D396" t="s">
        <v>80</v>
      </c>
      <c r="E396">
        <v>2</v>
      </c>
      <c r="F396">
        <v>1218.6500000000001</v>
      </c>
      <c r="H396" s="3">
        <f t="shared" si="30"/>
        <v>2437.3000000000002</v>
      </c>
      <c r="I396" s="1">
        <v>45806</v>
      </c>
      <c r="J396" t="s">
        <v>56</v>
      </c>
      <c r="K396" t="s">
        <v>16</v>
      </c>
      <c r="L396" s="2">
        <f t="shared" si="31"/>
        <v>1218.6500000000001</v>
      </c>
      <c r="M396" s="4">
        <f t="shared" si="32"/>
        <v>0.6</v>
      </c>
      <c r="N396" s="1">
        <f t="shared" si="33"/>
        <v>45806</v>
      </c>
      <c r="O396" s="3">
        <f>(Table13[[#This Row],[Units_Sold]]*Table13[[#This Row],[Unit_Price_Cleaned]]*(1-Table13[[#This Row],[Discount Cleaned]]))</f>
        <v>974.92000000000007</v>
      </c>
      <c r="P396" t="str">
        <f t="shared" si="34"/>
        <v>Profit</v>
      </c>
      <c r="Q396" t="str" cm="1">
        <f t="array" ref="Q396">IF(K396="",INDEX($K$2:$K$2501,MATCH(MAX(COUNTIF($K$2:$K$2501,$K$2:$K$2501)),COUNTIF($K$2:$K$2501,$K$2:$K$2501),0)),K396)</f>
        <v>B2C</v>
      </c>
    </row>
    <row r="397" spans="1:17" x14ac:dyDescent="0.3">
      <c r="A397">
        <v>1395</v>
      </c>
      <c r="B397" t="s">
        <v>447</v>
      </c>
      <c r="C397" t="s">
        <v>38</v>
      </c>
      <c r="D397" t="s">
        <v>63</v>
      </c>
      <c r="E397">
        <v>2</v>
      </c>
      <c r="H397" s="3">
        <f t="shared" si="30"/>
        <v>5690.4839344262318</v>
      </c>
      <c r="I397" s="1">
        <v>45393</v>
      </c>
      <c r="J397" t="s">
        <v>22</v>
      </c>
      <c r="K397" t="s">
        <v>23</v>
      </c>
      <c r="L397" s="2">
        <f t="shared" si="31"/>
        <v>2845.2419672131159</v>
      </c>
      <c r="M397" s="4">
        <f t="shared" si="32"/>
        <v>0.6</v>
      </c>
      <c r="N397" s="1">
        <f t="shared" si="33"/>
        <v>45393</v>
      </c>
      <c r="O397" s="3">
        <f>(Table13[[#This Row],[Units_Sold]]*Table13[[#This Row],[Unit_Price_Cleaned]]*(1-Table13[[#This Row],[Discount Cleaned]]))</f>
        <v>2276.193573770493</v>
      </c>
      <c r="P397" t="str">
        <f t="shared" si="34"/>
        <v>Profit</v>
      </c>
      <c r="Q397" t="str" cm="1">
        <f t="array" ref="Q397">IF(K397="",INDEX($K$2:$K$2501,MATCH(MAX(COUNTIF($K$2:$K$2501,$K$2:$K$2501)),COUNTIF($K$2:$K$2501,$K$2:$K$2501),0)),K397)</f>
        <v>B2B</v>
      </c>
    </row>
    <row r="398" spans="1:17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 s="3">
        <f t="shared" si="30"/>
        <v>7327.3</v>
      </c>
      <c r="J398" t="s">
        <v>18</v>
      </c>
      <c r="K398" t="s">
        <v>23</v>
      </c>
      <c r="L398" s="2">
        <f t="shared" si="31"/>
        <v>3663.65</v>
      </c>
      <c r="M398" s="4">
        <f t="shared" si="32"/>
        <v>0.26</v>
      </c>
      <c r="N398" s="1">
        <f t="shared" si="33"/>
        <v>45782</v>
      </c>
      <c r="O398" s="3">
        <f>(Table13[[#This Row],[Units_Sold]]*Table13[[#This Row],[Unit_Price_Cleaned]]*(1-Table13[[#This Row],[Discount Cleaned]]))</f>
        <v>5422.2020000000002</v>
      </c>
      <c r="P398" t="str">
        <f t="shared" si="34"/>
        <v>Profit</v>
      </c>
      <c r="Q398" t="str" cm="1">
        <f t="array" ref="Q398">IF(K398="",INDEX($K$2:$K$2501,MATCH(MAX(COUNTIF($K$2:$K$2501,$K$2:$K$2501)),COUNTIF($K$2:$K$2501,$K$2:$K$2501),0)),K398)</f>
        <v>B2B</v>
      </c>
    </row>
    <row r="399" spans="1:17" x14ac:dyDescent="0.3">
      <c r="A399">
        <v>1397</v>
      </c>
      <c r="B399" t="s">
        <v>449</v>
      </c>
      <c r="C399" t="s">
        <v>20</v>
      </c>
      <c r="D399" t="s">
        <v>122</v>
      </c>
      <c r="E399">
        <v>2</v>
      </c>
      <c r="H399" s="3">
        <f t="shared" si="30"/>
        <v>5400.2526086956505</v>
      </c>
      <c r="I399" s="1">
        <v>45723</v>
      </c>
      <c r="J399" t="s">
        <v>40</v>
      </c>
      <c r="K399" t="s">
        <v>16</v>
      </c>
      <c r="L399" s="2">
        <f t="shared" si="31"/>
        <v>2700.1263043478252</v>
      </c>
      <c r="M399" s="4">
        <f t="shared" si="32"/>
        <v>0.6</v>
      </c>
      <c r="N399" s="1">
        <f t="shared" si="33"/>
        <v>45723</v>
      </c>
      <c r="O399" s="3">
        <f>(Table13[[#This Row],[Units_Sold]]*Table13[[#This Row],[Unit_Price_Cleaned]]*(1-Table13[[#This Row],[Discount Cleaned]]))</f>
        <v>2160.1010434782602</v>
      </c>
      <c r="P399" t="str">
        <f t="shared" si="34"/>
        <v>Profit</v>
      </c>
      <c r="Q399" t="str" cm="1">
        <f t="array" ref="Q399">IF(K399="",INDEX($K$2:$K$2501,MATCH(MAX(COUNTIF($K$2:$K$2501,$K$2:$K$2501)),COUNTIF($K$2:$K$2501,$K$2:$K$2501),0)),K399)</f>
        <v>B2C</v>
      </c>
    </row>
    <row r="400" spans="1:17" x14ac:dyDescent="0.3">
      <c r="A400">
        <v>1398</v>
      </c>
      <c r="B400" t="s">
        <v>450</v>
      </c>
      <c r="C400" t="s">
        <v>38</v>
      </c>
      <c r="D400" t="s">
        <v>39</v>
      </c>
      <c r="E400">
        <v>2</v>
      </c>
      <c r="H400" s="3">
        <f t="shared" si="30"/>
        <v>6016.7688888888888</v>
      </c>
      <c r="I400" s="1">
        <v>45744</v>
      </c>
      <c r="J400" t="s">
        <v>56</v>
      </c>
      <c r="L400" s="2">
        <f t="shared" si="31"/>
        <v>3008.3844444444444</v>
      </c>
      <c r="M400" s="4">
        <f t="shared" si="32"/>
        <v>0.6</v>
      </c>
      <c r="N400" s="1">
        <f t="shared" si="33"/>
        <v>45744</v>
      </c>
      <c r="O400" s="3">
        <f>(Table13[[#This Row],[Units_Sold]]*Table13[[#This Row],[Unit_Price_Cleaned]]*(1-Table13[[#This Row],[Discount Cleaned]]))</f>
        <v>2406.7075555555557</v>
      </c>
      <c r="P400" t="str">
        <f t="shared" si="34"/>
        <v>Profit</v>
      </c>
      <c r="Q400" t="str" cm="1">
        <f t="array" ref="Q400">IF(K400="",INDEX($K$2:$K$2501,MATCH(MAX(COUNTIF($K$2:$K$2501,$K$2:$K$2501)),COUNTIF($K$2:$K$2501,$K$2:$K$2501),0)),K400)</f>
        <v>B2B</v>
      </c>
    </row>
    <row r="401" spans="1:17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 s="3">
        <f t="shared" si="30"/>
        <v>10903.422857142859</v>
      </c>
      <c r="I401" s="1">
        <v>45596</v>
      </c>
      <c r="J401" t="s">
        <v>15</v>
      </c>
      <c r="K401" t="s">
        <v>16</v>
      </c>
      <c r="L401" s="2">
        <f t="shared" si="31"/>
        <v>2725.8557142857148</v>
      </c>
      <c r="M401" s="4">
        <f t="shared" si="32"/>
        <v>0.35</v>
      </c>
      <c r="N401" s="1">
        <f t="shared" si="33"/>
        <v>45596</v>
      </c>
      <c r="O401" s="3">
        <f>(Table13[[#This Row],[Units_Sold]]*Table13[[#This Row],[Unit_Price_Cleaned]]*(1-Table13[[#This Row],[Discount Cleaned]]))</f>
        <v>7087.224857142859</v>
      </c>
      <c r="P401" t="str">
        <f t="shared" si="34"/>
        <v>Profit</v>
      </c>
      <c r="Q401" t="str" cm="1">
        <f t="array" ref="Q401">IF(K401="",INDEX($K$2:$K$2501,MATCH(MAX(COUNTIF($K$2:$K$2501,$K$2:$K$2501)),COUNTIF($K$2:$K$2501,$K$2:$K$2501),0)),K401)</f>
        <v>B2C</v>
      </c>
    </row>
    <row r="402" spans="1:17" x14ac:dyDescent="0.3">
      <c r="A402">
        <v>1400</v>
      </c>
      <c r="B402" t="s">
        <v>452</v>
      </c>
      <c r="C402" t="s">
        <v>33</v>
      </c>
      <c r="D402" t="s">
        <v>72</v>
      </c>
      <c r="E402">
        <v>2</v>
      </c>
      <c r="H402" s="3">
        <f t="shared" si="30"/>
        <v>5431.091698113205</v>
      </c>
      <c r="I402" s="1">
        <v>45715</v>
      </c>
      <c r="J402" t="s">
        <v>15</v>
      </c>
      <c r="L402" s="2">
        <f t="shared" si="31"/>
        <v>2715.5458490566025</v>
      </c>
      <c r="M402" s="4">
        <f t="shared" si="32"/>
        <v>0.6</v>
      </c>
      <c r="N402" s="1">
        <f t="shared" si="33"/>
        <v>45715</v>
      </c>
      <c r="O402" s="3">
        <f>(Table13[[#This Row],[Units_Sold]]*Table13[[#This Row],[Unit_Price_Cleaned]]*(1-Table13[[#This Row],[Discount Cleaned]]))</f>
        <v>2172.436679245282</v>
      </c>
      <c r="P402" t="str">
        <f t="shared" si="34"/>
        <v>Profit</v>
      </c>
      <c r="Q402" t="str" cm="1">
        <f t="array" ref="Q402">IF(K402="",INDEX($K$2:$K$2501,MATCH(MAX(COUNTIF($K$2:$K$2501,$K$2:$K$2501)),COUNTIF($K$2:$K$2501,$K$2:$K$2501),0)),K402)</f>
        <v>B2B</v>
      </c>
    </row>
    <row r="403" spans="1:17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 s="3">
        <f t="shared" si="30"/>
        <v>-5431.091698113205</v>
      </c>
      <c r="I403" s="1">
        <v>45570</v>
      </c>
      <c r="J403" t="s">
        <v>56</v>
      </c>
      <c r="L403" s="2">
        <f t="shared" si="31"/>
        <v>2715.5458490566025</v>
      </c>
      <c r="M403" s="4">
        <f t="shared" si="32"/>
        <v>0.6</v>
      </c>
      <c r="N403" s="1">
        <f t="shared" si="33"/>
        <v>45570</v>
      </c>
      <c r="O403" s="3">
        <f>(Table13[[#This Row],[Units_Sold]]*Table13[[#This Row],[Unit_Price_Cleaned]]*(1-Table13[[#This Row],[Discount Cleaned]]))</f>
        <v>-2172.436679245282</v>
      </c>
      <c r="P403" t="str">
        <f t="shared" si="34"/>
        <v>Loss</v>
      </c>
      <c r="Q403" t="str" cm="1">
        <f t="array" ref="Q403">IF(K403="",INDEX($K$2:$K$2501,MATCH(MAX(COUNTIF($K$2:$K$2501,$K$2:$K$2501)),COUNTIF($K$2:$K$2501,$K$2:$K$2501),0)),K403)</f>
        <v>B2B</v>
      </c>
    </row>
    <row r="404" spans="1:17" x14ac:dyDescent="0.3">
      <c r="A404">
        <v>1402</v>
      </c>
      <c r="B404" t="s">
        <v>454</v>
      </c>
      <c r="C404" t="s">
        <v>29</v>
      </c>
      <c r="D404" t="s">
        <v>120</v>
      </c>
      <c r="E404">
        <v>2</v>
      </c>
      <c r="F404">
        <v>603.51</v>
      </c>
      <c r="G404">
        <v>1.23</v>
      </c>
      <c r="H404" s="3">
        <f t="shared" si="30"/>
        <v>1207.02</v>
      </c>
      <c r="I404" s="1">
        <v>45673</v>
      </c>
      <c r="J404" t="s">
        <v>56</v>
      </c>
      <c r="K404" t="s">
        <v>16</v>
      </c>
      <c r="L404" s="2">
        <f t="shared" si="31"/>
        <v>603.51</v>
      </c>
      <c r="M404" s="4">
        <f t="shared" si="32"/>
        <v>1.23</v>
      </c>
      <c r="N404" s="1">
        <f t="shared" si="33"/>
        <v>45673</v>
      </c>
      <c r="O404" s="3">
        <f>(Table13[[#This Row],[Units_Sold]]*Table13[[#This Row],[Unit_Price_Cleaned]]*(1-Table13[[#This Row],[Discount Cleaned]]))</f>
        <v>-277.6146</v>
      </c>
      <c r="P404" t="str">
        <f t="shared" si="34"/>
        <v>Loss</v>
      </c>
      <c r="Q404" t="str" cm="1">
        <f t="array" ref="Q404">IF(K404="",INDEX($K$2:$K$2501,MATCH(MAX(COUNTIF($K$2:$K$2501,$K$2:$K$2501)),COUNTIF($K$2:$K$2501,$K$2:$K$2501),0)),K404)</f>
        <v>B2C</v>
      </c>
    </row>
    <row r="405" spans="1:17" x14ac:dyDescent="0.3">
      <c r="A405">
        <v>1403</v>
      </c>
      <c r="B405" t="s">
        <v>455</v>
      </c>
      <c r="C405" t="s">
        <v>33</v>
      </c>
      <c r="D405" t="s">
        <v>34</v>
      </c>
      <c r="E405">
        <v>2</v>
      </c>
      <c r="H405" s="3">
        <f t="shared" si="30"/>
        <v>4974.07923076923</v>
      </c>
      <c r="I405" s="1">
        <v>45828</v>
      </c>
      <c r="J405" t="s">
        <v>56</v>
      </c>
      <c r="L405" s="2">
        <f t="shared" si="31"/>
        <v>2487.039615384615</v>
      </c>
      <c r="M405" s="4">
        <f t="shared" si="32"/>
        <v>0.6</v>
      </c>
      <c r="N405" s="1">
        <f t="shared" si="33"/>
        <v>45828</v>
      </c>
      <c r="O405" s="3">
        <f>(Table13[[#This Row],[Units_Sold]]*Table13[[#This Row],[Unit_Price_Cleaned]]*(1-Table13[[#This Row],[Discount Cleaned]]))</f>
        <v>1989.631692307692</v>
      </c>
      <c r="P405" t="str">
        <f t="shared" si="34"/>
        <v>Profit</v>
      </c>
      <c r="Q405" t="str" cm="1">
        <f t="array" ref="Q405">IF(K405="",INDEX($K$2:$K$2501,MATCH(MAX(COUNTIF($K$2:$K$2501,$K$2:$K$2501)),COUNTIF($K$2:$K$2501,$K$2:$K$2501),0)),K405)</f>
        <v>B2B</v>
      </c>
    </row>
    <row r="406" spans="1:17" x14ac:dyDescent="0.3">
      <c r="A406">
        <v>1404</v>
      </c>
      <c r="B406" t="s">
        <v>456</v>
      </c>
      <c r="C406" t="s">
        <v>29</v>
      </c>
      <c r="D406" t="s">
        <v>120</v>
      </c>
      <c r="E406">
        <v>2</v>
      </c>
      <c r="F406">
        <v>3074.59</v>
      </c>
      <c r="H406" s="3">
        <f t="shared" si="30"/>
        <v>6149.18</v>
      </c>
      <c r="J406" t="s">
        <v>40</v>
      </c>
      <c r="K406" t="s">
        <v>16</v>
      </c>
      <c r="L406" s="2">
        <f t="shared" si="31"/>
        <v>3074.59</v>
      </c>
      <c r="M406" s="4">
        <f t="shared" si="32"/>
        <v>0.6</v>
      </c>
      <c r="N406" s="1">
        <f t="shared" si="33"/>
        <v>45782</v>
      </c>
      <c r="O406" s="3">
        <f>(Table13[[#This Row],[Units_Sold]]*Table13[[#This Row],[Unit_Price_Cleaned]]*(1-Table13[[#This Row],[Discount Cleaned]]))</f>
        <v>2459.6720000000005</v>
      </c>
      <c r="P406" t="str">
        <f t="shared" si="34"/>
        <v>Profit</v>
      </c>
      <c r="Q406" t="str" cm="1">
        <f t="array" ref="Q406">IF(K406="",INDEX($K$2:$K$2501,MATCH(MAX(COUNTIF($K$2:$K$2501,$K$2:$K$2501)),COUNTIF($K$2:$K$2501,$K$2:$K$2501),0)),K406)</f>
        <v>B2C</v>
      </c>
    </row>
    <row r="407" spans="1:17" x14ac:dyDescent="0.3">
      <c r="A407">
        <v>1405</v>
      </c>
      <c r="B407" t="s">
        <v>457</v>
      </c>
      <c r="C407" t="s">
        <v>38</v>
      </c>
      <c r="D407" t="s">
        <v>59</v>
      </c>
      <c r="E407">
        <v>2</v>
      </c>
      <c r="G407">
        <v>0.56000000000000005</v>
      </c>
      <c r="H407" s="3">
        <f t="shared" si="30"/>
        <v>5608.5303846153838</v>
      </c>
      <c r="I407" s="1">
        <v>45417</v>
      </c>
      <c r="J407" t="s">
        <v>22</v>
      </c>
      <c r="K407" t="s">
        <v>16</v>
      </c>
      <c r="L407" s="2">
        <f t="shared" si="31"/>
        <v>2804.2651923076919</v>
      </c>
      <c r="M407" s="4">
        <f t="shared" si="32"/>
        <v>0.56000000000000005</v>
      </c>
      <c r="N407" s="1">
        <f t="shared" si="33"/>
        <v>45417</v>
      </c>
      <c r="O407" s="3">
        <f>(Table13[[#This Row],[Units_Sold]]*Table13[[#This Row],[Unit_Price_Cleaned]]*(1-Table13[[#This Row],[Discount Cleaned]]))</f>
        <v>2467.7533692307684</v>
      </c>
      <c r="P407" t="str">
        <f t="shared" si="34"/>
        <v>Profit</v>
      </c>
      <c r="Q407" t="str" cm="1">
        <f t="array" ref="Q407">IF(K407="",INDEX($K$2:$K$2501,MATCH(MAX(COUNTIF($K$2:$K$2501,$K$2:$K$2501)),COUNTIF($K$2:$K$2501,$K$2:$K$2501),0)),K407)</f>
        <v>B2C</v>
      </c>
    </row>
    <row r="408" spans="1:17" x14ac:dyDescent="0.3">
      <c r="A408">
        <v>1406</v>
      </c>
      <c r="B408" t="s">
        <v>458</v>
      </c>
      <c r="C408" t="s">
        <v>38</v>
      </c>
      <c r="D408" t="s">
        <v>59</v>
      </c>
      <c r="E408">
        <v>2</v>
      </c>
      <c r="H408" s="3">
        <f t="shared" si="30"/>
        <v>5608.5303846153838</v>
      </c>
      <c r="I408" s="1">
        <v>45675</v>
      </c>
      <c r="J408" t="s">
        <v>40</v>
      </c>
      <c r="L408" s="2">
        <f t="shared" si="31"/>
        <v>2804.2651923076919</v>
      </c>
      <c r="M408" s="4">
        <f t="shared" si="32"/>
        <v>0.6</v>
      </c>
      <c r="N408" s="1">
        <f t="shared" si="33"/>
        <v>45675</v>
      </c>
      <c r="O408" s="3">
        <f>(Table13[[#This Row],[Units_Sold]]*Table13[[#This Row],[Unit_Price_Cleaned]]*(1-Table13[[#This Row],[Discount Cleaned]]))</f>
        <v>2243.4121538461536</v>
      </c>
      <c r="P408" t="str">
        <f t="shared" si="34"/>
        <v>Profit</v>
      </c>
      <c r="Q408" t="str" cm="1">
        <f t="array" ref="Q408">IF(K408="",INDEX($K$2:$K$2501,MATCH(MAX(COUNTIF($K$2:$K$2501,$K$2:$K$2501)),COUNTIF($K$2:$K$2501,$K$2:$K$2501),0)),K408)</f>
        <v>B2B</v>
      </c>
    </row>
    <row r="409" spans="1:17" x14ac:dyDescent="0.3">
      <c r="A409">
        <v>1407</v>
      </c>
      <c r="B409" t="s">
        <v>459</v>
      </c>
      <c r="C409" t="s">
        <v>33</v>
      </c>
      <c r="D409" t="s">
        <v>82</v>
      </c>
      <c r="E409">
        <v>2</v>
      </c>
      <c r="F409">
        <v>4977.8100000000004</v>
      </c>
      <c r="H409" s="3">
        <f t="shared" si="30"/>
        <v>9955.6200000000008</v>
      </c>
      <c r="I409" s="1">
        <v>45823</v>
      </c>
      <c r="J409" t="s">
        <v>18</v>
      </c>
      <c r="K409" t="s">
        <v>23</v>
      </c>
      <c r="L409" s="2">
        <f t="shared" si="31"/>
        <v>4977.8100000000004</v>
      </c>
      <c r="M409" s="4">
        <f t="shared" si="32"/>
        <v>0.6</v>
      </c>
      <c r="N409" s="1">
        <f t="shared" si="33"/>
        <v>45823</v>
      </c>
      <c r="O409" s="3">
        <f>(Table13[[#This Row],[Units_Sold]]*Table13[[#This Row],[Unit_Price_Cleaned]]*(1-Table13[[#This Row],[Discount Cleaned]]))</f>
        <v>3982.2480000000005</v>
      </c>
      <c r="P409" t="str">
        <f t="shared" si="34"/>
        <v>Profit</v>
      </c>
      <c r="Q409" t="str" cm="1">
        <f t="array" ref="Q409">IF(K409="",INDEX($K$2:$K$2501,MATCH(MAX(COUNTIF($K$2:$K$2501,$K$2:$K$2501)),COUNTIF($K$2:$K$2501,$K$2:$K$2501),0)),K409)</f>
        <v>B2B</v>
      </c>
    </row>
    <row r="410" spans="1:17" x14ac:dyDescent="0.3">
      <c r="A410">
        <v>1408</v>
      </c>
      <c r="B410" t="s">
        <v>460</v>
      </c>
      <c r="C410" t="s">
        <v>25</v>
      </c>
      <c r="D410" t="s">
        <v>86</v>
      </c>
      <c r="E410">
        <v>2</v>
      </c>
      <c r="H410" s="3">
        <f t="shared" si="30"/>
        <v>5003.0619999999999</v>
      </c>
      <c r="I410" s="1">
        <v>45539</v>
      </c>
      <c r="J410" t="s">
        <v>22</v>
      </c>
      <c r="K410" t="s">
        <v>23</v>
      </c>
      <c r="L410" s="2">
        <f t="shared" si="31"/>
        <v>2501.5309999999999</v>
      </c>
      <c r="M410" s="4">
        <f t="shared" si="32"/>
        <v>0.6</v>
      </c>
      <c r="N410" s="1">
        <f t="shared" si="33"/>
        <v>45539</v>
      </c>
      <c r="O410" s="3">
        <f>(Table13[[#This Row],[Units_Sold]]*Table13[[#This Row],[Unit_Price_Cleaned]]*(1-Table13[[#This Row],[Discount Cleaned]]))</f>
        <v>2001.2248</v>
      </c>
      <c r="P410" t="str">
        <f t="shared" si="34"/>
        <v>Profit</v>
      </c>
      <c r="Q410" t="str" cm="1">
        <f t="array" ref="Q410">IF(K410="",INDEX($K$2:$K$2501,MATCH(MAX(COUNTIF($K$2:$K$2501,$K$2:$K$2501)),COUNTIF($K$2:$K$2501,$K$2:$K$2501),0)),K410)</f>
        <v>B2B</v>
      </c>
    </row>
    <row r="411" spans="1:17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 s="3">
        <f t="shared" si="30"/>
        <v>14776.74</v>
      </c>
      <c r="J411" t="s">
        <v>46</v>
      </c>
      <c r="K411" t="s">
        <v>16</v>
      </c>
      <c r="L411" s="2">
        <f t="shared" si="31"/>
        <v>2462.79</v>
      </c>
      <c r="M411" s="4">
        <f t="shared" si="32"/>
        <v>0.6</v>
      </c>
      <c r="N411" s="1">
        <f t="shared" si="33"/>
        <v>45782</v>
      </c>
      <c r="O411" s="3">
        <f>(Table13[[#This Row],[Units_Sold]]*Table13[[#This Row],[Unit_Price_Cleaned]]*(1-Table13[[#This Row],[Discount Cleaned]]))</f>
        <v>5910.6959999999999</v>
      </c>
      <c r="P411" t="str">
        <f t="shared" si="34"/>
        <v>Profit</v>
      </c>
      <c r="Q411" t="str" cm="1">
        <f t="array" ref="Q411">IF(K411="",INDEX($K$2:$K$2501,MATCH(MAX(COUNTIF($K$2:$K$2501,$K$2:$K$2501)),COUNTIF($K$2:$K$2501,$K$2:$K$2501),0)),K411)</f>
        <v>B2C</v>
      </c>
    </row>
    <row r="412" spans="1:17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 s="3">
        <f t="shared" si="30"/>
        <v>26674.86</v>
      </c>
      <c r="J412" t="s">
        <v>15</v>
      </c>
      <c r="L412" s="2">
        <f t="shared" si="31"/>
        <v>4445.8100000000004</v>
      </c>
      <c r="M412" s="4">
        <f t="shared" si="32"/>
        <v>0.6</v>
      </c>
      <c r="N412" s="1">
        <f t="shared" si="33"/>
        <v>45782</v>
      </c>
      <c r="O412" s="3">
        <f>(Table13[[#This Row],[Units_Sold]]*Table13[[#This Row],[Unit_Price_Cleaned]]*(1-Table13[[#This Row],[Discount Cleaned]]))</f>
        <v>10669.944000000001</v>
      </c>
      <c r="P412" t="str">
        <f t="shared" si="34"/>
        <v>Profit</v>
      </c>
      <c r="Q412" t="str" cm="1">
        <f t="array" ref="Q412">IF(K412="",INDEX($K$2:$K$2501,MATCH(MAX(COUNTIF($K$2:$K$2501,$K$2:$K$2501)),COUNTIF($K$2:$K$2501,$K$2:$K$2501),0)),K412)</f>
        <v>B2B</v>
      </c>
    </row>
    <row r="413" spans="1:17" x14ac:dyDescent="0.3">
      <c r="A413">
        <v>1411</v>
      </c>
      <c r="B413" t="s">
        <v>463</v>
      </c>
      <c r="C413" t="s">
        <v>38</v>
      </c>
      <c r="D413" t="s">
        <v>63</v>
      </c>
      <c r="E413">
        <v>2</v>
      </c>
      <c r="F413">
        <v>4946.7700000000004</v>
      </c>
      <c r="H413" s="3">
        <f t="shared" si="30"/>
        <v>9893.5400000000009</v>
      </c>
      <c r="J413" t="s">
        <v>22</v>
      </c>
      <c r="L413" s="2">
        <f t="shared" si="31"/>
        <v>4946.7700000000004</v>
      </c>
      <c r="M413" s="4">
        <f t="shared" si="32"/>
        <v>0.6</v>
      </c>
      <c r="N413" s="1">
        <f t="shared" si="33"/>
        <v>45782</v>
      </c>
      <c r="O413" s="3">
        <f>(Table13[[#This Row],[Units_Sold]]*Table13[[#This Row],[Unit_Price_Cleaned]]*(1-Table13[[#This Row],[Discount Cleaned]]))</f>
        <v>3957.4160000000006</v>
      </c>
      <c r="P413" t="str">
        <f t="shared" si="34"/>
        <v>Profit</v>
      </c>
      <c r="Q413" t="str" cm="1">
        <f t="array" ref="Q413">IF(K413="",INDEX($K$2:$K$2501,MATCH(MAX(COUNTIF($K$2:$K$2501,$K$2:$K$2501)),COUNTIF($K$2:$K$2501,$K$2:$K$2501),0)),K413)</f>
        <v>B2B</v>
      </c>
    </row>
    <row r="414" spans="1:17" x14ac:dyDescent="0.3">
      <c r="A414">
        <v>1412</v>
      </c>
      <c r="B414" t="s">
        <v>464</v>
      </c>
      <c r="C414" t="s">
        <v>25</v>
      </c>
      <c r="D414" t="s">
        <v>66</v>
      </c>
      <c r="E414">
        <v>2</v>
      </c>
      <c r="H414" s="3">
        <f t="shared" si="30"/>
        <v>5145.5528000000013</v>
      </c>
      <c r="I414" s="1">
        <v>45533</v>
      </c>
      <c r="J414" t="s">
        <v>56</v>
      </c>
      <c r="K414" t="s">
        <v>16</v>
      </c>
      <c r="L414" s="2">
        <f t="shared" si="31"/>
        <v>2572.7764000000006</v>
      </c>
      <c r="M414" s="4">
        <f t="shared" si="32"/>
        <v>0.6</v>
      </c>
      <c r="N414" s="1">
        <f t="shared" si="33"/>
        <v>45533</v>
      </c>
      <c r="O414" s="3">
        <f>(Table13[[#This Row],[Units_Sold]]*Table13[[#This Row],[Unit_Price_Cleaned]]*(1-Table13[[#This Row],[Discount Cleaned]]))</f>
        <v>2058.2211200000006</v>
      </c>
      <c r="P414" t="str">
        <f t="shared" si="34"/>
        <v>Profit</v>
      </c>
      <c r="Q414" t="str" cm="1">
        <f t="array" ref="Q414">IF(K414="",INDEX($K$2:$K$2501,MATCH(MAX(COUNTIF($K$2:$K$2501,$K$2:$K$2501)),COUNTIF($K$2:$K$2501,$K$2:$K$2501),0)),K414)</f>
        <v>B2C</v>
      </c>
    </row>
    <row r="415" spans="1:17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 s="3">
        <f t="shared" si="30"/>
        <v>2804.2651923076919</v>
      </c>
      <c r="I415" s="1">
        <v>45812</v>
      </c>
      <c r="J415" t="s">
        <v>18</v>
      </c>
      <c r="K415" t="s">
        <v>16</v>
      </c>
      <c r="L415" s="2">
        <f t="shared" si="31"/>
        <v>2804.2651923076919</v>
      </c>
      <c r="M415" s="4">
        <f t="shared" si="32"/>
        <v>0.17</v>
      </c>
      <c r="N415" s="1">
        <f t="shared" si="33"/>
        <v>45812</v>
      </c>
      <c r="O415" s="3">
        <f>(Table13[[#This Row],[Units_Sold]]*Table13[[#This Row],[Unit_Price_Cleaned]]*(1-Table13[[#This Row],[Discount Cleaned]]))</f>
        <v>2327.5401096153842</v>
      </c>
      <c r="P415" t="str">
        <f t="shared" si="34"/>
        <v>Profit</v>
      </c>
      <c r="Q415" t="str" cm="1">
        <f t="array" ref="Q415">IF(K415="",INDEX($K$2:$K$2501,MATCH(MAX(COUNTIF($K$2:$K$2501,$K$2:$K$2501)),COUNTIF($K$2:$K$2501,$K$2:$K$2501),0)),K415)</f>
        <v>B2C</v>
      </c>
    </row>
    <row r="416" spans="1:17" x14ac:dyDescent="0.3">
      <c r="A416">
        <v>1414</v>
      </c>
      <c r="B416" t="s">
        <v>466</v>
      </c>
      <c r="C416" t="s">
        <v>33</v>
      </c>
      <c r="D416" t="s">
        <v>44</v>
      </c>
      <c r="E416">
        <v>2</v>
      </c>
      <c r="H416" s="3">
        <f t="shared" si="30"/>
        <v>5683.5261224489814</v>
      </c>
      <c r="I416" s="1">
        <v>45846</v>
      </c>
      <c r="J416" t="s">
        <v>18</v>
      </c>
      <c r="L416" s="2">
        <f t="shared" si="31"/>
        <v>2841.7630612244907</v>
      </c>
      <c r="M416" s="4">
        <f t="shared" si="32"/>
        <v>0.6</v>
      </c>
      <c r="N416" s="1">
        <f t="shared" si="33"/>
        <v>45846</v>
      </c>
      <c r="O416" s="3">
        <f>(Table13[[#This Row],[Units_Sold]]*Table13[[#This Row],[Unit_Price_Cleaned]]*(1-Table13[[#This Row],[Discount Cleaned]]))</f>
        <v>2273.4104489795927</v>
      </c>
      <c r="P416" t="str">
        <f t="shared" si="34"/>
        <v>Profit</v>
      </c>
      <c r="Q416" t="str" cm="1">
        <f t="array" ref="Q416">IF(K416="",INDEX($K$2:$K$2501,MATCH(MAX(COUNTIF($K$2:$K$2501,$K$2:$K$2501)),COUNTIF($K$2:$K$2501,$K$2:$K$2501),0)),K416)</f>
        <v>B2B</v>
      </c>
    </row>
    <row r="417" spans="1:17" x14ac:dyDescent="0.3">
      <c r="A417">
        <v>1415</v>
      </c>
      <c r="B417" t="s">
        <v>467</v>
      </c>
      <c r="C417" t="s">
        <v>20</v>
      </c>
      <c r="D417" t="s">
        <v>21</v>
      </c>
      <c r="E417">
        <v>2</v>
      </c>
      <c r="F417">
        <v>3149</v>
      </c>
      <c r="H417" s="3">
        <f t="shared" si="30"/>
        <v>6298</v>
      </c>
      <c r="J417" t="s">
        <v>40</v>
      </c>
      <c r="L417" s="2">
        <f t="shared" si="31"/>
        <v>3149</v>
      </c>
      <c r="M417" s="4">
        <f t="shared" si="32"/>
        <v>0.6</v>
      </c>
      <c r="N417" s="1">
        <f t="shared" si="33"/>
        <v>45782</v>
      </c>
      <c r="O417" s="3">
        <f>(Table13[[#This Row],[Units_Sold]]*Table13[[#This Row],[Unit_Price_Cleaned]]*(1-Table13[[#This Row],[Discount Cleaned]]))</f>
        <v>2519.2000000000003</v>
      </c>
      <c r="P417" t="str">
        <f t="shared" si="34"/>
        <v>Profit</v>
      </c>
      <c r="Q417" t="str" cm="1">
        <f t="array" ref="Q417">IF(K417="",INDEX($K$2:$K$2501,MATCH(MAX(COUNTIF($K$2:$K$2501,$K$2:$K$2501)),COUNTIF($K$2:$K$2501,$K$2:$K$2501),0)),K417)</f>
        <v>B2B</v>
      </c>
    </row>
    <row r="418" spans="1:17" x14ac:dyDescent="0.3">
      <c r="A418">
        <v>1416</v>
      </c>
      <c r="B418" t="s">
        <v>468</v>
      </c>
      <c r="C418" t="s">
        <v>29</v>
      </c>
      <c r="D418" t="s">
        <v>120</v>
      </c>
      <c r="E418">
        <v>2</v>
      </c>
      <c r="F418">
        <v>3527.15</v>
      </c>
      <c r="H418" s="3">
        <f t="shared" si="30"/>
        <v>7054.3</v>
      </c>
      <c r="I418" s="1">
        <v>45253</v>
      </c>
      <c r="J418" t="s">
        <v>56</v>
      </c>
      <c r="L418" s="2">
        <f t="shared" si="31"/>
        <v>3527.15</v>
      </c>
      <c r="M418" s="4">
        <f t="shared" si="32"/>
        <v>0.6</v>
      </c>
      <c r="N418" s="1">
        <f t="shared" si="33"/>
        <v>45253</v>
      </c>
      <c r="O418" s="3">
        <f>(Table13[[#This Row],[Units_Sold]]*Table13[[#This Row],[Unit_Price_Cleaned]]*(1-Table13[[#This Row],[Discount Cleaned]]))</f>
        <v>2821.7200000000003</v>
      </c>
      <c r="P418" t="str">
        <f t="shared" si="34"/>
        <v>Profit</v>
      </c>
      <c r="Q418" t="str" cm="1">
        <f t="array" ref="Q418">IF(K418="",INDEX($K$2:$K$2501,MATCH(MAX(COUNTIF($K$2:$K$2501,$K$2:$K$2501)),COUNTIF($K$2:$K$2501,$K$2:$K$2501),0)),K418)</f>
        <v>B2B</v>
      </c>
    </row>
    <row r="419" spans="1:17" x14ac:dyDescent="0.3">
      <c r="A419">
        <v>1417</v>
      </c>
      <c r="B419" t="s">
        <v>469</v>
      </c>
      <c r="C419" t="s">
        <v>38</v>
      </c>
      <c r="D419" t="s">
        <v>63</v>
      </c>
      <c r="E419">
        <v>2</v>
      </c>
      <c r="H419" s="3">
        <f t="shared" si="30"/>
        <v>5690.4839344262318</v>
      </c>
      <c r="I419" s="1">
        <v>45515</v>
      </c>
      <c r="J419" t="s">
        <v>40</v>
      </c>
      <c r="K419" t="s">
        <v>23</v>
      </c>
      <c r="L419" s="2">
        <f t="shared" si="31"/>
        <v>2845.2419672131159</v>
      </c>
      <c r="M419" s="4">
        <f t="shared" si="32"/>
        <v>0.6</v>
      </c>
      <c r="N419" s="1">
        <f t="shared" si="33"/>
        <v>45515</v>
      </c>
      <c r="O419" s="3">
        <f>(Table13[[#This Row],[Units_Sold]]*Table13[[#This Row],[Unit_Price_Cleaned]]*(1-Table13[[#This Row],[Discount Cleaned]]))</f>
        <v>2276.193573770493</v>
      </c>
      <c r="P419" t="str">
        <f t="shared" si="34"/>
        <v>Profit</v>
      </c>
      <c r="Q419" t="str" cm="1">
        <f t="array" ref="Q419">IF(K419="",INDEX($K$2:$K$2501,MATCH(MAX(COUNTIF($K$2:$K$2501,$K$2:$K$2501)),COUNTIF($K$2:$K$2501,$K$2:$K$2501),0)),K419)</f>
        <v>B2B</v>
      </c>
    </row>
    <row r="420" spans="1:17" x14ac:dyDescent="0.3">
      <c r="A420">
        <v>1418</v>
      </c>
      <c r="B420" t="s">
        <v>470</v>
      </c>
      <c r="C420" t="s">
        <v>38</v>
      </c>
      <c r="D420" t="s">
        <v>91</v>
      </c>
      <c r="E420">
        <v>2</v>
      </c>
      <c r="G420">
        <v>0.13</v>
      </c>
      <c r="H420" s="3">
        <f t="shared" si="30"/>
        <v>5737.5536363636356</v>
      </c>
      <c r="I420" s="1">
        <v>45507</v>
      </c>
      <c r="J420" t="s">
        <v>40</v>
      </c>
      <c r="K420" t="s">
        <v>23</v>
      </c>
      <c r="L420" s="2">
        <f t="shared" si="31"/>
        <v>2868.7768181818178</v>
      </c>
      <c r="M420" s="4">
        <f t="shared" si="32"/>
        <v>0.13</v>
      </c>
      <c r="N420" s="1">
        <f t="shared" si="33"/>
        <v>45507</v>
      </c>
      <c r="O420" s="3">
        <f>(Table13[[#This Row],[Units_Sold]]*Table13[[#This Row],[Unit_Price_Cleaned]]*(1-Table13[[#This Row],[Discount Cleaned]]))</f>
        <v>4991.6716636363626</v>
      </c>
      <c r="P420" t="str">
        <f t="shared" si="34"/>
        <v>Profit</v>
      </c>
      <c r="Q420" t="str" cm="1">
        <f t="array" ref="Q420">IF(K420="",INDEX($K$2:$K$2501,MATCH(MAX(COUNTIF($K$2:$K$2501,$K$2:$K$2501)),COUNTIF($K$2:$K$2501,$K$2:$K$2501),0)),K420)</f>
        <v>B2B</v>
      </c>
    </row>
    <row r="421" spans="1:17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 s="3">
        <f t="shared" si="30"/>
        <v>4967.1688000000004</v>
      </c>
      <c r="I421" s="1">
        <v>45580</v>
      </c>
      <c r="J421" t="s">
        <v>56</v>
      </c>
      <c r="K421" t="s">
        <v>23</v>
      </c>
      <c r="L421" s="2">
        <f t="shared" si="31"/>
        <v>2483.5844000000002</v>
      </c>
      <c r="M421" s="4">
        <f t="shared" si="32"/>
        <v>0.6</v>
      </c>
      <c r="N421" s="1">
        <f t="shared" si="33"/>
        <v>45580</v>
      </c>
      <c r="O421" s="3">
        <f>(Table13[[#This Row],[Units_Sold]]*Table13[[#This Row],[Unit_Price_Cleaned]]*(1-Table13[[#This Row],[Discount Cleaned]]))</f>
        <v>1986.8675200000002</v>
      </c>
      <c r="P421" t="str">
        <f t="shared" si="34"/>
        <v>Profit</v>
      </c>
      <c r="Q421" t="str" cm="1">
        <f t="array" ref="Q421">IF(K421="",INDEX($K$2:$K$2501,MATCH(MAX(COUNTIF($K$2:$K$2501,$K$2:$K$2501)),COUNTIF($K$2:$K$2501,$K$2:$K$2501),0)),K421)</f>
        <v>B2B</v>
      </c>
    </row>
    <row r="422" spans="1:17" x14ac:dyDescent="0.3">
      <c r="A422">
        <v>1420</v>
      </c>
      <c r="B422" t="s">
        <v>472</v>
      </c>
      <c r="C422" t="s">
        <v>25</v>
      </c>
      <c r="D422" t="s">
        <v>26</v>
      </c>
      <c r="E422">
        <v>2</v>
      </c>
      <c r="G422">
        <v>0.96</v>
      </c>
      <c r="H422" s="3">
        <f t="shared" si="30"/>
        <v>5777.7428571428572</v>
      </c>
      <c r="I422" s="1">
        <v>45814</v>
      </c>
      <c r="J422" t="s">
        <v>18</v>
      </c>
      <c r="K422" t="s">
        <v>23</v>
      </c>
      <c r="L422" s="2">
        <f t="shared" si="31"/>
        <v>2888.8714285714286</v>
      </c>
      <c r="M422" s="4">
        <f t="shared" si="32"/>
        <v>0.96</v>
      </c>
      <c r="N422" s="1">
        <f t="shared" si="33"/>
        <v>45814</v>
      </c>
      <c r="O422" s="3">
        <f>(Table13[[#This Row],[Units_Sold]]*Table13[[#This Row],[Unit_Price_Cleaned]]*(1-Table13[[#This Row],[Discount Cleaned]]))</f>
        <v>231.10971428571449</v>
      </c>
      <c r="P422" t="str">
        <f t="shared" si="34"/>
        <v>Loss</v>
      </c>
      <c r="Q422" t="str" cm="1">
        <f t="array" ref="Q422">IF(K422="",INDEX($K$2:$K$2501,MATCH(MAX(COUNTIF($K$2:$K$2501,$K$2:$K$2501)),COUNTIF($K$2:$K$2501,$K$2:$K$2501),0)),K422)</f>
        <v>B2B</v>
      </c>
    </row>
    <row r="423" spans="1:17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 s="3">
        <f t="shared" si="30"/>
        <v>0</v>
      </c>
      <c r="I423" s="1">
        <v>45853</v>
      </c>
      <c r="J423" t="s">
        <v>18</v>
      </c>
      <c r="L423" s="2">
        <f t="shared" si="31"/>
        <v>2715.5458490566025</v>
      </c>
      <c r="M423" s="4">
        <f t="shared" si="32"/>
        <v>0.6</v>
      </c>
      <c r="N423" s="1">
        <f t="shared" si="33"/>
        <v>45853</v>
      </c>
      <c r="O423" s="3">
        <f>(Table13[[#This Row],[Units_Sold]]*Table13[[#This Row],[Unit_Price_Cleaned]]*(1-Table13[[#This Row],[Discount Cleaned]]))</f>
        <v>0</v>
      </c>
      <c r="P423" t="str">
        <f t="shared" si="34"/>
        <v>Loss</v>
      </c>
      <c r="Q423" t="str" cm="1">
        <f t="array" ref="Q423">IF(K423="",INDEX($K$2:$K$2501,MATCH(MAX(COUNTIF($K$2:$K$2501,$K$2:$K$2501)),COUNTIF($K$2:$K$2501,$K$2:$K$2501),0)),K423)</f>
        <v>B2B</v>
      </c>
    </row>
    <row r="424" spans="1:17" x14ac:dyDescent="0.3">
      <c r="A424">
        <v>1422</v>
      </c>
      <c r="B424" t="s">
        <v>474</v>
      </c>
      <c r="C424" t="s">
        <v>13</v>
      </c>
      <c r="D424" t="s">
        <v>36</v>
      </c>
      <c r="E424">
        <v>2</v>
      </c>
      <c r="F424">
        <v>4466.49</v>
      </c>
      <c r="H424" s="3">
        <f t="shared" si="30"/>
        <v>8932.98</v>
      </c>
      <c r="I424" s="1">
        <v>45726</v>
      </c>
      <c r="J424" t="s">
        <v>18</v>
      </c>
      <c r="K424" t="s">
        <v>23</v>
      </c>
      <c r="L424" s="2">
        <f t="shared" si="31"/>
        <v>4466.49</v>
      </c>
      <c r="M424" s="4">
        <f t="shared" si="32"/>
        <v>0.6</v>
      </c>
      <c r="N424" s="1">
        <f t="shared" si="33"/>
        <v>45726</v>
      </c>
      <c r="O424" s="3">
        <f>(Table13[[#This Row],[Units_Sold]]*Table13[[#This Row],[Unit_Price_Cleaned]]*(1-Table13[[#This Row],[Discount Cleaned]]))</f>
        <v>3573.192</v>
      </c>
      <c r="P424" t="str">
        <f t="shared" si="34"/>
        <v>Profit</v>
      </c>
      <c r="Q424" t="str" cm="1">
        <f t="array" ref="Q424">IF(K424="",INDEX($K$2:$K$2501,MATCH(MAX(COUNTIF($K$2:$K$2501,$K$2:$K$2501)),COUNTIF($K$2:$K$2501,$K$2:$K$2501),0)),K424)</f>
        <v>B2B</v>
      </c>
    </row>
    <row r="425" spans="1:17" x14ac:dyDescent="0.3">
      <c r="A425">
        <v>1423</v>
      </c>
      <c r="B425" t="s">
        <v>475</v>
      </c>
      <c r="C425" t="s">
        <v>20</v>
      </c>
      <c r="D425" t="s">
        <v>122</v>
      </c>
      <c r="E425">
        <v>2</v>
      </c>
      <c r="H425" s="3">
        <f t="shared" si="30"/>
        <v>5400.2526086956505</v>
      </c>
      <c r="I425" s="1">
        <v>45710</v>
      </c>
      <c r="J425" t="s">
        <v>56</v>
      </c>
      <c r="L425" s="2">
        <f t="shared" si="31"/>
        <v>2700.1263043478252</v>
      </c>
      <c r="M425" s="4">
        <f t="shared" si="32"/>
        <v>0.6</v>
      </c>
      <c r="N425" s="1">
        <f t="shared" si="33"/>
        <v>45710</v>
      </c>
      <c r="O425" s="3">
        <f>(Table13[[#This Row],[Units_Sold]]*Table13[[#This Row],[Unit_Price_Cleaned]]*(1-Table13[[#This Row],[Discount Cleaned]]))</f>
        <v>2160.1010434782602</v>
      </c>
      <c r="P425" t="str">
        <f t="shared" si="34"/>
        <v>Profit</v>
      </c>
      <c r="Q425" t="str" cm="1">
        <f t="array" ref="Q425">IF(K425="",INDEX($K$2:$K$2501,MATCH(MAX(COUNTIF($K$2:$K$2501,$K$2:$K$2501)),COUNTIF($K$2:$K$2501,$K$2:$K$2501),0)),K425)</f>
        <v>B2B</v>
      </c>
    </row>
    <row r="426" spans="1:17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 s="3">
        <f t="shared" si="30"/>
        <v>-538.6</v>
      </c>
      <c r="I426" s="1">
        <v>45661</v>
      </c>
      <c r="J426" t="s">
        <v>56</v>
      </c>
      <c r="L426" s="2">
        <f t="shared" si="31"/>
        <v>538.6</v>
      </c>
      <c r="M426" s="4">
        <f t="shared" si="32"/>
        <v>1.18</v>
      </c>
      <c r="N426" s="1">
        <f t="shared" si="33"/>
        <v>45661</v>
      </c>
      <c r="O426" s="3">
        <f>(Table13[[#This Row],[Units_Sold]]*Table13[[#This Row],[Unit_Price_Cleaned]]*(1-Table13[[#This Row],[Discount Cleaned]]))</f>
        <v>96.947999999999965</v>
      </c>
      <c r="P426" t="str">
        <f t="shared" si="34"/>
        <v>Loss</v>
      </c>
      <c r="Q426" t="str" cm="1">
        <f t="array" ref="Q426">IF(K426="",INDEX($K$2:$K$2501,MATCH(MAX(COUNTIF($K$2:$K$2501,$K$2:$K$2501)),COUNTIF($K$2:$K$2501,$K$2:$K$2501),0)),K426)</f>
        <v>B2B</v>
      </c>
    </row>
    <row r="427" spans="1:17" x14ac:dyDescent="0.3">
      <c r="A427">
        <v>1425</v>
      </c>
      <c r="B427" t="s">
        <v>477</v>
      </c>
      <c r="C427" t="s">
        <v>29</v>
      </c>
      <c r="D427" t="s">
        <v>141</v>
      </c>
      <c r="E427">
        <v>2</v>
      </c>
      <c r="F427">
        <v>1133.73</v>
      </c>
      <c r="H427" s="3">
        <f t="shared" si="30"/>
        <v>2267.46</v>
      </c>
      <c r="I427" s="1">
        <v>45656</v>
      </c>
      <c r="J427" t="s">
        <v>46</v>
      </c>
      <c r="K427" t="s">
        <v>23</v>
      </c>
      <c r="L427" s="2">
        <f t="shared" si="31"/>
        <v>1133.73</v>
      </c>
      <c r="M427" s="4">
        <f t="shared" si="32"/>
        <v>0.6</v>
      </c>
      <c r="N427" s="1">
        <f t="shared" si="33"/>
        <v>45656</v>
      </c>
      <c r="O427" s="3">
        <f>(Table13[[#This Row],[Units_Sold]]*Table13[[#This Row],[Unit_Price_Cleaned]]*(1-Table13[[#This Row],[Discount Cleaned]]))</f>
        <v>906.98400000000004</v>
      </c>
      <c r="P427" t="str">
        <f t="shared" si="34"/>
        <v>Profit</v>
      </c>
      <c r="Q427" t="str" cm="1">
        <f t="array" ref="Q427">IF(K427="",INDEX($K$2:$K$2501,MATCH(MAX(COUNTIF($K$2:$K$2501,$K$2:$K$2501)),COUNTIF($K$2:$K$2501,$K$2:$K$2501),0)),K427)</f>
        <v>B2B</v>
      </c>
    </row>
    <row r="428" spans="1:17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 s="3">
        <f t="shared" si="30"/>
        <v>-6350.34</v>
      </c>
      <c r="J428" t="s">
        <v>56</v>
      </c>
      <c r="K428" t="s">
        <v>23</v>
      </c>
      <c r="L428" s="2">
        <f t="shared" si="31"/>
        <v>3175.17</v>
      </c>
      <c r="M428" s="4">
        <f t="shared" si="32"/>
        <v>0.86</v>
      </c>
      <c r="N428" s="1">
        <f t="shared" si="33"/>
        <v>45782</v>
      </c>
      <c r="O428" s="3">
        <f>(Table13[[#This Row],[Units_Sold]]*Table13[[#This Row],[Unit_Price_Cleaned]]*(1-Table13[[#This Row],[Discount Cleaned]]))</f>
        <v>-889.0476000000001</v>
      </c>
      <c r="P428" t="str">
        <f t="shared" si="34"/>
        <v>Loss</v>
      </c>
      <c r="Q428" t="str" cm="1">
        <f t="array" ref="Q428">IF(K428="",INDEX($K$2:$K$2501,MATCH(MAX(COUNTIF($K$2:$K$2501,$K$2:$K$2501)),COUNTIF($K$2:$K$2501,$K$2:$K$2501),0)),K428)</f>
        <v>B2B</v>
      </c>
    </row>
    <row r="429" spans="1:17" x14ac:dyDescent="0.3">
      <c r="A429">
        <v>1427</v>
      </c>
      <c r="B429" t="s">
        <v>479</v>
      </c>
      <c r="C429" t="s">
        <v>25</v>
      </c>
      <c r="D429" t="s">
        <v>86</v>
      </c>
      <c r="E429">
        <v>2</v>
      </c>
      <c r="H429" s="3">
        <f t="shared" si="30"/>
        <v>5003.0619999999999</v>
      </c>
      <c r="I429" s="1">
        <v>45826</v>
      </c>
      <c r="J429" t="s">
        <v>22</v>
      </c>
      <c r="K429" t="s">
        <v>16</v>
      </c>
      <c r="L429" s="2">
        <f t="shared" si="31"/>
        <v>2501.5309999999999</v>
      </c>
      <c r="M429" s="4">
        <f t="shared" si="32"/>
        <v>0.6</v>
      </c>
      <c r="N429" s="1">
        <f t="shared" si="33"/>
        <v>45826</v>
      </c>
      <c r="O429" s="3">
        <f>(Table13[[#This Row],[Units_Sold]]*Table13[[#This Row],[Unit_Price_Cleaned]]*(1-Table13[[#This Row],[Discount Cleaned]]))</f>
        <v>2001.2248</v>
      </c>
      <c r="P429" t="str">
        <f t="shared" si="34"/>
        <v>Profit</v>
      </c>
      <c r="Q429" t="str" cm="1">
        <f t="array" ref="Q429">IF(K429="",INDEX($K$2:$K$2501,MATCH(MAX(COUNTIF($K$2:$K$2501,$K$2:$K$2501)),COUNTIF($K$2:$K$2501,$K$2:$K$2501),0)),K429)</f>
        <v>B2C</v>
      </c>
    </row>
    <row r="430" spans="1:17" x14ac:dyDescent="0.3">
      <c r="A430">
        <v>1015</v>
      </c>
      <c r="B430" t="s">
        <v>480</v>
      </c>
      <c r="C430" t="s">
        <v>13</v>
      </c>
      <c r="D430" t="s">
        <v>36</v>
      </c>
      <c r="E430">
        <v>2</v>
      </c>
      <c r="H430" s="3">
        <f t="shared" si="30"/>
        <v>5765.0093103448271</v>
      </c>
      <c r="I430" s="1">
        <v>45682</v>
      </c>
      <c r="J430" t="s">
        <v>15</v>
      </c>
      <c r="L430" s="2">
        <f t="shared" si="31"/>
        <v>2882.5046551724135</v>
      </c>
      <c r="M430" s="4">
        <f t="shared" si="32"/>
        <v>0.6</v>
      </c>
      <c r="N430" s="1">
        <f t="shared" si="33"/>
        <v>45682</v>
      </c>
      <c r="O430" s="3">
        <f>(Table13[[#This Row],[Units_Sold]]*Table13[[#This Row],[Unit_Price_Cleaned]]*(1-Table13[[#This Row],[Discount Cleaned]]))</f>
        <v>2306.0037241379309</v>
      </c>
      <c r="P430" t="str">
        <f t="shared" si="34"/>
        <v>Profit</v>
      </c>
      <c r="Q430" t="str" cm="1">
        <f t="array" ref="Q430">IF(K430="",INDEX($K$2:$K$2501,MATCH(MAX(COUNTIF($K$2:$K$2501,$K$2:$K$2501)),COUNTIF($K$2:$K$2501,$K$2:$K$2501),0)),K430)</f>
        <v>B2B</v>
      </c>
    </row>
    <row r="431" spans="1:17" x14ac:dyDescent="0.3">
      <c r="A431">
        <v>1429</v>
      </c>
      <c r="B431" t="s">
        <v>481</v>
      </c>
      <c r="C431" t="s">
        <v>38</v>
      </c>
      <c r="D431" t="s">
        <v>91</v>
      </c>
      <c r="E431">
        <v>2</v>
      </c>
      <c r="F431">
        <v>3292.01</v>
      </c>
      <c r="H431" s="3">
        <f t="shared" si="30"/>
        <v>6584.02</v>
      </c>
      <c r="I431" s="1">
        <v>45568</v>
      </c>
      <c r="J431" t="s">
        <v>15</v>
      </c>
      <c r="K431" t="s">
        <v>23</v>
      </c>
      <c r="L431" s="2">
        <f t="shared" si="31"/>
        <v>3292.01</v>
      </c>
      <c r="M431" s="4">
        <f t="shared" si="32"/>
        <v>0.6</v>
      </c>
      <c r="N431" s="1">
        <f t="shared" si="33"/>
        <v>45568</v>
      </c>
      <c r="O431" s="3">
        <f>(Table13[[#This Row],[Units_Sold]]*Table13[[#This Row],[Unit_Price_Cleaned]]*(1-Table13[[#This Row],[Discount Cleaned]]))</f>
        <v>2633.6080000000002</v>
      </c>
      <c r="P431" t="str">
        <f t="shared" si="34"/>
        <v>Profit</v>
      </c>
      <c r="Q431" t="str" cm="1">
        <f t="array" ref="Q431">IF(K431="",INDEX($K$2:$K$2501,MATCH(MAX(COUNTIF($K$2:$K$2501,$K$2:$K$2501)),COUNTIF($K$2:$K$2501,$K$2:$K$2501),0)),K431)</f>
        <v>B2B</v>
      </c>
    </row>
    <row r="432" spans="1:17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 s="3">
        <f t="shared" si="30"/>
        <v>-5570.1755932203387</v>
      </c>
      <c r="I432" s="1">
        <v>45789</v>
      </c>
      <c r="J432" t="s">
        <v>46</v>
      </c>
      <c r="K432" t="s">
        <v>16</v>
      </c>
      <c r="L432" s="2">
        <f t="shared" si="31"/>
        <v>2785.0877966101693</v>
      </c>
      <c r="M432" s="4">
        <f t="shared" si="32"/>
        <v>0.67</v>
      </c>
      <c r="N432" s="1">
        <f t="shared" si="33"/>
        <v>45789</v>
      </c>
      <c r="O432" s="3">
        <f>(Table13[[#This Row],[Units_Sold]]*Table13[[#This Row],[Unit_Price_Cleaned]]*(1-Table13[[#This Row],[Discount Cleaned]]))</f>
        <v>-1838.1579457627115</v>
      </c>
      <c r="P432" t="str">
        <f t="shared" si="34"/>
        <v>Loss</v>
      </c>
      <c r="Q432" t="str" cm="1">
        <f t="array" ref="Q432">IF(K432="",INDEX($K$2:$K$2501,MATCH(MAX(COUNTIF($K$2:$K$2501,$K$2:$K$2501)),COUNTIF($K$2:$K$2501,$K$2:$K$2501),0)),K432)</f>
        <v>B2C</v>
      </c>
    </row>
    <row r="433" spans="1:17" x14ac:dyDescent="0.3">
      <c r="A433">
        <v>1431</v>
      </c>
      <c r="B433" t="s">
        <v>483</v>
      </c>
      <c r="C433" t="s">
        <v>29</v>
      </c>
      <c r="D433" t="s">
        <v>120</v>
      </c>
      <c r="E433">
        <v>2</v>
      </c>
      <c r="H433" s="3">
        <f t="shared" si="30"/>
        <v>5660.2651428571462</v>
      </c>
      <c r="I433" s="1">
        <v>45776</v>
      </c>
      <c r="J433" t="s">
        <v>15</v>
      </c>
      <c r="K433" t="s">
        <v>23</v>
      </c>
      <c r="L433" s="2">
        <f t="shared" si="31"/>
        <v>2830.1325714285731</v>
      </c>
      <c r="M433" s="4">
        <f t="shared" si="32"/>
        <v>0.6</v>
      </c>
      <c r="N433" s="1">
        <f t="shared" si="33"/>
        <v>45776</v>
      </c>
      <c r="O433" s="3">
        <f>(Table13[[#This Row],[Units_Sold]]*Table13[[#This Row],[Unit_Price_Cleaned]]*(1-Table13[[#This Row],[Discount Cleaned]]))</f>
        <v>2264.1060571428584</v>
      </c>
      <c r="P433" t="str">
        <f t="shared" si="34"/>
        <v>Profit</v>
      </c>
      <c r="Q433" t="str" cm="1">
        <f t="array" ref="Q433">IF(K433="",INDEX($K$2:$K$2501,MATCH(MAX(COUNTIF($K$2:$K$2501,$K$2:$K$2501)),COUNTIF($K$2:$K$2501,$K$2:$K$2501),0)),K433)</f>
        <v>B2B</v>
      </c>
    </row>
    <row r="434" spans="1:17" x14ac:dyDescent="0.3">
      <c r="A434">
        <v>1432</v>
      </c>
      <c r="B434" t="s">
        <v>484</v>
      </c>
      <c r="C434" t="s">
        <v>25</v>
      </c>
      <c r="D434" t="s">
        <v>54</v>
      </c>
      <c r="E434">
        <v>2</v>
      </c>
      <c r="H434" s="3">
        <f t="shared" si="30"/>
        <v>5060.7673076923093</v>
      </c>
      <c r="I434" s="1">
        <v>45445</v>
      </c>
      <c r="J434" t="s">
        <v>18</v>
      </c>
      <c r="K434" t="s">
        <v>23</v>
      </c>
      <c r="L434" s="2">
        <f t="shared" si="31"/>
        <v>2530.3836538461546</v>
      </c>
      <c r="M434" s="4">
        <f t="shared" si="32"/>
        <v>0.6</v>
      </c>
      <c r="N434" s="1">
        <f t="shared" si="33"/>
        <v>45445</v>
      </c>
      <c r="O434" s="3">
        <f>(Table13[[#This Row],[Units_Sold]]*Table13[[#This Row],[Unit_Price_Cleaned]]*(1-Table13[[#This Row],[Discount Cleaned]]))</f>
        <v>2024.3069230769238</v>
      </c>
      <c r="P434" t="str">
        <f t="shared" si="34"/>
        <v>Profit</v>
      </c>
      <c r="Q434" t="str" cm="1">
        <f t="array" ref="Q434">IF(K434="",INDEX($K$2:$K$2501,MATCH(MAX(COUNTIF($K$2:$K$2501,$K$2:$K$2501)),COUNTIF($K$2:$K$2501,$K$2:$K$2501),0)),K434)</f>
        <v>B2B</v>
      </c>
    </row>
    <row r="435" spans="1:17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 s="3">
        <f t="shared" si="30"/>
        <v>5683.5261224489814</v>
      </c>
      <c r="I435" s="1">
        <v>45661</v>
      </c>
      <c r="J435" t="s">
        <v>22</v>
      </c>
      <c r="K435" t="s">
        <v>23</v>
      </c>
      <c r="L435" s="2">
        <f t="shared" si="31"/>
        <v>2841.7630612244907</v>
      </c>
      <c r="M435" s="4">
        <f t="shared" si="32"/>
        <v>0.7</v>
      </c>
      <c r="N435" s="1">
        <f t="shared" si="33"/>
        <v>45661</v>
      </c>
      <c r="O435" s="3">
        <f>(Table13[[#This Row],[Units_Sold]]*Table13[[#This Row],[Unit_Price_Cleaned]]*(1-Table13[[#This Row],[Discount Cleaned]]))</f>
        <v>1705.0578367346948</v>
      </c>
      <c r="P435" t="str">
        <f t="shared" si="34"/>
        <v>Profit</v>
      </c>
      <c r="Q435" t="str" cm="1">
        <f t="array" ref="Q435">IF(K435="",INDEX($K$2:$K$2501,MATCH(MAX(COUNTIF($K$2:$K$2501,$K$2:$K$2501)),COUNTIF($K$2:$K$2501,$K$2:$K$2501),0)),K435)</f>
        <v>B2B</v>
      </c>
    </row>
    <row r="436" spans="1:17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 s="3">
        <f t="shared" si="30"/>
        <v>0</v>
      </c>
      <c r="I436" s="1">
        <v>45512</v>
      </c>
      <c r="J436" t="s">
        <v>56</v>
      </c>
      <c r="K436" t="s">
        <v>16</v>
      </c>
      <c r="L436" s="2">
        <f t="shared" si="31"/>
        <v>476.2</v>
      </c>
      <c r="M436" s="4">
        <f t="shared" si="32"/>
        <v>1.03</v>
      </c>
      <c r="N436" s="1">
        <f t="shared" si="33"/>
        <v>45512</v>
      </c>
      <c r="O436" s="3">
        <f>(Table13[[#This Row],[Units_Sold]]*Table13[[#This Row],[Unit_Price_Cleaned]]*(1-Table13[[#This Row],[Discount Cleaned]]))</f>
        <v>0</v>
      </c>
      <c r="P436" t="str">
        <f t="shared" si="34"/>
        <v>Loss</v>
      </c>
      <c r="Q436" t="str" cm="1">
        <f t="array" ref="Q436">IF(K436="",INDEX($K$2:$K$2501,MATCH(MAX(COUNTIF($K$2:$K$2501,$K$2:$K$2501)),COUNTIF($K$2:$K$2501,$K$2:$K$2501),0)),K436)</f>
        <v>B2C</v>
      </c>
    </row>
    <row r="437" spans="1:17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 s="3">
        <f t="shared" si="30"/>
        <v>8146.6375471698075</v>
      </c>
      <c r="I437" s="1">
        <v>45763</v>
      </c>
      <c r="J437" t="s">
        <v>56</v>
      </c>
      <c r="K437" t="s">
        <v>23</v>
      </c>
      <c r="L437" s="2">
        <f t="shared" si="31"/>
        <v>2715.5458490566025</v>
      </c>
      <c r="M437" s="4">
        <f t="shared" si="32"/>
        <v>0.6</v>
      </c>
      <c r="N437" s="1">
        <f t="shared" si="33"/>
        <v>45763</v>
      </c>
      <c r="O437" s="3">
        <f>(Table13[[#This Row],[Units_Sold]]*Table13[[#This Row],[Unit_Price_Cleaned]]*(1-Table13[[#This Row],[Discount Cleaned]]))</f>
        <v>3258.655018867923</v>
      </c>
      <c r="P437" t="str">
        <f t="shared" si="34"/>
        <v>Profit</v>
      </c>
      <c r="Q437" t="str" cm="1">
        <f t="array" ref="Q437">IF(K437="",INDEX($K$2:$K$2501,MATCH(MAX(COUNTIF($K$2:$K$2501,$K$2:$K$2501)),COUNTIF($K$2:$K$2501,$K$2:$K$2501),0)),K437)</f>
        <v>B2B</v>
      </c>
    </row>
    <row r="438" spans="1:17" x14ac:dyDescent="0.3">
      <c r="A438">
        <v>1436</v>
      </c>
      <c r="B438" t="s">
        <v>488</v>
      </c>
      <c r="C438" t="s">
        <v>33</v>
      </c>
      <c r="D438" t="s">
        <v>72</v>
      </c>
      <c r="E438">
        <v>2</v>
      </c>
      <c r="G438">
        <v>1.26</v>
      </c>
      <c r="H438" s="3">
        <f t="shared" si="30"/>
        <v>5431.091698113205</v>
      </c>
      <c r="I438" s="1">
        <v>45517</v>
      </c>
      <c r="J438" t="s">
        <v>18</v>
      </c>
      <c r="K438" t="s">
        <v>16</v>
      </c>
      <c r="L438" s="2">
        <f t="shared" si="31"/>
        <v>2715.5458490566025</v>
      </c>
      <c r="M438" s="4">
        <f t="shared" si="32"/>
        <v>1.26</v>
      </c>
      <c r="N438" s="1">
        <f t="shared" si="33"/>
        <v>45517</v>
      </c>
      <c r="O438" s="3">
        <f>(Table13[[#This Row],[Units_Sold]]*Table13[[#This Row],[Unit_Price_Cleaned]]*(1-Table13[[#This Row],[Discount Cleaned]]))</f>
        <v>-1412.0838415094333</v>
      </c>
      <c r="P438" t="str">
        <f t="shared" si="34"/>
        <v>Loss</v>
      </c>
      <c r="Q438" t="str" cm="1">
        <f t="array" ref="Q438">IF(K438="",INDEX($K$2:$K$2501,MATCH(MAX(COUNTIF($K$2:$K$2501,$K$2:$K$2501)),COUNTIF($K$2:$K$2501,$K$2:$K$2501),0)),K438)</f>
        <v>B2C</v>
      </c>
    </row>
    <row r="439" spans="1:17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 s="3">
        <f t="shared" si="30"/>
        <v>0</v>
      </c>
      <c r="I439" s="1">
        <v>45703</v>
      </c>
      <c r="J439" t="s">
        <v>15</v>
      </c>
      <c r="K439" t="s">
        <v>16</v>
      </c>
      <c r="L439" s="2">
        <f t="shared" si="31"/>
        <v>3886.3</v>
      </c>
      <c r="M439" s="4">
        <f t="shared" si="32"/>
        <v>0.34</v>
      </c>
      <c r="N439" s="1">
        <f t="shared" si="33"/>
        <v>45703</v>
      </c>
      <c r="O439" s="3">
        <f>(Table13[[#This Row],[Units_Sold]]*Table13[[#This Row],[Unit_Price_Cleaned]]*(1-Table13[[#This Row],[Discount Cleaned]]))</f>
        <v>0</v>
      </c>
      <c r="P439" t="str">
        <f t="shared" si="34"/>
        <v>Loss</v>
      </c>
      <c r="Q439" t="str" cm="1">
        <f t="array" ref="Q439">IF(K439="",INDEX($K$2:$K$2501,MATCH(MAX(COUNTIF($K$2:$K$2501,$K$2:$K$2501)),COUNTIF($K$2:$K$2501,$K$2:$K$2501),0)),K439)</f>
        <v>B2C</v>
      </c>
    </row>
    <row r="440" spans="1:17" x14ac:dyDescent="0.3">
      <c r="A440">
        <v>1438</v>
      </c>
      <c r="B440" t="s">
        <v>490</v>
      </c>
      <c r="C440" t="s">
        <v>38</v>
      </c>
      <c r="D440" t="s">
        <v>63</v>
      </c>
      <c r="E440">
        <v>2</v>
      </c>
      <c r="F440">
        <v>2663.97</v>
      </c>
      <c r="G440">
        <v>0.84</v>
      </c>
      <c r="H440" s="3">
        <f t="shared" si="30"/>
        <v>5327.94</v>
      </c>
      <c r="I440" s="1">
        <v>45186</v>
      </c>
      <c r="J440" t="s">
        <v>46</v>
      </c>
      <c r="L440" s="2">
        <f t="shared" si="31"/>
        <v>2663.97</v>
      </c>
      <c r="M440" s="4">
        <f t="shared" si="32"/>
        <v>0.84</v>
      </c>
      <c r="N440" s="1">
        <f t="shared" si="33"/>
        <v>45186</v>
      </c>
      <c r="O440" s="3">
        <f>(Table13[[#This Row],[Units_Sold]]*Table13[[#This Row],[Unit_Price_Cleaned]]*(1-Table13[[#This Row],[Discount Cleaned]]))</f>
        <v>852.47040000000015</v>
      </c>
      <c r="P440" t="str">
        <f t="shared" si="34"/>
        <v>Profit</v>
      </c>
      <c r="Q440" t="str" cm="1">
        <f t="array" ref="Q440">IF(K440="",INDEX($K$2:$K$2501,MATCH(MAX(COUNTIF($K$2:$K$2501,$K$2:$K$2501)),COUNTIF($K$2:$K$2501,$K$2:$K$2501),0)),K440)</f>
        <v>B2B</v>
      </c>
    </row>
    <row r="441" spans="1:17" x14ac:dyDescent="0.3">
      <c r="A441">
        <v>1439</v>
      </c>
      <c r="B441" t="s">
        <v>491</v>
      </c>
      <c r="C441" t="s">
        <v>33</v>
      </c>
      <c r="D441" t="s">
        <v>82</v>
      </c>
      <c r="E441">
        <v>2</v>
      </c>
      <c r="H441" s="3">
        <f t="shared" si="30"/>
        <v>5552.4404000000004</v>
      </c>
      <c r="J441" t="s">
        <v>18</v>
      </c>
      <c r="K441" t="s">
        <v>23</v>
      </c>
      <c r="L441" s="2">
        <f t="shared" si="31"/>
        <v>2776.2202000000002</v>
      </c>
      <c r="M441" s="4">
        <f t="shared" si="32"/>
        <v>0.6</v>
      </c>
      <c r="N441" s="1">
        <f t="shared" si="33"/>
        <v>45782</v>
      </c>
      <c r="O441" s="3">
        <f>(Table13[[#This Row],[Units_Sold]]*Table13[[#This Row],[Unit_Price_Cleaned]]*(1-Table13[[#This Row],[Discount Cleaned]]))</f>
        <v>2220.9761600000002</v>
      </c>
      <c r="P441" t="str">
        <f t="shared" si="34"/>
        <v>Profit</v>
      </c>
      <c r="Q441" t="str" cm="1">
        <f t="array" ref="Q441">IF(K441="",INDEX($K$2:$K$2501,MATCH(MAX(COUNTIF($K$2:$K$2501,$K$2:$K$2501)),COUNTIF($K$2:$K$2501,$K$2:$K$2501),0)),K441)</f>
        <v>B2B</v>
      </c>
    </row>
    <row r="442" spans="1:17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 s="3">
        <f t="shared" si="30"/>
        <v>0</v>
      </c>
      <c r="I442" s="1">
        <v>45860</v>
      </c>
      <c r="J442" t="s">
        <v>56</v>
      </c>
      <c r="K442" t="s">
        <v>16</v>
      </c>
      <c r="L442" s="2">
        <f t="shared" si="31"/>
        <v>635.12</v>
      </c>
      <c r="M442" s="4">
        <f t="shared" si="32"/>
        <v>0.32</v>
      </c>
      <c r="N442" s="1">
        <f t="shared" si="33"/>
        <v>45860</v>
      </c>
      <c r="O442" s="3">
        <f>(Table13[[#This Row],[Units_Sold]]*Table13[[#This Row],[Unit_Price_Cleaned]]*(1-Table13[[#This Row],[Discount Cleaned]]))</f>
        <v>0</v>
      </c>
      <c r="P442" t="str">
        <f t="shared" si="34"/>
        <v>Loss</v>
      </c>
      <c r="Q442" t="str" cm="1">
        <f t="array" ref="Q442">IF(K442="",INDEX($K$2:$K$2501,MATCH(MAX(COUNTIF($K$2:$K$2501,$K$2:$K$2501)),COUNTIF($K$2:$K$2501,$K$2:$K$2501),0)),K442)</f>
        <v>B2C</v>
      </c>
    </row>
    <row r="443" spans="1:17" x14ac:dyDescent="0.3">
      <c r="A443">
        <v>1441</v>
      </c>
      <c r="B443" t="s">
        <v>493</v>
      </c>
      <c r="C443" t="s">
        <v>13</v>
      </c>
      <c r="D443" t="s">
        <v>14</v>
      </c>
      <c r="E443">
        <v>2</v>
      </c>
      <c r="H443" s="3">
        <f t="shared" si="30"/>
        <v>4762.5355172413792</v>
      </c>
      <c r="J443" t="s">
        <v>40</v>
      </c>
      <c r="L443" s="2">
        <f t="shared" si="31"/>
        <v>2381.2677586206896</v>
      </c>
      <c r="M443" s="4">
        <f t="shared" si="32"/>
        <v>0.6</v>
      </c>
      <c r="N443" s="1">
        <f t="shared" si="33"/>
        <v>45782</v>
      </c>
      <c r="O443" s="3">
        <f>(Table13[[#This Row],[Units_Sold]]*Table13[[#This Row],[Unit_Price_Cleaned]]*(1-Table13[[#This Row],[Discount Cleaned]]))</f>
        <v>1905.0142068965517</v>
      </c>
      <c r="P443" t="str">
        <f t="shared" si="34"/>
        <v>Profit</v>
      </c>
      <c r="Q443" t="str" cm="1">
        <f t="array" ref="Q443">IF(K443="",INDEX($K$2:$K$2501,MATCH(MAX(COUNTIF($K$2:$K$2501,$K$2:$K$2501)),COUNTIF($K$2:$K$2501,$K$2:$K$2501),0)),K443)</f>
        <v>B2B</v>
      </c>
    </row>
    <row r="444" spans="1:17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 s="3">
        <f t="shared" si="30"/>
        <v>0</v>
      </c>
      <c r="I444" s="1">
        <v>45479</v>
      </c>
      <c r="J444" t="s">
        <v>15</v>
      </c>
      <c r="K444" t="s">
        <v>16</v>
      </c>
      <c r="L444" s="2">
        <f t="shared" si="31"/>
        <v>3001.28</v>
      </c>
      <c r="M444" s="4">
        <f t="shared" si="32"/>
        <v>0.6</v>
      </c>
      <c r="N444" s="1">
        <f t="shared" si="33"/>
        <v>45479</v>
      </c>
      <c r="O444" s="3">
        <f>(Table13[[#This Row],[Units_Sold]]*Table13[[#This Row],[Unit_Price_Cleaned]]*(1-Table13[[#This Row],[Discount Cleaned]]))</f>
        <v>0</v>
      </c>
      <c r="P444" t="str">
        <f t="shared" si="34"/>
        <v>Loss</v>
      </c>
      <c r="Q444" t="str" cm="1">
        <f t="array" ref="Q444">IF(K444="",INDEX($K$2:$K$2501,MATCH(MAX(COUNTIF($K$2:$K$2501,$K$2:$K$2501)),COUNTIF($K$2:$K$2501,$K$2:$K$2501),0)),K444)</f>
        <v>B2C</v>
      </c>
    </row>
    <row r="445" spans="1:17" x14ac:dyDescent="0.3">
      <c r="A445">
        <v>1443</v>
      </c>
      <c r="B445" t="s">
        <v>495</v>
      </c>
      <c r="C445" t="s">
        <v>33</v>
      </c>
      <c r="D445" t="s">
        <v>34</v>
      </c>
      <c r="E445">
        <v>2</v>
      </c>
      <c r="H445" s="3">
        <f t="shared" si="30"/>
        <v>4974.07923076923</v>
      </c>
      <c r="I445" s="1">
        <v>45484</v>
      </c>
      <c r="J445" t="s">
        <v>40</v>
      </c>
      <c r="L445" s="2">
        <f t="shared" si="31"/>
        <v>2487.039615384615</v>
      </c>
      <c r="M445" s="4">
        <f t="shared" si="32"/>
        <v>0.6</v>
      </c>
      <c r="N445" s="1">
        <f t="shared" si="33"/>
        <v>45484</v>
      </c>
      <c r="O445" s="3">
        <f>(Table13[[#This Row],[Units_Sold]]*Table13[[#This Row],[Unit_Price_Cleaned]]*(1-Table13[[#This Row],[Discount Cleaned]]))</f>
        <v>1989.631692307692</v>
      </c>
      <c r="P445" t="str">
        <f t="shared" si="34"/>
        <v>Profit</v>
      </c>
      <c r="Q445" t="str" cm="1">
        <f t="array" ref="Q445">IF(K445="",INDEX($K$2:$K$2501,MATCH(MAX(COUNTIF($K$2:$K$2501,$K$2:$K$2501)),COUNTIF($K$2:$K$2501,$K$2:$K$2501),0)),K445)</f>
        <v>B2B</v>
      </c>
    </row>
    <row r="446" spans="1:17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 s="3">
        <f t="shared" si="30"/>
        <v>10356.48</v>
      </c>
      <c r="J446" t="s">
        <v>22</v>
      </c>
      <c r="L446" s="2">
        <f t="shared" si="31"/>
        <v>3452.16</v>
      </c>
      <c r="M446" s="4">
        <f t="shared" si="32"/>
        <v>0.6</v>
      </c>
      <c r="N446" s="1">
        <f t="shared" si="33"/>
        <v>45782</v>
      </c>
      <c r="O446" s="3">
        <f>(Table13[[#This Row],[Units_Sold]]*Table13[[#This Row],[Unit_Price_Cleaned]]*(1-Table13[[#This Row],[Discount Cleaned]]))</f>
        <v>4142.5919999999996</v>
      </c>
      <c r="P446" t="str">
        <f t="shared" si="34"/>
        <v>Profit</v>
      </c>
      <c r="Q446" t="str" cm="1">
        <f t="array" ref="Q446">IF(K446="",INDEX($K$2:$K$2501,MATCH(MAX(COUNTIF($K$2:$K$2501,$K$2:$K$2501)),COUNTIF($K$2:$K$2501,$K$2:$K$2501),0)),K446)</f>
        <v>B2B</v>
      </c>
    </row>
    <row r="447" spans="1:17" x14ac:dyDescent="0.3">
      <c r="A447">
        <v>1445</v>
      </c>
      <c r="B447" t="s">
        <v>497</v>
      </c>
      <c r="C447" t="s">
        <v>20</v>
      </c>
      <c r="D447" t="s">
        <v>80</v>
      </c>
      <c r="E447">
        <v>2</v>
      </c>
      <c r="F447">
        <v>1370.36</v>
      </c>
      <c r="G447">
        <v>0.54</v>
      </c>
      <c r="H447" s="3">
        <f t="shared" si="30"/>
        <v>2740.72</v>
      </c>
      <c r="I447" s="1">
        <v>45827</v>
      </c>
      <c r="J447" t="s">
        <v>22</v>
      </c>
      <c r="K447" t="s">
        <v>16</v>
      </c>
      <c r="L447" s="2">
        <f t="shared" si="31"/>
        <v>1370.36</v>
      </c>
      <c r="M447" s="4">
        <f t="shared" si="32"/>
        <v>0.54</v>
      </c>
      <c r="N447" s="1">
        <f t="shared" si="33"/>
        <v>45827</v>
      </c>
      <c r="O447" s="3">
        <f>(Table13[[#This Row],[Units_Sold]]*Table13[[#This Row],[Unit_Price_Cleaned]]*(1-Table13[[#This Row],[Discount Cleaned]]))</f>
        <v>1260.7311999999997</v>
      </c>
      <c r="P447" t="str">
        <f t="shared" si="34"/>
        <v>Profit</v>
      </c>
      <c r="Q447" t="str" cm="1">
        <f t="array" ref="Q447">IF(K447="",INDEX($K$2:$K$2501,MATCH(MAX(COUNTIF($K$2:$K$2501,$K$2:$K$2501)),COUNTIF($K$2:$K$2501,$K$2:$K$2501),0)),K447)</f>
        <v>B2C</v>
      </c>
    </row>
    <row r="448" spans="1:17" x14ac:dyDescent="0.3">
      <c r="A448">
        <v>1446</v>
      </c>
      <c r="B448" t="s">
        <v>498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 s="3">
        <f t="shared" si="30"/>
        <v>5655.36</v>
      </c>
      <c r="I448" s="1">
        <v>45519</v>
      </c>
      <c r="J448" t="s">
        <v>15</v>
      </c>
      <c r="L448" s="2">
        <f t="shared" si="31"/>
        <v>2827.68</v>
      </c>
      <c r="M448" s="4">
        <f t="shared" si="32"/>
        <v>0.86</v>
      </c>
      <c r="N448" s="1">
        <f t="shared" si="33"/>
        <v>45519</v>
      </c>
      <c r="O448" s="3">
        <f>(Table13[[#This Row],[Units_Sold]]*Table13[[#This Row],[Unit_Price_Cleaned]]*(1-Table13[[#This Row],[Discount Cleaned]]))</f>
        <v>791.75040000000001</v>
      </c>
      <c r="P448" t="str">
        <f t="shared" si="34"/>
        <v>Profit</v>
      </c>
      <c r="Q448" t="str" cm="1">
        <f t="array" ref="Q448">IF(K448="",INDEX($K$2:$K$2501,MATCH(MAX(COUNTIF($K$2:$K$2501,$K$2:$K$2501)),COUNTIF($K$2:$K$2501,$K$2:$K$2501),0)),K448)</f>
        <v>B2B</v>
      </c>
    </row>
    <row r="449" spans="1:17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 s="3">
        <f t="shared" si="30"/>
        <v>22752.54</v>
      </c>
      <c r="I449" s="1">
        <v>45263</v>
      </c>
      <c r="J449" t="s">
        <v>40</v>
      </c>
      <c r="K449" t="s">
        <v>16</v>
      </c>
      <c r="L449" s="2">
        <f t="shared" si="31"/>
        <v>3792.09</v>
      </c>
      <c r="M449" s="4">
        <f t="shared" si="32"/>
        <v>0.6</v>
      </c>
      <c r="N449" s="1">
        <f t="shared" si="33"/>
        <v>45263</v>
      </c>
      <c r="O449" s="3">
        <f>(Table13[[#This Row],[Units_Sold]]*Table13[[#This Row],[Unit_Price_Cleaned]]*(1-Table13[[#This Row],[Discount Cleaned]]))</f>
        <v>9101.0160000000014</v>
      </c>
      <c r="P449" t="str">
        <f t="shared" si="34"/>
        <v>Profit</v>
      </c>
      <c r="Q449" t="str" cm="1">
        <f t="array" ref="Q449">IF(K449="",INDEX($K$2:$K$2501,MATCH(MAX(COUNTIF($K$2:$K$2501,$K$2:$K$2501)),COUNTIF($K$2:$K$2501,$K$2:$K$2501),0)),K449)</f>
        <v>B2C</v>
      </c>
    </row>
    <row r="450" spans="1:17" x14ac:dyDescent="0.3">
      <c r="A450">
        <v>1448</v>
      </c>
      <c r="B450" t="s">
        <v>500</v>
      </c>
      <c r="C450" t="s">
        <v>13</v>
      </c>
      <c r="D450" t="s">
        <v>14</v>
      </c>
      <c r="E450">
        <v>2</v>
      </c>
      <c r="F450">
        <v>1657.95</v>
      </c>
      <c r="H450" s="3">
        <f t="shared" ref="H450:H513" si="35">(L450*E450)</f>
        <v>3315.9</v>
      </c>
      <c r="I450" s="1">
        <v>45269</v>
      </c>
      <c r="J450" t="s">
        <v>46</v>
      </c>
      <c r="K450" t="s">
        <v>23</v>
      </c>
      <c r="L450" s="2">
        <f t="shared" ref="L450:L513" si="36">IF(F450="",AVERAGEIF($D$2:$D$2501,D450,$F$2:$F$2501),F450)</f>
        <v>1657.95</v>
      </c>
      <c r="M450" s="4">
        <f t="shared" ref="M450:M513" si="37">IF(G450="",MEDIAN($G$2,$G$2501),G450)</f>
        <v>0.6</v>
      </c>
      <c r="N450" s="1">
        <f t="shared" ref="N450:N513" si="38">IF(I450="",MODE($I$32:$I$2501),I450)</f>
        <v>45269</v>
      </c>
      <c r="O450" s="3">
        <f>(Table13[[#This Row],[Units_Sold]]*Table13[[#This Row],[Unit_Price_Cleaned]]*(1-Table13[[#This Row],[Discount Cleaned]]))</f>
        <v>1326.3600000000001</v>
      </c>
      <c r="P450" t="str">
        <f t="shared" ref="P450:P513" si="39">IF(O450&gt;500,"Profit","Loss")</f>
        <v>Profit</v>
      </c>
      <c r="Q450" t="str" cm="1">
        <f t="array" ref="Q450">IF(K450="",INDEX($K$2:$K$2501,MATCH(MAX(COUNTIF($K$2:$K$2501,$K$2:$K$2501)),COUNTIF($K$2:$K$2501,$K$2:$K$2501),0)),K450)</f>
        <v>B2B</v>
      </c>
    </row>
    <row r="451" spans="1:17" x14ac:dyDescent="0.3">
      <c r="A451">
        <v>1449</v>
      </c>
      <c r="B451" t="s">
        <v>501</v>
      </c>
      <c r="C451" t="s">
        <v>13</v>
      </c>
      <c r="D451" t="s">
        <v>49</v>
      </c>
      <c r="E451">
        <v>2</v>
      </c>
      <c r="F451">
        <v>2855.53</v>
      </c>
      <c r="G451">
        <v>0.55000000000000004</v>
      </c>
      <c r="H451" s="3">
        <f t="shared" si="35"/>
        <v>5711.06</v>
      </c>
      <c r="I451" s="1">
        <v>45707</v>
      </c>
      <c r="J451" t="s">
        <v>18</v>
      </c>
      <c r="K451" t="s">
        <v>16</v>
      </c>
      <c r="L451" s="2">
        <f t="shared" si="36"/>
        <v>2855.53</v>
      </c>
      <c r="M451" s="4">
        <f t="shared" si="37"/>
        <v>0.55000000000000004</v>
      </c>
      <c r="N451" s="1">
        <f t="shared" si="38"/>
        <v>45707</v>
      </c>
      <c r="O451" s="3">
        <f>(Table13[[#This Row],[Units_Sold]]*Table13[[#This Row],[Unit_Price_Cleaned]]*(1-Table13[[#This Row],[Discount Cleaned]]))</f>
        <v>2569.9769999999999</v>
      </c>
      <c r="P451" t="str">
        <f t="shared" si="39"/>
        <v>Profit</v>
      </c>
      <c r="Q451" t="str" cm="1">
        <f t="array" ref="Q451">IF(K451="",INDEX($K$2:$K$2501,MATCH(MAX(COUNTIF($K$2:$K$2501,$K$2:$K$2501)),COUNTIF($K$2:$K$2501,$K$2:$K$2501),0)),K451)</f>
        <v>B2C</v>
      </c>
    </row>
    <row r="452" spans="1:17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 s="3">
        <f t="shared" si="35"/>
        <v>11104.880800000001</v>
      </c>
      <c r="I452" s="1">
        <v>45456</v>
      </c>
      <c r="J452" t="s">
        <v>15</v>
      </c>
      <c r="K452" t="s">
        <v>16</v>
      </c>
      <c r="L452" s="2">
        <f t="shared" si="36"/>
        <v>2776.2202000000002</v>
      </c>
      <c r="M452" s="4">
        <f t="shared" si="37"/>
        <v>0.6</v>
      </c>
      <c r="N452" s="1">
        <f t="shared" si="38"/>
        <v>45456</v>
      </c>
      <c r="O452" s="3">
        <f>(Table13[[#This Row],[Units_Sold]]*Table13[[#This Row],[Unit_Price_Cleaned]]*(1-Table13[[#This Row],[Discount Cleaned]]))</f>
        <v>4441.9523200000003</v>
      </c>
      <c r="P452" t="str">
        <f t="shared" si="39"/>
        <v>Profit</v>
      </c>
      <c r="Q452" t="str" cm="1">
        <f t="array" ref="Q452">IF(K452="",INDEX($K$2:$K$2501,MATCH(MAX(COUNTIF($K$2:$K$2501,$K$2:$K$2501)),COUNTIF($K$2:$K$2501,$K$2:$K$2501),0)),K452)</f>
        <v>B2C</v>
      </c>
    </row>
    <row r="453" spans="1:17" x14ac:dyDescent="0.3">
      <c r="A453">
        <v>1451</v>
      </c>
      <c r="B453" t="s">
        <v>503</v>
      </c>
      <c r="C453" t="s">
        <v>25</v>
      </c>
      <c r="D453" t="s">
        <v>66</v>
      </c>
      <c r="E453">
        <v>2</v>
      </c>
      <c r="F453">
        <v>620.64</v>
      </c>
      <c r="H453" s="3">
        <f t="shared" si="35"/>
        <v>1241.28</v>
      </c>
      <c r="I453" s="1">
        <v>45801</v>
      </c>
      <c r="J453" t="s">
        <v>56</v>
      </c>
      <c r="L453" s="2">
        <f t="shared" si="36"/>
        <v>620.64</v>
      </c>
      <c r="M453" s="4">
        <f t="shared" si="37"/>
        <v>0.6</v>
      </c>
      <c r="N453" s="1">
        <f t="shared" si="38"/>
        <v>45801</v>
      </c>
      <c r="O453" s="3">
        <f>(Table13[[#This Row],[Units_Sold]]*Table13[[#This Row],[Unit_Price_Cleaned]]*(1-Table13[[#This Row],[Discount Cleaned]]))</f>
        <v>496.512</v>
      </c>
      <c r="P453" t="str">
        <f t="shared" si="39"/>
        <v>Loss</v>
      </c>
      <c r="Q453" t="str" cm="1">
        <f t="array" ref="Q453">IF(K453="",INDEX($K$2:$K$2501,MATCH(MAX(COUNTIF($K$2:$K$2501,$K$2:$K$2501)),COUNTIF($K$2:$K$2501,$K$2:$K$2501),0)),K453)</f>
        <v>B2B</v>
      </c>
    </row>
    <row r="454" spans="1:17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 s="3">
        <f t="shared" si="35"/>
        <v>-5320.56</v>
      </c>
      <c r="J454" t="s">
        <v>15</v>
      </c>
      <c r="K454" t="s">
        <v>16</v>
      </c>
      <c r="L454" s="2">
        <f t="shared" si="36"/>
        <v>2660.28</v>
      </c>
      <c r="M454" s="4">
        <f t="shared" si="37"/>
        <v>0.34</v>
      </c>
      <c r="N454" s="1">
        <f t="shared" si="38"/>
        <v>45782</v>
      </c>
      <c r="O454" s="3">
        <f>(Table13[[#This Row],[Units_Sold]]*Table13[[#This Row],[Unit_Price_Cleaned]]*(1-Table13[[#This Row],[Discount Cleaned]]))</f>
        <v>-3511.5695999999998</v>
      </c>
      <c r="P454" t="str">
        <f t="shared" si="39"/>
        <v>Loss</v>
      </c>
      <c r="Q454" t="str" cm="1">
        <f t="array" ref="Q454">IF(K454="",INDEX($K$2:$K$2501,MATCH(MAX(COUNTIF($K$2:$K$2501,$K$2:$K$2501)),COUNTIF($K$2:$K$2501,$K$2:$K$2501),0)),K454)</f>
        <v>B2C</v>
      </c>
    </row>
    <row r="455" spans="1:17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 s="3">
        <f t="shared" si="35"/>
        <v>0</v>
      </c>
      <c r="I455" s="1">
        <v>45633</v>
      </c>
      <c r="J455" t="s">
        <v>40</v>
      </c>
      <c r="K455" t="s">
        <v>23</v>
      </c>
      <c r="L455" s="2">
        <f t="shared" si="36"/>
        <v>2785.0877966101693</v>
      </c>
      <c r="M455" s="4">
        <f t="shared" si="37"/>
        <v>0.18</v>
      </c>
      <c r="N455" s="1">
        <f t="shared" si="38"/>
        <v>45633</v>
      </c>
      <c r="O455" s="3">
        <f>(Table13[[#This Row],[Units_Sold]]*Table13[[#This Row],[Unit_Price_Cleaned]]*(1-Table13[[#This Row],[Discount Cleaned]]))</f>
        <v>0</v>
      </c>
      <c r="P455" t="str">
        <f t="shared" si="39"/>
        <v>Loss</v>
      </c>
      <c r="Q455" t="str" cm="1">
        <f t="array" ref="Q455">IF(K455="",INDEX($K$2:$K$2501,MATCH(MAX(COUNTIF($K$2:$K$2501,$K$2:$K$2501)),COUNTIF($K$2:$K$2501,$K$2:$K$2501),0)),K455)</f>
        <v>B2B</v>
      </c>
    </row>
    <row r="456" spans="1:17" x14ac:dyDescent="0.3">
      <c r="A456">
        <v>1454</v>
      </c>
      <c r="B456" t="s">
        <v>506</v>
      </c>
      <c r="C456" t="s">
        <v>29</v>
      </c>
      <c r="D456" t="s">
        <v>42</v>
      </c>
      <c r="E456">
        <v>2</v>
      </c>
      <c r="F456">
        <v>4523.58</v>
      </c>
      <c r="H456" s="3">
        <f t="shared" si="35"/>
        <v>9047.16</v>
      </c>
      <c r="I456" s="1">
        <v>45495</v>
      </c>
      <c r="J456" t="s">
        <v>46</v>
      </c>
      <c r="L456" s="2">
        <f t="shared" si="36"/>
        <v>4523.58</v>
      </c>
      <c r="M456" s="4">
        <f t="shared" si="37"/>
        <v>0.6</v>
      </c>
      <c r="N456" s="1">
        <f t="shared" si="38"/>
        <v>45495</v>
      </c>
      <c r="O456" s="3">
        <f>(Table13[[#This Row],[Units_Sold]]*Table13[[#This Row],[Unit_Price_Cleaned]]*(1-Table13[[#This Row],[Discount Cleaned]]))</f>
        <v>3618.864</v>
      </c>
      <c r="P456" t="str">
        <f t="shared" si="39"/>
        <v>Profit</v>
      </c>
      <c r="Q456" t="str" cm="1">
        <f t="array" ref="Q456">IF(K456="",INDEX($K$2:$K$2501,MATCH(MAX(COUNTIF($K$2:$K$2501,$K$2:$K$2501)),COUNTIF($K$2:$K$2501,$K$2:$K$2501),0)),K456)</f>
        <v>B2B</v>
      </c>
    </row>
    <row r="457" spans="1:17" x14ac:dyDescent="0.3">
      <c r="A457">
        <v>1455</v>
      </c>
      <c r="B457" t="s">
        <v>507</v>
      </c>
      <c r="C457" t="s">
        <v>33</v>
      </c>
      <c r="D457" t="s">
        <v>72</v>
      </c>
      <c r="E457">
        <v>2</v>
      </c>
      <c r="H457" s="3">
        <f t="shared" si="35"/>
        <v>5431.091698113205</v>
      </c>
      <c r="I457" s="1">
        <v>45629</v>
      </c>
      <c r="J457" t="s">
        <v>15</v>
      </c>
      <c r="L457" s="2">
        <f t="shared" si="36"/>
        <v>2715.5458490566025</v>
      </c>
      <c r="M457" s="4">
        <f t="shared" si="37"/>
        <v>0.6</v>
      </c>
      <c r="N457" s="1">
        <f t="shared" si="38"/>
        <v>45629</v>
      </c>
      <c r="O457" s="3">
        <f>(Table13[[#This Row],[Units_Sold]]*Table13[[#This Row],[Unit_Price_Cleaned]]*(1-Table13[[#This Row],[Discount Cleaned]]))</f>
        <v>2172.436679245282</v>
      </c>
      <c r="P457" t="str">
        <f t="shared" si="39"/>
        <v>Profit</v>
      </c>
      <c r="Q457" t="str" cm="1">
        <f t="array" ref="Q457">IF(K457="",INDEX($K$2:$K$2501,MATCH(MAX(COUNTIF($K$2:$K$2501,$K$2:$K$2501)),COUNTIF($K$2:$K$2501,$K$2:$K$2501),0)),K457)</f>
        <v>B2B</v>
      </c>
    </row>
    <row r="458" spans="1:17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 s="3">
        <f t="shared" si="35"/>
        <v>5552.4404000000004</v>
      </c>
      <c r="I458" s="1">
        <v>45702</v>
      </c>
      <c r="J458" t="s">
        <v>40</v>
      </c>
      <c r="K458" t="s">
        <v>16</v>
      </c>
      <c r="L458" s="2">
        <f t="shared" si="36"/>
        <v>2776.2202000000002</v>
      </c>
      <c r="M458" s="4">
        <f t="shared" si="37"/>
        <v>0.6</v>
      </c>
      <c r="N458" s="1">
        <f t="shared" si="38"/>
        <v>45702</v>
      </c>
      <c r="O458" s="3">
        <f>(Table13[[#This Row],[Units_Sold]]*Table13[[#This Row],[Unit_Price_Cleaned]]*(1-Table13[[#This Row],[Discount Cleaned]]))</f>
        <v>2220.9761600000002</v>
      </c>
      <c r="P458" t="str">
        <f t="shared" si="39"/>
        <v>Profit</v>
      </c>
      <c r="Q458" t="str" cm="1">
        <f t="array" ref="Q458">IF(K458="",INDEX($K$2:$K$2501,MATCH(MAX(COUNTIF($K$2:$K$2501,$K$2:$K$2501)),COUNTIF($K$2:$K$2501,$K$2:$K$2501),0)),K458)</f>
        <v>B2C</v>
      </c>
    </row>
    <row r="459" spans="1:17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 s="3">
        <f t="shared" si="35"/>
        <v>0</v>
      </c>
      <c r="J459" t="s">
        <v>40</v>
      </c>
      <c r="K459" t="s">
        <v>23</v>
      </c>
      <c r="L459" s="2">
        <f t="shared" si="36"/>
        <v>2342.25</v>
      </c>
      <c r="M459" s="4">
        <f t="shared" si="37"/>
        <v>0.6</v>
      </c>
      <c r="N459" s="1">
        <f t="shared" si="38"/>
        <v>45782</v>
      </c>
      <c r="O459" s="3">
        <f>(Table13[[#This Row],[Units_Sold]]*Table13[[#This Row],[Unit_Price_Cleaned]]*(1-Table13[[#This Row],[Discount Cleaned]]))</f>
        <v>0</v>
      </c>
      <c r="P459" t="str">
        <f t="shared" si="39"/>
        <v>Loss</v>
      </c>
      <c r="Q459" t="str" cm="1">
        <f t="array" ref="Q459">IF(K459="",INDEX($K$2:$K$2501,MATCH(MAX(COUNTIF($K$2:$K$2501,$K$2:$K$2501)),COUNTIF($K$2:$K$2501,$K$2:$K$2501),0)),K459)</f>
        <v>B2B</v>
      </c>
    </row>
    <row r="460" spans="1:17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 s="3">
        <f t="shared" si="35"/>
        <v>16087.046181818181</v>
      </c>
      <c r="J460" t="s">
        <v>22</v>
      </c>
      <c r="L460" s="2">
        <f t="shared" si="36"/>
        <v>2681.1743636363635</v>
      </c>
      <c r="M460" s="4">
        <f t="shared" si="37"/>
        <v>0.27</v>
      </c>
      <c r="N460" s="1">
        <f t="shared" si="38"/>
        <v>45782</v>
      </c>
      <c r="O460" s="3">
        <f>(Table13[[#This Row],[Units_Sold]]*Table13[[#This Row],[Unit_Price_Cleaned]]*(1-Table13[[#This Row],[Discount Cleaned]]))</f>
        <v>11743.543712727273</v>
      </c>
      <c r="P460" t="str">
        <f t="shared" si="39"/>
        <v>Profit</v>
      </c>
      <c r="Q460" t="str" cm="1">
        <f t="array" ref="Q460">IF(K460="",INDEX($K$2:$K$2501,MATCH(MAX(COUNTIF($K$2:$K$2501,$K$2:$K$2501)),COUNTIF($K$2:$K$2501,$K$2:$K$2501),0)),K460)</f>
        <v>B2B</v>
      </c>
    </row>
    <row r="461" spans="1:17" x14ac:dyDescent="0.3">
      <c r="A461">
        <v>1459</v>
      </c>
      <c r="B461" t="s">
        <v>511</v>
      </c>
      <c r="C461" t="s">
        <v>29</v>
      </c>
      <c r="D461" t="s">
        <v>42</v>
      </c>
      <c r="E461">
        <v>2</v>
      </c>
      <c r="F461">
        <v>2494.9899999999998</v>
      </c>
      <c r="G461">
        <v>0.98</v>
      </c>
      <c r="H461" s="3">
        <f t="shared" si="35"/>
        <v>4989.9799999999996</v>
      </c>
      <c r="I461" s="1">
        <v>45308</v>
      </c>
      <c r="J461" t="s">
        <v>46</v>
      </c>
      <c r="L461" s="2">
        <f t="shared" si="36"/>
        <v>2494.9899999999998</v>
      </c>
      <c r="M461" s="4">
        <f t="shared" si="37"/>
        <v>0.98</v>
      </c>
      <c r="N461" s="1">
        <f t="shared" si="38"/>
        <v>45308</v>
      </c>
      <c r="O461" s="3">
        <f>(Table13[[#This Row],[Units_Sold]]*Table13[[#This Row],[Unit_Price_Cleaned]]*(1-Table13[[#This Row],[Discount Cleaned]]))</f>
        <v>99.799600000000083</v>
      </c>
      <c r="P461" t="str">
        <f t="shared" si="39"/>
        <v>Loss</v>
      </c>
      <c r="Q461" t="str" cm="1">
        <f t="array" ref="Q461">IF(K461="",INDEX($K$2:$K$2501,MATCH(MAX(COUNTIF($K$2:$K$2501,$K$2:$K$2501)),COUNTIF($K$2:$K$2501,$K$2:$K$2501),0)),K461)</f>
        <v>B2B</v>
      </c>
    </row>
    <row r="462" spans="1:17" x14ac:dyDescent="0.3">
      <c r="A462">
        <v>1460</v>
      </c>
      <c r="B462" t="s">
        <v>512</v>
      </c>
      <c r="C462" t="s">
        <v>20</v>
      </c>
      <c r="D462" t="s">
        <v>122</v>
      </c>
      <c r="E462">
        <v>2</v>
      </c>
      <c r="F462">
        <v>4264.16</v>
      </c>
      <c r="H462" s="3">
        <f t="shared" si="35"/>
        <v>8528.32</v>
      </c>
      <c r="I462" s="1">
        <v>45577</v>
      </c>
      <c r="J462" t="s">
        <v>15</v>
      </c>
      <c r="K462" t="s">
        <v>23</v>
      </c>
      <c r="L462" s="2">
        <f t="shared" si="36"/>
        <v>4264.16</v>
      </c>
      <c r="M462" s="4">
        <f t="shared" si="37"/>
        <v>0.6</v>
      </c>
      <c r="N462" s="1">
        <f t="shared" si="38"/>
        <v>45577</v>
      </c>
      <c r="O462" s="3">
        <f>(Table13[[#This Row],[Units_Sold]]*Table13[[#This Row],[Unit_Price_Cleaned]]*(1-Table13[[#This Row],[Discount Cleaned]]))</f>
        <v>3411.328</v>
      </c>
      <c r="P462" t="str">
        <f t="shared" si="39"/>
        <v>Profit</v>
      </c>
      <c r="Q462" t="str" cm="1">
        <f t="array" ref="Q462">IF(K462="",INDEX($K$2:$K$2501,MATCH(MAX(COUNTIF($K$2:$K$2501,$K$2:$K$2501)),COUNTIF($K$2:$K$2501,$K$2:$K$2501),0)),K462)</f>
        <v>B2B</v>
      </c>
    </row>
    <row r="463" spans="1:17" x14ac:dyDescent="0.3">
      <c r="A463">
        <v>1461</v>
      </c>
      <c r="B463" t="s">
        <v>513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 s="3">
        <f t="shared" si="35"/>
        <v>5416.7</v>
      </c>
      <c r="J463" t="s">
        <v>56</v>
      </c>
      <c r="K463" t="s">
        <v>16</v>
      </c>
      <c r="L463" s="2">
        <f t="shared" si="36"/>
        <v>2708.35</v>
      </c>
      <c r="M463" s="4">
        <f t="shared" si="37"/>
        <v>1.06</v>
      </c>
      <c r="N463" s="1">
        <f t="shared" si="38"/>
        <v>45782</v>
      </c>
      <c r="O463" s="3">
        <f>(Table13[[#This Row],[Units_Sold]]*Table13[[#This Row],[Unit_Price_Cleaned]]*(1-Table13[[#This Row],[Discount Cleaned]]))</f>
        <v>-325.00200000000029</v>
      </c>
      <c r="P463" t="str">
        <f t="shared" si="39"/>
        <v>Loss</v>
      </c>
      <c r="Q463" t="str" cm="1">
        <f t="array" ref="Q463">IF(K463="",INDEX($K$2:$K$2501,MATCH(MAX(COUNTIF($K$2:$K$2501,$K$2:$K$2501)),COUNTIF($K$2:$K$2501,$K$2:$K$2501),0)),K463)</f>
        <v>B2C</v>
      </c>
    </row>
    <row r="464" spans="1:17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 s="3">
        <f t="shared" si="35"/>
        <v>-2681.1743636363635</v>
      </c>
      <c r="I464" s="1">
        <v>45725</v>
      </c>
      <c r="J464" t="s">
        <v>15</v>
      </c>
      <c r="K464" t="s">
        <v>16</v>
      </c>
      <c r="L464" s="2">
        <f t="shared" si="36"/>
        <v>2681.1743636363635</v>
      </c>
      <c r="M464" s="4">
        <f t="shared" si="37"/>
        <v>0.6</v>
      </c>
      <c r="N464" s="1">
        <f t="shared" si="38"/>
        <v>45725</v>
      </c>
      <c r="O464" s="3">
        <f>(Table13[[#This Row],[Units_Sold]]*Table13[[#This Row],[Unit_Price_Cleaned]]*(1-Table13[[#This Row],[Discount Cleaned]]))</f>
        <v>-1072.4697454545455</v>
      </c>
      <c r="P464" t="str">
        <f t="shared" si="39"/>
        <v>Loss</v>
      </c>
      <c r="Q464" t="str" cm="1">
        <f t="array" ref="Q464">IF(K464="",INDEX($K$2:$K$2501,MATCH(MAX(COUNTIF($K$2:$K$2501,$K$2:$K$2501)),COUNTIF($K$2:$K$2501,$K$2:$K$2501),0)),K464)</f>
        <v>B2C</v>
      </c>
    </row>
    <row r="465" spans="1:17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 s="3">
        <f t="shared" si="35"/>
        <v>4606.09</v>
      </c>
      <c r="I465" s="1">
        <v>45825</v>
      </c>
      <c r="J465" t="s">
        <v>15</v>
      </c>
      <c r="K465" t="s">
        <v>23</v>
      </c>
      <c r="L465" s="2">
        <f t="shared" si="36"/>
        <v>4606.09</v>
      </c>
      <c r="M465" s="4">
        <f t="shared" si="37"/>
        <v>1.1200000000000001</v>
      </c>
      <c r="N465" s="1">
        <f t="shared" si="38"/>
        <v>45825</v>
      </c>
      <c r="O465" s="3">
        <f>(Table13[[#This Row],[Units_Sold]]*Table13[[#This Row],[Unit_Price_Cleaned]]*(1-Table13[[#This Row],[Discount Cleaned]]))</f>
        <v>-552.7308000000005</v>
      </c>
      <c r="P465" t="str">
        <f t="shared" si="39"/>
        <v>Loss</v>
      </c>
      <c r="Q465" t="str" cm="1">
        <f t="array" ref="Q465">IF(K465="",INDEX($K$2:$K$2501,MATCH(MAX(COUNTIF($K$2:$K$2501,$K$2:$K$2501)),COUNTIF($K$2:$K$2501,$K$2:$K$2501),0)),K465)</f>
        <v>B2B</v>
      </c>
    </row>
    <row r="466" spans="1:17" x14ac:dyDescent="0.3">
      <c r="A466">
        <v>1464</v>
      </c>
      <c r="B466" t="s">
        <v>516</v>
      </c>
      <c r="C466" t="s">
        <v>38</v>
      </c>
      <c r="D466" t="s">
        <v>63</v>
      </c>
      <c r="E466">
        <v>2</v>
      </c>
      <c r="H466" s="3">
        <f t="shared" si="35"/>
        <v>5690.4839344262318</v>
      </c>
      <c r="I466" s="1">
        <v>45783</v>
      </c>
      <c r="J466" t="s">
        <v>40</v>
      </c>
      <c r="K466" t="s">
        <v>16</v>
      </c>
      <c r="L466" s="2">
        <f t="shared" si="36"/>
        <v>2845.2419672131159</v>
      </c>
      <c r="M466" s="4">
        <f t="shared" si="37"/>
        <v>0.6</v>
      </c>
      <c r="N466" s="1">
        <f t="shared" si="38"/>
        <v>45783</v>
      </c>
      <c r="O466" s="3">
        <f>(Table13[[#This Row],[Units_Sold]]*Table13[[#This Row],[Unit_Price_Cleaned]]*(1-Table13[[#This Row],[Discount Cleaned]]))</f>
        <v>2276.193573770493</v>
      </c>
      <c r="P466" t="str">
        <f t="shared" si="39"/>
        <v>Profit</v>
      </c>
      <c r="Q466" t="str" cm="1">
        <f t="array" ref="Q466">IF(K466="",INDEX($K$2:$K$2501,MATCH(MAX(COUNTIF($K$2:$K$2501,$K$2:$K$2501)),COUNTIF($K$2:$K$2501,$K$2:$K$2501),0)),K466)</f>
        <v>B2C</v>
      </c>
    </row>
    <row r="467" spans="1:17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 s="3">
        <f t="shared" si="35"/>
        <v>-4430.8</v>
      </c>
      <c r="I467" s="1">
        <v>45708</v>
      </c>
      <c r="J467" t="s">
        <v>56</v>
      </c>
      <c r="L467" s="2">
        <f t="shared" si="36"/>
        <v>2215.4</v>
      </c>
      <c r="M467" s="4">
        <f t="shared" si="37"/>
        <v>0.96</v>
      </c>
      <c r="N467" s="1">
        <f t="shared" si="38"/>
        <v>45708</v>
      </c>
      <c r="O467" s="3">
        <f>(Table13[[#This Row],[Units_Sold]]*Table13[[#This Row],[Unit_Price_Cleaned]]*(1-Table13[[#This Row],[Discount Cleaned]]))</f>
        <v>-177.23200000000017</v>
      </c>
      <c r="P467" t="str">
        <f t="shared" si="39"/>
        <v>Loss</v>
      </c>
      <c r="Q467" t="str" cm="1">
        <f t="array" ref="Q467">IF(K467="",INDEX($K$2:$K$2501,MATCH(MAX(COUNTIF($K$2:$K$2501,$K$2:$K$2501)),COUNTIF($K$2:$K$2501,$K$2:$K$2501),0)),K467)</f>
        <v>B2B</v>
      </c>
    </row>
    <row r="468" spans="1:17" x14ac:dyDescent="0.3">
      <c r="A468">
        <v>1014</v>
      </c>
      <c r="B468" t="s">
        <v>518</v>
      </c>
      <c r="C468" t="s">
        <v>38</v>
      </c>
      <c r="D468" t="s">
        <v>63</v>
      </c>
      <c r="E468">
        <v>2</v>
      </c>
      <c r="F468">
        <v>3172.11</v>
      </c>
      <c r="H468" s="3">
        <f t="shared" si="35"/>
        <v>6344.22</v>
      </c>
      <c r="I468" s="1">
        <v>45176</v>
      </c>
      <c r="J468" t="s">
        <v>22</v>
      </c>
      <c r="K468" t="s">
        <v>16</v>
      </c>
      <c r="L468" s="2">
        <f t="shared" si="36"/>
        <v>3172.11</v>
      </c>
      <c r="M468" s="4">
        <f t="shared" si="37"/>
        <v>0.6</v>
      </c>
      <c r="N468" s="1">
        <f t="shared" si="38"/>
        <v>45176</v>
      </c>
      <c r="O468" s="3">
        <f>(Table13[[#This Row],[Units_Sold]]*Table13[[#This Row],[Unit_Price_Cleaned]]*(1-Table13[[#This Row],[Discount Cleaned]]))</f>
        <v>2537.6880000000001</v>
      </c>
      <c r="P468" t="str">
        <f t="shared" si="39"/>
        <v>Profit</v>
      </c>
      <c r="Q468" t="str" cm="1">
        <f t="array" ref="Q468">IF(K468="",INDEX($K$2:$K$2501,MATCH(MAX(COUNTIF($K$2:$K$2501,$K$2:$K$2501)),COUNTIF($K$2:$K$2501,$K$2:$K$2501),0)),K468)</f>
        <v>B2C</v>
      </c>
    </row>
    <row r="469" spans="1:17" x14ac:dyDescent="0.3">
      <c r="A469">
        <v>1030</v>
      </c>
      <c r="B469" t="s">
        <v>519</v>
      </c>
      <c r="C469" t="s">
        <v>25</v>
      </c>
      <c r="D469" t="s">
        <v>54</v>
      </c>
      <c r="E469">
        <v>2</v>
      </c>
      <c r="F469">
        <v>3389.44</v>
      </c>
      <c r="G469">
        <v>0.09</v>
      </c>
      <c r="H469" s="3">
        <f t="shared" si="35"/>
        <v>6778.88</v>
      </c>
      <c r="I469" s="1">
        <v>45628</v>
      </c>
      <c r="J469" t="s">
        <v>15</v>
      </c>
      <c r="K469" t="s">
        <v>23</v>
      </c>
      <c r="L469" s="2">
        <f t="shared" si="36"/>
        <v>3389.44</v>
      </c>
      <c r="M469" s="4">
        <f t="shared" si="37"/>
        <v>0.09</v>
      </c>
      <c r="N469" s="1">
        <f t="shared" si="38"/>
        <v>45628</v>
      </c>
      <c r="O469" s="3">
        <f>(Table13[[#This Row],[Units_Sold]]*Table13[[#This Row],[Unit_Price_Cleaned]]*(1-Table13[[#This Row],[Discount Cleaned]]))</f>
        <v>6168.7808000000005</v>
      </c>
      <c r="P469" t="str">
        <f t="shared" si="39"/>
        <v>Profit</v>
      </c>
      <c r="Q469" t="str" cm="1">
        <f t="array" ref="Q469">IF(K469="",INDEX($K$2:$K$2501,MATCH(MAX(COUNTIF($K$2:$K$2501,$K$2:$K$2501)),COUNTIF($K$2:$K$2501,$K$2:$K$2501),0)),K469)</f>
        <v>B2B</v>
      </c>
    </row>
    <row r="470" spans="1:17" x14ac:dyDescent="0.3">
      <c r="A470">
        <v>1468</v>
      </c>
      <c r="B470" t="s">
        <v>520</v>
      </c>
      <c r="C470" t="s">
        <v>33</v>
      </c>
      <c r="D470" t="s">
        <v>82</v>
      </c>
      <c r="E470">
        <v>2</v>
      </c>
      <c r="F470">
        <v>3332.84</v>
      </c>
      <c r="G470">
        <v>0.27</v>
      </c>
      <c r="H470" s="3">
        <f t="shared" si="35"/>
        <v>6665.68</v>
      </c>
      <c r="I470" s="1">
        <v>45153</v>
      </c>
      <c r="J470" t="s">
        <v>18</v>
      </c>
      <c r="L470" s="2">
        <f t="shared" si="36"/>
        <v>3332.84</v>
      </c>
      <c r="M470" s="4">
        <f t="shared" si="37"/>
        <v>0.27</v>
      </c>
      <c r="N470" s="1">
        <f t="shared" si="38"/>
        <v>45153</v>
      </c>
      <c r="O470" s="3">
        <f>(Table13[[#This Row],[Units_Sold]]*Table13[[#This Row],[Unit_Price_Cleaned]]*(1-Table13[[#This Row],[Discount Cleaned]]))</f>
        <v>4865.9463999999998</v>
      </c>
      <c r="P470" t="str">
        <f t="shared" si="39"/>
        <v>Profit</v>
      </c>
      <c r="Q470" t="str" cm="1">
        <f t="array" ref="Q470">IF(K470="",INDEX($K$2:$K$2501,MATCH(MAX(COUNTIF($K$2:$K$2501,$K$2:$K$2501)),COUNTIF($K$2:$K$2501,$K$2:$K$2501),0)),K470)</f>
        <v>B2B</v>
      </c>
    </row>
    <row r="471" spans="1:17" x14ac:dyDescent="0.3">
      <c r="A471">
        <v>1469</v>
      </c>
      <c r="B471" t="s">
        <v>521</v>
      </c>
      <c r="C471" t="s">
        <v>38</v>
      </c>
      <c r="D471" t="s">
        <v>63</v>
      </c>
      <c r="E471">
        <v>2</v>
      </c>
      <c r="F471">
        <v>2665.7</v>
      </c>
      <c r="G471">
        <v>0.49</v>
      </c>
      <c r="H471" s="3">
        <f t="shared" si="35"/>
        <v>5331.4</v>
      </c>
      <c r="I471" s="1">
        <v>45682</v>
      </c>
      <c r="J471" t="s">
        <v>40</v>
      </c>
      <c r="K471" t="s">
        <v>23</v>
      </c>
      <c r="L471" s="2">
        <f t="shared" si="36"/>
        <v>2665.7</v>
      </c>
      <c r="M471" s="4">
        <f t="shared" si="37"/>
        <v>0.49</v>
      </c>
      <c r="N471" s="1">
        <f t="shared" si="38"/>
        <v>45682</v>
      </c>
      <c r="O471" s="3">
        <f>(Table13[[#This Row],[Units_Sold]]*Table13[[#This Row],[Unit_Price_Cleaned]]*(1-Table13[[#This Row],[Discount Cleaned]]))</f>
        <v>2719.0139999999997</v>
      </c>
      <c r="P471" t="str">
        <f t="shared" si="39"/>
        <v>Profit</v>
      </c>
      <c r="Q471" t="str" cm="1">
        <f t="array" ref="Q471">IF(K471="",INDEX($K$2:$K$2501,MATCH(MAX(COUNTIF($K$2:$K$2501,$K$2:$K$2501)),COUNTIF($K$2:$K$2501,$K$2:$K$2501),0)),K471)</f>
        <v>B2B</v>
      </c>
    </row>
    <row r="472" spans="1:17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 s="3">
        <f t="shared" si="35"/>
        <v>-1376.54</v>
      </c>
      <c r="J472" t="s">
        <v>56</v>
      </c>
      <c r="L472" s="2">
        <f t="shared" si="36"/>
        <v>1376.54</v>
      </c>
      <c r="M472" s="4">
        <f t="shared" si="37"/>
        <v>0.6</v>
      </c>
      <c r="N472" s="1">
        <f t="shared" si="38"/>
        <v>45782</v>
      </c>
      <c r="O472" s="3">
        <f>(Table13[[#This Row],[Units_Sold]]*Table13[[#This Row],[Unit_Price_Cleaned]]*(1-Table13[[#This Row],[Discount Cleaned]]))</f>
        <v>-550.61599999999999</v>
      </c>
      <c r="P472" t="str">
        <f t="shared" si="39"/>
        <v>Loss</v>
      </c>
      <c r="Q472" t="str" cm="1">
        <f t="array" ref="Q472">IF(K472="",INDEX($K$2:$K$2501,MATCH(MAX(COUNTIF($K$2:$K$2501,$K$2:$K$2501)),COUNTIF($K$2:$K$2501,$K$2:$K$2501),0)),K472)</f>
        <v>B2B</v>
      </c>
    </row>
    <row r="473" spans="1:17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 s="3">
        <f t="shared" si="35"/>
        <v>-9764.06</v>
      </c>
      <c r="I473" s="1">
        <v>45159</v>
      </c>
      <c r="J473" t="s">
        <v>56</v>
      </c>
      <c r="K473" t="s">
        <v>16</v>
      </c>
      <c r="L473" s="2">
        <f t="shared" si="36"/>
        <v>4882.03</v>
      </c>
      <c r="M473" s="4">
        <f t="shared" si="37"/>
        <v>0.23</v>
      </c>
      <c r="N473" s="1">
        <f t="shared" si="38"/>
        <v>45159</v>
      </c>
      <c r="O473" s="3">
        <f>(Table13[[#This Row],[Units_Sold]]*Table13[[#This Row],[Unit_Price_Cleaned]]*(1-Table13[[#This Row],[Discount Cleaned]]))</f>
        <v>-7518.3261999999995</v>
      </c>
      <c r="P473" t="str">
        <f t="shared" si="39"/>
        <v>Loss</v>
      </c>
      <c r="Q473" t="str" cm="1">
        <f t="array" ref="Q473">IF(K473="",INDEX($K$2:$K$2501,MATCH(MAX(COUNTIF($K$2:$K$2501,$K$2:$K$2501)),COUNTIF($K$2:$K$2501,$K$2:$K$2501),0)),K473)</f>
        <v>B2C</v>
      </c>
    </row>
    <row r="474" spans="1:17" x14ac:dyDescent="0.3">
      <c r="A474">
        <v>1472</v>
      </c>
      <c r="B474" t="s">
        <v>524</v>
      </c>
      <c r="C474" t="s">
        <v>29</v>
      </c>
      <c r="D474" t="s">
        <v>30</v>
      </c>
      <c r="E474">
        <v>2</v>
      </c>
      <c r="G474">
        <v>1.01</v>
      </c>
      <c r="H474" s="3">
        <f t="shared" si="35"/>
        <v>5235.2780769230776</v>
      </c>
      <c r="I474" s="1">
        <v>45591</v>
      </c>
      <c r="J474" t="s">
        <v>22</v>
      </c>
      <c r="K474" t="s">
        <v>16</v>
      </c>
      <c r="L474" s="2">
        <f t="shared" si="36"/>
        <v>2617.6390384615388</v>
      </c>
      <c r="M474" s="4">
        <f t="shared" si="37"/>
        <v>1.01</v>
      </c>
      <c r="N474" s="1">
        <f t="shared" si="38"/>
        <v>45591</v>
      </c>
      <c r="O474" s="3">
        <f>(Table13[[#This Row],[Units_Sold]]*Table13[[#This Row],[Unit_Price_Cleaned]]*(1-Table13[[#This Row],[Discount Cleaned]]))</f>
        <v>-52.352780769230826</v>
      </c>
      <c r="P474" t="str">
        <f t="shared" si="39"/>
        <v>Loss</v>
      </c>
      <c r="Q474" t="str" cm="1">
        <f t="array" ref="Q474">IF(K474="",INDEX($K$2:$K$2501,MATCH(MAX(COUNTIF($K$2:$K$2501,$K$2:$K$2501)),COUNTIF($K$2:$K$2501,$K$2:$K$2501),0)),K474)</f>
        <v>B2C</v>
      </c>
    </row>
    <row r="475" spans="1:17" x14ac:dyDescent="0.3">
      <c r="A475">
        <v>1473</v>
      </c>
      <c r="B475" t="s">
        <v>525</v>
      </c>
      <c r="C475" t="s">
        <v>33</v>
      </c>
      <c r="D475" t="s">
        <v>82</v>
      </c>
      <c r="E475">
        <v>2</v>
      </c>
      <c r="G475">
        <v>0.08</v>
      </c>
      <c r="H475" s="3">
        <f t="shared" si="35"/>
        <v>5552.4404000000004</v>
      </c>
      <c r="J475" t="s">
        <v>40</v>
      </c>
      <c r="K475" t="s">
        <v>16</v>
      </c>
      <c r="L475" s="2">
        <f t="shared" si="36"/>
        <v>2776.2202000000002</v>
      </c>
      <c r="M475" s="4">
        <f t="shared" si="37"/>
        <v>0.08</v>
      </c>
      <c r="N475" s="1">
        <f t="shared" si="38"/>
        <v>45782</v>
      </c>
      <c r="O475" s="3">
        <f>(Table13[[#This Row],[Units_Sold]]*Table13[[#This Row],[Unit_Price_Cleaned]]*(1-Table13[[#This Row],[Discount Cleaned]]))</f>
        <v>5108.2451680000004</v>
      </c>
      <c r="P475" t="str">
        <f t="shared" si="39"/>
        <v>Profit</v>
      </c>
      <c r="Q475" t="str" cm="1">
        <f t="array" ref="Q475">IF(K475="",INDEX($K$2:$K$2501,MATCH(MAX(COUNTIF($K$2:$K$2501,$K$2:$K$2501)),COUNTIF($K$2:$K$2501,$K$2:$K$2501),0)),K475)</f>
        <v>B2C</v>
      </c>
    </row>
    <row r="476" spans="1:17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 s="3">
        <f t="shared" si="35"/>
        <v>10903.422857142859</v>
      </c>
      <c r="I476" s="1">
        <v>45681</v>
      </c>
      <c r="J476" t="s">
        <v>40</v>
      </c>
      <c r="K476" t="s">
        <v>16</v>
      </c>
      <c r="L476" s="2">
        <f t="shared" si="36"/>
        <v>2725.8557142857148</v>
      </c>
      <c r="M476" s="4">
        <f t="shared" si="37"/>
        <v>0.6</v>
      </c>
      <c r="N476" s="1">
        <f t="shared" si="38"/>
        <v>45681</v>
      </c>
      <c r="O476" s="3">
        <f>(Table13[[#This Row],[Units_Sold]]*Table13[[#This Row],[Unit_Price_Cleaned]]*(1-Table13[[#This Row],[Discount Cleaned]]))</f>
        <v>4361.3691428571437</v>
      </c>
      <c r="P476" t="str">
        <f t="shared" si="39"/>
        <v>Profit</v>
      </c>
      <c r="Q476" t="str" cm="1">
        <f t="array" ref="Q476">IF(K476="",INDEX($K$2:$K$2501,MATCH(MAX(COUNTIF($K$2:$K$2501,$K$2:$K$2501)),COUNTIF($K$2:$K$2501,$K$2:$K$2501),0)),K476)</f>
        <v>B2C</v>
      </c>
    </row>
    <row r="477" spans="1:17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 s="3">
        <f t="shared" si="35"/>
        <v>-7384.5</v>
      </c>
      <c r="I477" s="1">
        <v>45607</v>
      </c>
      <c r="J477" t="s">
        <v>22</v>
      </c>
      <c r="K477" t="s">
        <v>16</v>
      </c>
      <c r="L477" s="2">
        <f t="shared" si="36"/>
        <v>3692.25</v>
      </c>
      <c r="M477" s="4">
        <f t="shared" si="37"/>
        <v>0.6</v>
      </c>
      <c r="N477" s="1">
        <f t="shared" si="38"/>
        <v>45607</v>
      </c>
      <c r="O477" s="3">
        <f>(Table13[[#This Row],[Units_Sold]]*Table13[[#This Row],[Unit_Price_Cleaned]]*(1-Table13[[#This Row],[Discount Cleaned]]))</f>
        <v>-2953.8</v>
      </c>
      <c r="P477" t="str">
        <f t="shared" si="39"/>
        <v>Loss</v>
      </c>
      <c r="Q477" t="str" cm="1">
        <f t="array" ref="Q477">IF(K477="",INDEX($K$2:$K$2501,MATCH(MAX(COUNTIF($K$2:$K$2501,$K$2:$K$2501)),COUNTIF($K$2:$K$2501,$K$2:$K$2501),0)),K477)</f>
        <v>B2C</v>
      </c>
    </row>
    <row r="478" spans="1:17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 s="3">
        <f t="shared" si="35"/>
        <v>12881.528448275858</v>
      </c>
      <c r="I478" s="1">
        <v>45859</v>
      </c>
      <c r="J478" t="s">
        <v>40</v>
      </c>
      <c r="K478" t="s">
        <v>16</v>
      </c>
      <c r="L478" s="2">
        <f t="shared" si="36"/>
        <v>2576.3056896551716</v>
      </c>
      <c r="M478" s="4">
        <f t="shared" si="37"/>
        <v>0.56999999999999995</v>
      </c>
      <c r="N478" s="1">
        <f t="shared" si="38"/>
        <v>45859</v>
      </c>
      <c r="O478" s="3">
        <f>(Table13[[#This Row],[Units_Sold]]*Table13[[#This Row],[Unit_Price_Cleaned]]*(1-Table13[[#This Row],[Discount Cleaned]]))</f>
        <v>5539.0572327586196</v>
      </c>
      <c r="P478" t="str">
        <f t="shared" si="39"/>
        <v>Profit</v>
      </c>
      <c r="Q478" t="str" cm="1">
        <f t="array" ref="Q478">IF(K478="",INDEX($K$2:$K$2501,MATCH(MAX(COUNTIF($K$2:$K$2501,$K$2:$K$2501)),COUNTIF($K$2:$K$2501,$K$2:$K$2501),0)),K478)</f>
        <v>B2C</v>
      </c>
    </row>
    <row r="479" spans="1:17" x14ac:dyDescent="0.3">
      <c r="A479">
        <v>1477</v>
      </c>
      <c r="B479" t="s">
        <v>529</v>
      </c>
      <c r="C479" t="s">
        <v>38</v>
      </c>
      <c r="D479" t="s">
        <v>91</v>
      </c>
      <c r="E479">
        <v>2</v>
      </c>
      <c r="F479">
        <v>2277.1999999999998</v>
      </c>
      <c r="H479" s="3">
        <f t="shared" si="35"/>
        <v>4554.3999999999996</v>
      </c>
      <c r="I479" s="1">
        <v>45749</v>
      </c>
      <c r="J479" t="s">
        <v>56</v>
      </c>
      <c r="L479" s="2">
        <f t="shared" si="36"/>
        <v>2277.1999999999998</v>
      </c>
      <c r="M479" s="4">
        <f t="shared" si="37"/>
        <v>0.6</v>
      </c>
      <c r="N479" s="1">
        <f t="shared" si="38"/>
        <v>45749</v>
      </c>
      <c r="O479" s="3">
        <f>(Table13[[#This Row],[Units_Sold]]*Table13[[#This Row],[Unit_Price_Cleaned]]*(1-Table13[[#This Row],[Discount Cleaned]]))</f>
        <v>1821.76</v>
      </c>
      <c r="P479" t="str">
        <f t="shared" si="39"/>
        <v>Profit</v>
      </c>
      <c r="Q479" t="str" cm="1">
        <f t="array" ref="Q479">IF(K479="",INDEX($K$2:$K$2501,MATCH(MAX(COUNTIF($K$2:$K$2501,$K$2:$K$2501)),COUNTIF($K$2:$K$2501,$K$2:$K$2501),0)),K479)</f>
        <v>B2B</v>
      </c>
    </row>
    <row r="480" spans="1:17" x14ac:dyDescent="0.3">
      <c r="A480">
        <v>1478</v>
      </c>
      <c r="B480" t="s">
        <v>530</v>
      </c>
      <c r="C480" t="s">
        <v>20</v>
      </c>
      <c r="D480" t="s">
        <v>88</v>
      </c>
      <c r="E480">
        <v>2</v>
      </c>
      <c r="F480">
        <v>2277.41</v>
      </c>
      <c r="H480" s="3">
        <f t="shared" si="35"/>
        <v>4554.82</v>
      </c>
      <c r="I480" s="1">
        <v>45491</v>
      </c>
      <c r="J480" t="s">
        <v>18</v>
      </c>
      <c r="L480" s="2">
        <f t="shared" si="36"/>
        <v>2277.41</v>
      </c>
      <c r="M480" s="4">
        <f t="shared" si="37"/>
        <v>0.6</v>
      </c>
      <c r="N480" s="1">
        <f t="shared" si="38"/>
        <v>45491</v>
      </c>
      <c r="O480" s="3">
        <f>(Table13[[#This Row],[Units_Sold]]*Table13[[#This Row],[Unit_Price_Cleaned]]*(1-Table13[[#This Row],[Discount Cleaned]]))</f>
        <v>1821.9279999999999</v>
      </c>
      <c r="P480" t="str">
        <f t="shared" si="39"/>
        <v>Profit</v>
      </c>
      <c r="Q480" t="str" cm="1">
        <f t="array" ref="Q480">IF(K480="",INDEX($K$2:$K$2501,MATCH(MAX(COUNTIF($K$2:$K$2501,$K$2:$K$2501)),COUNTIF($K$2:$K$2501,$K$2:$K$2501),0)),K480)</f>
        <v>B2B</v>
      </c>
    </row>
    <row r="481" spans="1:17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 s="3">
        <f t="shared" si="35"/>
        <v>2804.2651923076919</v>
      </c>
      <c r="J481" t="s">
        <v>18</v>
      </c>
      <c r="K481" t="s">
        <v>16</v>
      </c>
      <c r="L481" s="2">
        <f t="shared" si="36"/>
        <v>2804.2651923076919</v>
      </c>
      <c r="M481" s="4">
        <f t="shared" si="37"/>
        <v>0.6</v>
      </c>
      <c r="N481" s="1">
        <f t="shared" si="38"/>
        <v>45782</v>
      </c>
      <c r="O481" s="3">
        <f>(Table13[[#This Row],[Units_Sold]]*Table13[[#This Row],[Unit_Price_Cleaned]]*(1-Table13[[#This Row],[Discount Cleaned]]))</f>
        <v>1121.7060769230768</v>
      </c>
      <c r="P481" t="str">
        <f t="shared" si="39"/>
        <v>Profit</v>
      </c>
      <c r="Q481" t="str" cm="1">
        <f t="array" ref="Q481">IF(K481="",INDEX($K$2:$K$2501,MATCH(MAX(COUNTIF($K$2:$K$2501,$K$2:$K$2501)),COUNTIF($K$2:$K$2501,$K$2:$K$2501),0)),K481)</f>
        <v>B2C</v>
      </c>
    </row>
    <row r="482" spans="1:17" x14ac:dyDescent="0.3">
      <c r="A482">
        <v>1480</v>
      </c>
      <c r="B482" t="s">
        <v>532</v>
      </c>
      <c r="C482" t="s">
        <v>20</v>
      </c>
      <c r="D482" t="s">
        <v>88</v>
      </c>
      <c r="E482">
        <v>2</v>
      </c>
      <c r="F482">
        <v>755.42</v>
      </c>
      <c r="H482" s="3">
        <f t="shared" si="35"/>
        <v>1510.84</v>
      </c>
      <c r="I482" s="1">
        <v>45420</v>
      </c>
      <c r="J482" t="s">
        <v>46</v>
      </c>
      <c r="L482" s="2">
        <f t="shared" si="36"/>
        <v>755.42</v>
      </c>
      <c r="M482" s="4">
        <f t="shared" si="37"/>
        <v>0.6</v>
      </c>
      <c r="N482" s="1">
        <f t="shared" si="38"/>
        <v>45420</v>
      </c>
      <c r="O482" s="3">
        <f>(Table13[[#This Row],[Units_Sold]]*Table13[[#This Row],[Unit_Price_Cleaned]]*(1-Table13[[#This Row],[Discount Cleaned]]))</f>
        <v>604.33600000000001</v>
      </c>
      <c r="P482" t="str">
        <f t="shared" si="39"/>
        <v>Profit</v>
      </c>
      <c r="Q482" t="str" cm="1">
        <f t="array" ref="Q482">IF(K482="",INDEX($K$2:$K$2501,MATCH(MAX(COUNTIF($K$2:$K$2501,$K$2:$K$2501)),COUNTIF($K$2:$K$2501,$K$2:$K$2501),0)),K482)</f>
        <v>B2B</v>
      </c>
    </row>
    <row r="483" spans="1:17" x14ac:dyDescent="0.3">
      <c r="A483">
        <v>1481</v>
      </c>
      <c r="B483" t="s">
        <v>533</v>
      </c>
      <c r="C483" t="s">
        <v>29</v>
      </c>
      <c r="D483" t="s">
        <v>120</v>
      </c>
      <c r="E483">
        <v>2</v>
      </c>
      <c r="G483">
        <v>0.97</v>
      </c>
      <c r="H483" s="3">
        <f t="shared" si="35"/>
        <v>5660.2651428571462</v>
      </c>
      <c r="J483" t="s">
        <v>15</v>
      </c>
      <c r="K483" t="s">
        <v>16</v>
      </c>
      <c r="L483" s="2">
        <f t="shared" si="36"/>
        <v>2830.1325714285731</v>
      </c>
      <c r="M483" s="4">
        <f t="shared" si="37"/>
        <v>0.97</v>
      </c>
      <c r="N483" s="1">
        <f t="shared" si="38"/>
        <v>45782</v>
      </c>
      <c r="O483" s="3">
        <f>(Table13[[#This Row],[Units_Sold]]*Table13[[#This Row],[Unit_Price_Cleaned]]*(1-Table13[[#This Row],[Discount Cleaned]]))</f>
        <v>169.80795428571454</v>
      </c>
      <c r="P483" t="str">
        <f t="shared" si="39"/>
        <v>Loss</v>
      </c>
      <c r="Q483" t="str" cm="1">
        <f t="array" ref="Q483">IF(K483="",INDEX($K$2:$K$2501,MATCH(MAX(COUNTIF($K$2:$K$2501,$K$2:$K$2501)),COUNTIF($K$2:$K$2501,$K$2:$K$2501),0)),K483)</f>
        <v>B2C</v>
      </c>
    </row>
    <row r="484" spans="1:17" x14ac:dyDescent="0.3">
      <c r="A484">
        <v>1482</v>
      </c>
      <c r="B484" t="s">
        <v>534</v>
      </c>
      <c r="C484" t="s">
        <v>25</v>
      </c>
      <c r="D484" t="s">
        <v>66</v>
      </c>
      <c r="E484">
        <v>2</v>
      </c>
      <c r="F484">
        <v>1269.51</v>
      </c>
      <c r="H484" s="3">
        <f t="shared" si="35"/>
        <v>2539.02</v>
      </c>
      <c r="I484" s="1">
        <v>45742</v>
      </c>
      <c r="J484" t="s">
        <v>18</v>
      </c>
      <c r="K484" t="s">
        <v>16</v>
      </c>
      <c r="L484" s="2">
        <f t="shared" si="36"/>
        <v>1269.51</v>
      </c>
      <c r="M484" s="4">
        <f t="shared" si="37"/>
        <v>0.6</v>
      </c>
      <c r="N484" s="1">
        <f t="shared" si="38"/>
        <v>45742</v>
      </c>
      <c r="O484" s="3">
        <f>(Table13[[#This Row],[Units_Sold]]*Table13[[#This Row],[Unit_Price_Cleaned]]*(1-Table13[[#This Row],[Discount Cleaned]]))</f>
        <v>1015.6080000000001</v>
      </c>
      <c r="P484" t="str">
        <f t="shared" si="39"/>
        <v>Profit</v>
      </c>
      <c r="Q484" t="str" cm="1">
        <f t="array" ref="Q484">IF(K484="",INDEX($K$2:$K$2501,MATCH(MAX(COUNTIF($K$2:$K$2501,$K$2:$K$2501)),COUNTIF($K$2:$K$2501,$K$2:$K$2501),0)),K484)</f>
        <v>B2C</v>
      </c>
    </row>
    <row r="485" spans="1:17" x14ac:dyDescent="0.3">
      <c r="A485">
        <v>1483</v>
      </c>
      <c r="B485" t="s">
        <v>535</v>
      </c>
      <c r="C485" t="s">
        <v>33</v>
      </c>
      <c r="D485" t="s">
        <v>44</v>
      </c>
      <c r="E485">
        <v>2</v>
      </c>
      <c r="F485">
        <v>2347.19</v>
      </c>
      <c r="H485" s="3">
        <f t="shared" si="35"/>
        <v>4694.38</v>
      </c>
      <c r="I485" s="1">
        <v>45577</v>
      </c>
      <c r="J485" t="s">
        <v>40</v>
      </c>
      <c r="L485" s="2">
        <f t="shared" si="36"/>
        <v>2347.19</v>
      </c>
      <c r="M485" s="4">
        <f t="shared" si="37"/>
        <v>0.6</v>
      </c>
      <c r="N485" s="1">
        <f t="shared" si="38"/>
        <v>45577</v>
      </c>
      <c r="O485" s="3">
        <f>(Table13[[#This Row],[Units_Sold]]*Table13[[#This Row],[Unit_Price_Cleaned]]*(1-Table13[[#This Row],[Discount Cleaned]]))</f>
        <v>1877.7520000000002</v>
      </c>
      <c r="P485" t="str">
        <f t="shared" si="39"/>
        <v>Profit</v>
      </c>
      <c r="Q485" t="str" cm="1">
        <f t="array" ref="Q485">IF(K485="",INDEX($K$2:$K$2501,MATCH(MAX(COUNTIF($K$2:$K$2501,$K$2:$K$2501)),COUNTIF($K$2:$K$2501,$K$2:$K$2501),0)),K485)</f>
        <v>B2B</v>
      </c>
    </row>
    <row r="486" spans="1:17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 s="3">
        <f t="shared" si="35"/>
        <v>1637.36</v>
      </c>
      <c r="I486" s="1">
        <v>45289</v>
      </c>
      <c r="J486" t="s">
        <v>22</v>
      </c>
      <c r="L486" s="2">
        <f t="shared" si="36"/>
        <v>818.68</v>
      </c>
      <c r="M486" s="4">
        <f t="shared" si="37"/>
        <v>0.6</v>
      </c>
      <c r="N486" s="1">
        <f t="shared" si="38"/>
        <v>45289</v>
      </c>
      <c r="O486" s="3">
        <f>(Table13[[#This Row],[Units_Sold]]*Table13[[#This Row],[Unit_Price_Cleaned]]*(1-Table13[[#This Row],[Discount Cleaned]]))</f>
        <v>654.94399999999996</v>
      </c>
      <c r="P486" t="str">
        <f t="shared" si="39"/>
        <v>Profit</v>
      </c>
      <c r="Q486" t="str" cm="1">
        <f t="array" ref="Q486">IF(K486="",INDEX($K$2:$K$2501,MATCH(MAX(COUNTIF($K$2:$K$2501,$K$2:$K$2501)),COUNTIF($K$2:$K$2501,$K$2:$K$2501),0)),K486)</f>
        <v>B2B</v>
      </c>
    </row>
    <row r="487" spans="1:17" x14ac:dyDescent="0.3">
      <c r="A487">
        <v>1485</v>
      </c>
      <c r="B487" t="s">
        <v>537</v>
      </c>
      <c r="C487" t="s">
        <v>25</v>
      </c>
      <c r="D487" t="s">
        <v>54</v>
      </c>
      <c r="E487">
        <v>2</v>
      </c>
      <c r="H487" s="3">
        <f t="shared" si="35"/>
        <v>5060.7673076923093</v>
      </c>
      <c r="I487" s="1">
        <v>45510</v>
      </c>
      <c r="J487" t="s">
        <v>56</v>
      </c>
      <c r="K487" t="s">
        <v>23</v>
      </c>
      <c r="L487" s="2">
        <f t="shared" si="36"/>
        <v>2530.3836538461546</v>
      </c>
      <c r="M487" s="4">
        <f t="shared" si="37"/>
        <v>0.6</v>
      </c>
      <c r="N487" s="1">
        <f t="shared" si="38"/>
        <v>45510</v>
      </c>
      <c r="O487" s="3">
        <f>(Table13[[#This Row],[Units_Sold]]*Table13[[#This Row],[Unit_Price_Cleaned]]*(1-Table13[[#This Row],[Discount Cleaned]]))</f>
        <v>2024.3069230769238</v>
      </c>
      <c r="P487" t="str">
        <f t="shared" si="39"/>
        <v>Profit</v>
      </c>
      <c r="Q487" t="str" cm="1">
        <f t="array" ref="Q487">IF(K487="",INDEX($K$2:$K$2501,MATCH(MAX(COUNTIF($K$2:$K$2501,$K$2:$K$2501)),COUNTIF($K$2:$K$2501,$K$2:$K$2501),0)),K487)</f>
        <v>B2B</v>
      </c>
    </row>
    <row r="488" spans="1:17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 s="3">
        <f t="shared" si="35"/>
        <v>15457.83413793103</v>
      </c>
      <c r="J488" t="s">
        <v>22</v>
      </c>
      <c r="K488" t="s">
        <v>23</v>
      </c>
      <c r="L488" s="2">
        <f t="shared" si="36"/>
        <v>2576.3056896551716</v>
      </c>
      <c r="M488" s="4">
        <f t="shared" si="37"/>
        <v>0.6</v>
      </c>
      <c r="N488" s="1">
        <f t="shared" si="38"/>
        <v>45782</v>
      </c>
      <c r="O488" s="3">
        <f>(Table13[[#This Row],[Units_Sold]]*Table13[[#This Row],[Unit_Price_Cleaned]]*(1-Table13[[#This Row],[Discount Cleaned]]))</f>
        <v>6183.1336551724125</v>
      </c>
      <c r="P488" t="str">
        <f t="shared" si="39"/>
        <v>Profit</v>
      </c>
      <c r="Q488" t="str" cm="1">
        <f t="array" ref="Q488">IF(K488="",INDEX($K$2:$K$2501,MATCH(MAX(COUNTIF($K$2:$K$2501,$K$2:$K$2501)),COUNTIF($K$2:$K$2501,$K$2:$K$2501),0)),K488)</f>
        <v>B2B</v>
      </c>
    </row>
    <row r="489" spans="1:17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 s="3">
        <f t="shared" si="35"/>
        <v>7404.48</v>
      </c>
      <c r="I489" s="1">
        <v>45366</v>
      </c>
      <c r="J489" t="s">
        <v>15</v>
      </c>
      <c r="K489" t="s">
        <v>16</v>
      </c>
      <c r="L489" s="2">
        <f t="shared" si="36"/>
        <v>1234.08</v>
      </c>
      <c r="M489" s="4">
        <f t="shared" si="37"/>
        <v>0.71</v>
      </c>
      <c r="N489" s="1">
        <f t="shared" si="38"/>
        <v>45366</v>
      </c>
      <c r="O489" s="3">
        <f>(Table13[[#This Row],[Units_Sold]]*Table13[[#This Row],[Unit_Price_Cleaned]]*(1-Table13[[#This Row],[Discount Cleaned]]))</f>
        <v>2147.2991999999999</v>
      </c>
      <c r="P489" t="str">
        <f t="shared" si="39"/>
        <v>Profit</v>
      </c>
      <c r="Q489" t="str" cm="1">
        <f t="array" ref="Q489">IF(K489="",INDEX($K$2:$K$2501,MATCH(MAX(COUNTIF($K$2:$K$2501,$K$2:$K$2501)),COUNTIF($K$2:$K$2501,$K$2:$K$2501),0)),K489)</f>
        <v>B2C</v>
      </c>
    </row>
    <row r="490" spans="1:17" x14ac:dyDescent="0.3">
      <c r="A490">
        <v>1488</v>
      </c>
      <c r="B490" t="s">
        <v>540</v>
      </c>
      <c r="C490" t="s">
        <v>29</v>
      </c>
      <c r="D490" t="s">
        <v>141</v>
      </c>
      <c r="E490">
        <v>2</v>
      </c>
      <c r="F490">
        <v>4925.93</v>
      </c>
      <c r="H490" s="3">
        <f t="shared" si="35"/>
        <v>9851.86</v>
      </c>
      <c r="I490" s="1">
        <v>45774</v>
      </c>
      <c r="J490" t="s">
        <v>40</v>
      </c>
      <c r="K490" t="s">
        <v>16</v>
      </c>
      <c r="L490" s="2">
        <f t="shared" si="36"/>
        <v>4925.93</v>
      </c>
      <c r="M490" s="4">
        <f t="shared" si="37"/>
        <v>0.6</v>
      </c>
      <c r="N490" s="1">
        <f t="shared" si="38"/>
        <v>45774</v>
      </c>
      <c r="O490" s="3">
        <f>(Table13[[#This Row],[Units_Sold]]*Table13[[#This Row],[Unit_Price_Cleaned]]*(1-Table13[[#This Row],[Discount Cleaned]]))</f>
        <v>3940.7440000000006</v>
      </c>
      <c r="P490" t="str">
        <f t="shared" si="39"/>
        <v>Profit</v>
      </c>
      <c r="Q490" t="str" cm="1">
        <f t="array" ref="Q490">IF(K490="",INDEX($K$2:$K$2501,MATCH(MAX(COUNTIF($K$2:$K$2501,$K$2:$K$2501)),COUNTIF($K$2:$K$2501,$K$2:$K$2501),0)),K490)</f>
        <v>B2C</v>
      </c>
    </row>
    <row r="491" spans="1:17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 s="3">
        <f t="shared" si="35"/>
        <v>-5060.7673076923093</v>
      </c>
      <c r="I491" s="1">
        <v>45785</v>
      </c>
      <c r="J491" t="s">
        <v>46</v>
      </c>
      <c r="K491" t="s">
        <v>23</v>
      </c>
      <c r="L491" s="2">
        <f t="shared" si="36"/>
        <v>2530.3836538461546</v>
      </c>
      <c r="M491" s="4">
        <f t="shared" si="37"/>
        <v>0.6</v>
      </c>
      <c r="N491" s="1">
        <f t="shared" si="38"/>
        <v>45785</v>
      </c>
      <c r="O491" s="3">
        <f>(Table13[[#This Row],[Units_Sold]]*Table13[[#This Row],[Unit_Price_Cleaned]]*(1-Table13[[#This Row],[Discount Cleaned]]))</f>
        <v>-2024.3069230769238</v>
      </c>
      <c r="P491" t="str">
        <f t="shared" si="39"/>
        <v>Loss</v>
      </c>
      <c r="Q491" t="str" cm="1">
        <f t="array" ref="Q491">IF(K491="",INDEX($K$2:$K$2501,MATCH(MAX(COUNTIF($K$2:$K$2501,$K$2:$K$2501)),COUNTIF($K$2:$K$2501,$K$2:$K$2501),0)),K491)</f>
        <v>B2B</v>
      </c>
    </row>
    <row r="492" spans="1:17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 s="3">
        <f t="shared" si="35"/>
        <v>2715.5458490566025</v>
      </c>
      <c r="I492" s="1">
        <v>45547</v>
      </c>
      <c r="J492" t="s">
        <v>15</v>
      </c>
      <c r="L492" s="2">
        <f t="shared" si="36"/>
        <v>2715.5458490566025</v>
      </c>
      <c r="M492" s="4">
        <f t="shared" si="37"/>
        <v>0.6</v>
      </c>
      <c r="N492" s="1">
        <f t="shared" si="38"/>
        <v>45547</v>
      </c>
      <c r="O492" s="3">
        <f>(Table13[[#This Row],[Units_Sold]]*Table13[[#This Row],[Unit_Price_Cleaned]]*(1-Table13[[#This Row],[Discount Cleaned]]))</f>
        <v>1086.218339622641</v>
      </c>
      <c r="P492" t="str">
        <f t="shared" si="39"/>
        <v>Profit</v>
      </c>
      <c r="Q492" t="str" cm="1">
        <f t="array" ref="Q492">IF(K492="",INDEX($K$2:$K$2501,MATCH(MAX(COUNTIF($K$2:$K$2501,$K$2:$K$2501)),COUNTIF($K$2:$K$2501,$K$2:$K$2501),0)),K492)</f>
        <v>B2B</v>
      </c>
    </row>
    <row r="493" spans="1:17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 s="3">
        <f t="shared" si="35"/>
        <v>2530.3836538461546</v>
      </c>
      <c r="J493" t="s">
        <v>40</v>
      </c>
      <c r="K493" t="s">
        <v>23</v>
      </c>
      <c r="L493" s="2">
        <f t="shared" si="36"/>
        <v>2530.3836538461546</v>
      </c>
      <c r="M493" s="4">
        <f t="shared" si="37"/>
        <v>0.28999999999999998</v>
      </c>
      <c r="N493" s="1">
        <f t="shared" si="38"/>
        <v>45782</v>
      </c>
      <c r="O493" s="3">
        <f>(Table13[[#This Row],[Units_Sold]]*Table13[[#This Row],[Unit_Price_Cleaned]]*(1-Table13[[#This Row],[Discount Cleaned]]))</f>
        <v>1796.5723942307698</v>
      </c>
      <c r="P493" t="str">
        <f t="shared" si="39"/>
        <v>Profit</v>
      </c>
      <c r="Q493" t="str" cm="1">
        <f t="array" ref="Q493">IF(K493="",INDEX($K$2:$K$2501,MATCH(MAX(COUNTIF($K$2:$K$2501,$K$2:$K$2501)),COUNTIF($K$2:$K$2501,$K$2:$K$2501),0)),K493)</f>
        <v>B2B</v>
      </c>
    </row>
    <row r="494" spans="1:17" x14ac:dyDescent="0.3">
      <c r="A494">
        <v>1492</v>
      </c>
      <c r="B494" t="s">
        <v>544</v>
      </c>
      <c r="C494" t="s">
        <v>33</v>
      </c>
      <c r="D494" t="s">
        <v>72</v>
      </c>
      <c r="E494">
        <v>2</v>
      </c>
      <c r="G494">
        <v>1.07</v>
      </c>
      <c r="H494" s="3">
        <f t="shared" si="35"/>
        <v>5431.091698113205</v>
      </c>
      <c r="J494" t="s">
        <v>56</v>
      </c>
      <c r="K494" t="s">
        <v>23</v>
      </c>
      <c r="L494" s="2">
        <f t="shared" si="36"/>
        <v>2715.5458490566025</v>
      </c>
      <c r="M494" s="4">
        <f t="shared" si="37"/>
        <v>1.07</v>
      </c>
      <c r="N494" s="1">
        <f t="shared" si="38"/>
        <v>45782</v>
      </c>
      <c r="O494" s="3">
        <f>(Table13[[#This Row],[Units_Sold]]*Table13[[#This Row],[Unit_Price_Cleaned]]*(1-Table13[[#This Row],[Discount Cleaned]]))</f>
        <v>-380.17641886792467</v>
      </c>
      <c r="P494" t="str">
        <f t="shared" si="39"/>
        <v>Loss</v>
      </c>
      <c r="Q494" t="str" cm="1">
        <f t="array" ref="Q494">IF(K494="",INDEX($K$2:$K$2501,MATCH(MAX(COUNTIF($K$2:$K$2501,$K$2:$K$2501)),COUNTIF($K$2:$K$2501,$K$2:$K$2501),0)),K494)</f>
        <v>B2B</v>
      </c>
    </row>
    <row r="495" spans="1:17" x14ac:dyDescent="0.3">
      <c r="A495">
        <v>1493</v>
      </c>
      <c r="B495" t="s">
        <v>545</v>
      </c>
      <c r="C495" t="s">
        <v>38</v>
      </c>
      <c r="D495" t="s">
        <v>63</v>
      </c>
      <c r="E495">
        <v>2</v>
      </c>
      <c r="G495">
        <v>0.03</v>
      </c>
      <c r="H495" s="3">
        <f t="shared" si="35"/>
        <v>5690.4839344262318</v>
      </c>
      <c r="J495" t="s">
        <v>56</v>
      </c>
      <c r="L495" s="2">
        <f t="shared" si="36"/>
        <v>2845.2419672131159</v>
      </c>
      <c r="M495" s="4">
        <f t="shared" si="37"/>
        <v>0.03</v>
      </c>
      <c r="N495" s="1">
        <f t="shared" si="38"/>
        <v>45782</v>
      </c>
      <c r="O495" s="3">
        <f>(Table13[[#This Row],[Units_Sold]]*Table13[[#This Row],[Unit_Price_Cleaned]]*(1-Table13[[#This Row],[Discount Cleaned]]))</f>
        <v>5519.7694163934448</v>
      </c>
      <c r="P495" t="str">
        <f t="shared" si="39"/>
        <v>Profit</v>
      </c>
      <c r="Q495" t="str" cm="1">
        <f t="array" ref="Q495">IF(K495="",INDEX($K$2:$K$2501,MATCH(MAX(COUNTIF($K$2:$K$2501,$K$2:$K$2501)),COUNTIF($K$2:$K$2501,$K$2:$K$2501),0)),K495)</f>
        <v>B2B</v>
      </c>
    </row>
    <row r="496" spans="1:17" x14ac:dyDescent="0.3">
      <c r="A496">
        <v>1494</v>
      </c>
      <c r="B496" t="s">
        <v>546</v>
      </c>
      <c r="C496" t="s">
        <v>13</v>
      </c>
      <c r="D496" t="s">
        <v>49</v>
      </c>
      <c r="E496">
        <v>2</v>
      </c>
      <c r="F496">
        <v>4338.0600000000004</v>
      </c>
      <c r="G496">
        <v>0.24</v>
      </c>
      <c r="H496" s="3">
        <f t="shared" si="35"/>
        <v>8676.1200000000008</v>
      </c>
      <c r="I496" s="1">
        <v>45734</v>
      </c>
      <c r="J496" t="s">
        <v>22</v>
      </c>
      <c r="L496" s="2">
        <f t="shared" si="36"/>
        <v>4338.0600000000004</v>
      </c>
      <c r="M496" s="4">
        <f t="shared" si="37"/>
        <v>0.24</v>
      </c>
      <c r="N496" s="1">
        <f t="shared" si="38"/>
        <v>45734</v>
      </c>
      <c r="O496" s="3">
        <f>(Table13[[#This Row],[Units_Sold]]*Table13[[#This Row],[Unit_Price_Cleaned]]*(1-Table13[[#This Row],[Discount Cleaned]]))</f>
        <v>6593.851200000001</v>
      </c>
      <c r="P496" t="str">
        <f t="shared" si="39"/>
        <v>Profit</v>
      </c>
      <c r="Q496" t="str" cm="1">
        <f t="array" ref="Q496">IF(K496="",INDEX($K$2:$K$2501,MATCH(MAX(COUNTIF($K$2:$K$2501,$K$2:$K$2501)),COUNTIF($K$2:$K$2501,$K$2:$K$2501),0)),K496)</f>
        <v>B2B</v>
      </c>
    </row>
    <row r="497" spans="1:17" x14ac:dyDescent="0.3">
      <c r="A497">
        <v>1495</v>
      </c>
      <c r="B497" t="s">
        <v>547</v>
      </c>
      <c r="C497" t="s">
        <v>29</v>
      </c>
      <c r="D497" t="s">
        <v>120</v>
      </c>
      <c r="E497">
        <v>2</v>
      </c>
      <c r="F497">
        <v>2261.4899999999998</v>
      </c>
      <c r="H497" s="3">
        <f t="shared" si="35"/>
        <v>4522.9799999999996</v>
      </c>
      <c r="I497" s="1">
        <v>45601</v>
      </c>
      <c r="J497" t="s">
        <v>40</v>
      </c>
      <c r="K497" t="s">
        <v>16</v>
      </c>
      <c r="L497" s="2">
        <f t="shared" si="36"/>
        <v>2261.4899999999998</v>
      </c>
      <c r="M497" s="4">
        <f t="shared" si="37"/>
        <v>0.6</v>
      </c>
      <c r="N497" s="1">
        <f t="shared" si="38"/>
        <v>45601</v>
      </c>
      <c r="O497" s="3">
        <f>(Table13[[#This Row],[Units_Sold]]*Table13[[#This Row],[Unit_Price_Cleaned]]*(1-Table13[[#This Row],[Discount Cleaned]]))</f>
        <v>1809.192</v>
      </c>
      <c r="P497" t="str">
        <f t="shared" si="39"/>
        <v>Profit</v>
      </c>
      <c r="Q497" t="str" cm="1">
        <f t="array" ref="Q497">IF(K497="",INDEX($K$2:$K$2501,MATCH(MAX(COUNTIF($K$2:$K$2501,$K$2:$K$2501)),COUNTIF($K$2:$K$2501,$K$2:$K$2501),0)),K497)</f>
        <v>B2C</v>
      </c>
    </row>
    <row r="498" spans="1:17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 s="3">
        <f t="shared" si="35"/>
        <v>-4874.76</v>
      </c>
      <c r="I498" s="1">
        <v>45655</v>
      </c>
      <c r="J498" t="s">
        <v>18</v>
      </c>
      <c r="K498" t="s">
        <v>23</v>
      </c>
      <c r="L498" s="2">
        <f t="shared" si="36"/>
        <v>4874.76</v>
      </c>
      <c r="M498" s="4">
        <f t="shared" si="37"/>
        <v>0.6</v>
      </c>
      <c r="N498" s="1">
        <f t="shared" si="38"/>
        <v>45655</v>
      </c>
      <c r="O498" s="3">
        <f>(Table13[[#This Row],[Units_Sold]]*Table13[[#This Row],[Unit_Price_Cleaned]]*(1-Table13[[#This Row],[Discount Cleaned]]))</f>
        <v>-1949.9040000000002</v>
      </c>
      <c r="P498" t="str">
        <f t="shared" si="39"/>
        <v>Loss</v>
      </c>
      <c r="Q498" t="str" cm="1">
        <f t="array" ref="Q498">IF(K498="",INDEX($K$2:$K$2501,MATCH(MAX(COUNTIF($K$2:$K$2501,$K$2:$K$2501)),COUNTIF($K$2:$K$2501,$K$2:$K$2501),0)),K498)</f>
        <v>B2B</v>
      </c>
    </row>
    <row r="499" spans="1:17" x14ac:dyDescent="0.3">
      <c r="A499">
        <v>1497</v>
      </c>
      <c r="B499" t="s">
        <v>549</v>
      </c>
      <c r="C499" t="s">
        <v>29</v>
      </c>
      <c r="D499" t="s">
        <v>30</v>
      </c>
      <c r="E499">
        <v>2</v>
      </c>
      <c r="F499">
        <v>1461.5</v>
      </c>
      <c r="H499" s="3">
        <f t="shared" si="35"/>
        <v>2923</v>
      </c>
      <c r="I499" s="1">
        <v>45526</v>
      </c>
      <c r="J499" t="s">
        <v>46</v>
      </c>
      <c r="K499" t="s">
        <v>16</v>
      </c>
      <c r="L499" s="2">
        <f t="shared" si="36"/>
        <v>1461.5</v>
      </c>
      <c r="M499" s="4">
        <f t="shared" si="37"/>
        <v>0.6</v>
      </c>
      <c r="N499" s="1">
        <f t="shared" si="38"/>
        <v>45526</v>
      </c>
      <c r="O499" s="3">
        <f>(Table13[[#This Row],[Units_Sold]]*Table13[[#This Row],[Unit_Price_Cleaned]]*(1-Table13[[#This Row],[Discount Cleaned]]))</f>
        <v>1169.2</v>
      </c>
      <c r="P499" t="str">
        <f t="shared" si="39"/>
        <v>Profit</v>
      </c>
      <c r="Q499" t="str" cm="1">
        <f t="array" ref="Q499">IF(K499="",INDEX($K$2:$K$2501,MATCH(MAX(COUNTIF($K$2:$K$2501,$K$2:$K$2501)),COUNTIF($K$2:$K$2501,$K$2:$K$2501),0)),K499)</f>
        <v>B2C</v>
      </c>
    </row>
    <row r="500" spans="1:17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 s="3">
        <f t="shared" si="35"/>
        <v>22630.02</v>
      </c>
      <c r="I500" s="1">
        <v>45566</v>
      </c>
      <c r="J500" t="s">
        <v>22</v>
      </c>
      <c r="K500" t="s">
        <v>16</v>
      </c>
      <c r="L500" s="2">
        <f t="shared" si="36"/>
        <v>3771.67</v>
      </c>
      <c r="M500" s="4">
        <f t="shared" si="37"/>
        <v>0.6</v>
      </c>
      <c r="N500" s="1">
        <f t="shared" si="38"/>
        <v>45566</v>
      </c>
      <c r="O500" s="3">
        <f>(Table13[[#This Row],[Units_Sold]]*Table13[[#This Row],[Unit_Price_Cleaned]]*(1-Table13[[#This Row],[Discount Cleaned]]))</f>
        <v>9052.0079999999998</v>
      </c>
      <c r="P500" t="str">
        <f t="shared" si="39"/>
        <v>Profit</v>
      </c>
      <c r="Q500" t="str" cm="1">
        <f t="array" ref="Q500">IF(K500="",INDEX($K$2:$K$2501,MATCH(MAX(COUNTIF($K$2:$K$2501,$K$2:$K$2501)),COUNTIF($K$2:$K$2501,$K$2:$K$2501),0)),K500)</f>
        <v>B2C</v>
      </c>
    </row>
    <row r="501" spans="1:17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 s="3">
        <f t="shared" si="35"/>
        <v>4974.07923076923</v>
      </c>
      <c r="J501" t="s">
        <v>40</v>
      </c>
      <c r="K501" t="s">
        <v>16</v>
      </c>
      <c r="L501" s="2">
        <f t="shared" si="36"/>
        <v>2487.039615384615</v>
      </c>
      <c r="M501" s="4">
        <f t="shared" si="37"/>
        <v>0.6</v>
      </c>
      <c r="N501" s="1">
        <f t="shared" si="38"/>
        <v>45782</v>
      </c>
      <c r="O501" s="3">
        <f>(Table13[[#This Row],[Units_Sold]]*Table13[[#This Row],[Unit_Price_Cleaned]]*(1-Table13[[#This Row],[Discount Cleaned]]))</f>
        <v>1989.631692307692</v>
      </c>
      <c r="P501" t="str">
        <f t="shared" si="39"/>
        <v>Profit</v>
      </c>
      <c r="Q501" t="str" cm="1">
        <f t="array" ref="Q501">IF(K501="",INDEX($K$2:$K$2501,MATCH(MAX(COUNTIF($K$2:$K$2501,$K$2:$K$2501)),COUNTIF($K$2:$K$2501,$K$2:$K$2501),0)),K501)</f>
        <v>B2C</v>
      </c>
    </row>
    <row r="502" spans="1:17" x14ac:dyDescent="0.3">
      <c r="A502">
        <v>1500</v>
      </c>
      <c r="B502" t="s">
        <v>552</v>
      </c>
      <c r="C502" t="s">
        <v>13</v>
      </c>
      <c r="D502" t="s">
        <v>49</v>
      </c>
      <c r="E502">
        <v>2</v>
      </c>
      <c r="F502">
        <v>2128.7399999999998</v>
      </c>
      <c r="H502" s="3">
        <f t="shared" si="35"/>
        <v>4257.4799999999996</v>
      </c>
      <c r="I502" s="1">
        <v>45588</v>
      </c>
      <c r="J502" t="s">
        <v>18</v>
      </c>
      <c r="K502" t="s">
        <v>23</v>
      </c>
      <c r="L502" s="2">
        <f t="shared" si="36"/>
        <v>2128.7399999999998</v>
      </c>
      <c r="M502" s="4">
        <f t="shared" si="37"/>
        <v>0.6</v>
      </c>
      <c r="N502" s="1">
        <f t="shared" si="38"/>
        <v>45588</v>
      </c>
      <c r="O502" s="3">
        <f>(Table13[[#This Row],[Units_Sold]]*Table13[[#This Row],[Unit_Price_Cleaned]]*(1-Table13[[#This Row],[Discount Cleaned]]))</f>
        <v>1702.992</v>
      </c>
      <c r="P502" t="str">
        <f t="shared" si="39"/>
        <v>Profit</v>
      </c>
      <c r="Q502" t="str" cm="1">
        <f t="array" ref="Q502">IF(K502="",INDEX($K$2:$K$2501,MATCH(MAX(COUNTIF($K$2:$K$2501,$K$2:$K$2501)),COUNTIF($K$2:$K$2501,$K$2:$K$2501),0)),K502)</f>
        <v>B2B</v>
      </c>
    </row>
    <row r="503" spans="1:17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 s="3">
        <f t="shared" si="35"/>
        <v>-4974.07923076923</v>
      </c>
      <c r="J503" t="s">
        <v>40</v>
      </c>
      <c r="L503" s="2">
        <f t="shared" si="36"/>
        <v>2487.039615384615</v>
      </c>
      <c r="M503" s="4">
        <f t="shared" si="37"/>
        <v>0.65</v>
      </c>
      <c r="N503" s="1">
        <f t="shared" si="38"/>
        <v>45782</v>
      </c>
      <c r="O503" s="3">
        <f>(Table13[[#This Row],[Units_Sold]]*Table13[[#This Row],[Unit_Price_Cleaned]]*(1-Table13[[#This Row],[Discount Cleaned]]))</f>
        <v>-1740.9277307692305</v>
      </c>
      <c r="P503" t="str">
        <f t="shared" si="39"/>
        <v>Loss</v>
      </c>
      <c r="Q503" t="str" cm="1">
        <f t="array" ref="Q503">IF(K503="",INDEX($K$2:$K$2501,MATCH(MAX(COUNTIF($K$2:$K$2501,$K$2:$K$2501)),COUNTIF($K$2:$K$2501,$K$2:$K$2501),0)),K503)</f>
        <v>B2B</v>
      </c>
    </row>
    <row r="504" spans="1:17" x14ac:dyDescent="0.3">
      <c r="A504">
        <v>1502</v>
      </c>
      <c r="B504" t="s">
        <v>554</v>
      </c>
      <c r="C504" t="s">
        <v>38</v>
      </c>
      <c r="D504" t="s">
        <v>91</v>
      </c>
      <c r="E504">
        <v>2</v>
      </c>
      <c r="F504">
        <v>4260.95</v>
      </c>
      <c r="H504" s="3">
        <f t="shared" si="35"/>
        <v>8521.9</v>
      </c>
      <c r="I504" s="1">
        <v>45551</v>
      </c>
      <c r="J504" t="s">
        <v>15</v>
      </c>
      <c r="L504" s="2">
        <f t="shared" si="36"/>
        <v>4260.95</v>
      </c>
      <c r="M504" s="4">
        <f t="shared" si="37"/>
        <v>0.6</v>
      </c>
      <c r="N504" s="1">
        <f t="shared" si="38"/>
        <v>45551</v>
      </c>
      <c r="O504" s="3">
        <f>(Table13[[#This Row],[Units_Sold]]*Table13[[#This Row],[Unit_Price_Cleaned]]*(1-Table13[[#This Row],[Discount Cleaned]]))</f>
        <v>3408.76</v>
      </c>
      <c r="P504" t="str">
        <f t="shared" si="39"/>
        <v>Profit</v>
      </c>
      <c r="Q504" t="str" cm="1">
        <f t="array" ref="Q504">IF(K504="",INDEX($K$2:$K$2501,MATCH(MAX(COUNTIF($K$2:$K$2501,$K$2:$K$2501)),COUNTIF($K$2:$K$2501,$K$2:$K$2501),0)),K504)</f>
        <v>B2B</v>
      </c>
    </row>
    <row r="505" spans="1:17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 s="3">
        <f t="shared" si="35"/>
        <v>9243.58</v>
      </c>
      <c r="I505" s="1">
        <v>45795</v>
      </c>
      <c r="J505" t="s">
        <v>15</v>
      </c>
      <c r="K505" t="s">
        <v>16</v>
      </c>
      <c r="L505" s="2">
        <f t="shared" si="36"/>
        <v>4621.79</v>
      </c>
      <c r="M505" s="4">
        <f t="shared" si="37"/>
        <v>0.32</v>
      </c>
      <c r="N505" s="1">
        <f t="shared" si="38"/>
        <v>45795</v>
      </c>
      <c r="O505" s="3">
        <f>(Table13[[#This Row],[Units_Sold]]*Table13[[#This Row],[Unit_Price_Cleaned]]*(1-Table13[[#This Row],[Discount Cleaned]]))</f>
        <v>6285.634399999999</v>
      </c>
      <c r="P505" t="str">
        <f t="shared" si="39"/>
        <v>Profit</v>
      </c>
      <c r="Q505" t="str" cm="1">
        <f t="array" ref="Q505">IF(K505="",INDEX($K$2:$K$2501,MATCH(MAX(COUNTIF($K$2:$K$2501,$K$2:$K$2501)),COUNTIF($K$2:$K$2501,$K$2:$K$2501),0)),K505)</f>
        <v>B2C</v>
      </c>
    </row>
    <row r="506" spans="1:17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 s="3">
        <f t="shared" si="35"/>
        <v>5116.8599999999997</v>
      </c>
      <c r="I506" s="1">
        <v>45604</v>
      </c>
      <c r="J506" t="s">
        <v>40</v>
      </c>
      <c r="K506" t="s">
        <v>23</v>
      </c>
      <c r="L506" s="2">
        <f t="shared" si="36"/>
        <v>2558.4299999999998</v>
      </c>
      <c r="M506" s="4">
        <f t="shared" si="37"/>
        <v>0.6</v>
      </c>
      <c r="N506" s="1">
        <f t="shared" si="38"/>
        <v>45604</v>
      </c>
      <c r="O506" s="3">
        <f>(Table13[[#This Row],[Units_Sold]]*Table13[[#This Row],[Unit_Price_Cleaned]]*(1-Table13[[#This Row],[Discount Cleaned]]))</f>
        <v>2046.7439999999999</v>
      </c>
      <c r="P506" t="str">
        <f t="shared" si="39"/>
        <v>Profit</v>
      </c>
      <c r="Q506" t="str" cm="1">
        <f t="array" ref="Q506">IF(K506="",INDEX($K$2:$K$2501,MATCH(MAX(COUNTIF($K$2:$K$2501,$K$2:$K$2501)),COUNTIF($K$2:$K$2501,$K$2:$K$2501),0)),K506)</f>
        <v>B2B</v>
      </c>
    </row>
    <row r="507" spans="1:17" x14ac:dyDescent="0.3">
      <c r="A507">
        <v>1048</v>
      </c>
      <c r="B507" t="s">
        <v>557</v>
      </c>
      <c r="C507" t="s">
        <v>29</v>
      </c>
      <c r="D507" t="s">
        <v>120</v>
      </c>
      <c r="E507">
        <v>2</v>
      </c>
      <c r="F507">
        <v>1316.64</v>
      </c>
      <c r="H507" s="3">
        <f t="shared" si="35"/>
        <v>2633.28</v>
      </c>
      <c r="I507" s="1">
        <v>45151</v>
      </c>
      <c r="J507" t="s">
        <v>40</v>
      </c>
      <c r="K507" t="s">
        <v>16</v>
      </c>
      <c r="L507" s="2">
        <f t="shared" si="36"/>
        <v>1316.64</v>
      </c>
      <c r="M507" s="4">
        <f t="shared" si="37"/>
        <v>0.6</v>
      </c>
      <c r="N507" s="1">
        <f t="shared" si="38"/>
        <v>45151</v>
      </c>
      <c r="O507" s="3">
        <f>(Table13[[#This Row],[Units_Sold]]*Table13[[#This Row],[Unit_Price_Cleaned]]*(1-Table13[[#This Row],[Discount Cleaned]]))</f>
        <v>1053.3120000000001</v>
      </c>
      <c r="P507" t="str">
        <f t="shared" si="39"/>
        <v>Profit</v>
      </c>
      <c r="Q507" t="str" cm="1">
        <f t="array" ref="Q507">IF(K507="",INDEX($K$2:$K$2501,MATCH(MAX(COUNTIF($K$2:$K$2501,$K$2:$K$2501)),COUNTIF($K$2:$K$2501,$K$2:$K$2501),0)),K507)</f>
        <v>B2C</v>
      </c>
    </row>
    <row r="508" spans="1:17" x14ac:dyDescent="0.3">
      <c r="A508">
        <v>1506</v>
      </c>
      <c r="B508" t="s">
        <v>558</v>
      </c>
      <c r="C508" t="s">
        <v>33</v>
      </c>
      <c r="D508" t="s">
        <v>34</v>
      </c>
      <c r="E508">
        <v>2</v>
      </c>
      <c r="H508" s="3">
        <f t="shared" si="35"/>
        <v>4974.07923076923</v>
      </c>
      <c r="I508" s="1">
        <v>45821</v>
      </c>
      <c r="J508" t="s">
        <v>40</v>
      </c>
      <c r="K508" t="s">
        <v>16</v>
      </c>
      <c r="L508" s="2">
        <f t="shared" si="36"/>
        <v>2487.039615384615</v>
      </c>
      <c r="M508" s="4">
        <f t="shared" si="37"/>
        <v>0.6</v>
      </c>
      <c r="N508" s="1">
        <f t="shared" si="38"/>
        <v>45821</v>
      </c>
      <c r="O508" s="3">
        <f>(Table13[[#This Row],[Units_Sold]]*Table13[[#This Row],[Unit_Price_Cleaned]]*(1-Table13[[#This Row],[Discount Cleaned]]))</f>
        <v>1989.631692307692</v>
      </c>
      <c r="P508" t="str">
        <f t="shared" si="39"/>
        <v>Profit</v>
      </c>
      <c r="Q508" t="str" cm="1">
        <f t="array" ref="Q508">IF(K508="",INDEX($K$2:$K$2501,MATCH(MAX(COUNTIF($K$2:$K$2501,$K$2:$K$2501)),COUNTIF($K$2:$K$2501,$K$2:$K$2501),0)),K508)</f>
        <v>B2C</v>
      </c>
    </row>
    <row r="509" spans="1:17" x14ac:dyDescent="0.3">
      <c r="A509">
        <v>1507</v>
      </c>
      <c r="B509" t="s">
        <v>559</v>
      </c>
      <c r="C509" t="s">
        <v>20</v>
      </c>
      <c r="D509" t="s">
        <v>21</v>
      </c>
      <c r="E509">
        <v>2</v>
      </c>
      <c r="F509">
        <v>3597.73</v>
      </c>
      <c r="H509" s="3">
        <f t="shared" si="35"/>
        <v>7195.46</v>
      </c>
      <c r="I509" s="1">
        <v>45560</v>
      </c>
      <c r="J509" t="s">
        <v>15</v>
      </c>
      <c r="L509" s="2">
        <f t="shared" si="36"/>
        <v>3597.73</v>
      </c>
      <c r="M509" s="4">
        <f t="shared" si="37"/>
        <v>0.6</v>
      </c>
      <c r="N509" s="1">
        <f t="shared" si="38"/>
        <v>45560</v>
      </c>
      <c r="O509" s="3">
        <f>(Table13[[#This Row],[Units_Sold]]*Table13[[#This Row],[Unit_Price_Cleaned]]*(1-Table13[[#This Row],[Discount Cleaned]]))</f>
        <v>2878.1840000000002</v>
      </c>
      <c r="P509" t="str">
        <f t="shared" si="39"/>
        <v>Profit</v>
      </c>
      <c r="Q509" t="str" cm="1">
        <f t="array" ref="Q509">IF(K509="",INDEX($K$2:$K$2501,MATCH(MAX(COUNTIF($K$2:$K$2501,$K$2:$K$2501)),COUNTIF($K$2:$K$2501,$K$2:$K$2501),0)),K509)</f>
        <v>B2B</v>
      </c>
    </row>
    <row r="510" spans="1:17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 s="3">
        <f t="shared" si="35"/>
        <v>-2868.7768181818178</v>
      </c>
      <c r="I510" s="1">
        <v>45530</v>
      </c>
      <c r="J510" t="s">
        <v>18</v>
      </c>
      <c r="L510" s="2">
        <f t="shared" si="36"/>
        <v>2868.7768181818178</v>
      </c>
      <c r="M510" s="4">
        <f t="shared" si="37"/>
        <v>0.6</v>
      </c>
      <c r="N510" s="1">
        <f t="shared" si="38"/>
        <v>45530</v>
      </c>
      <c r="O510" s="3">
        <f>(Table13[[#This Row],[Units_Sold]]*Table13[[#This Row],[Unit_Price_Cleaned]]*(1-Table13[[#This Row],[Discount Cleaned]]))</f>
        <v>-1147.5107272727271</v>
      </c>
      <c r="P510" t="str">
        <f t="shared" si="39"/>
        <v>Loss</v>
      </c>
      <c r="Q510" t="str" cm="1">
        <f t="array" ref="Q510">IF(K510="",INDEX($K$2:$K$2501,MATCH(MAX(COUNTIF($K$2:$K$2501,$K$2:$K$2501)),COUNTIF($K$2:$K$2501,$K$2:$K$2501),0)),K510)</f>
        <v>B2B</v>
      </c>
    </row>
    <row r="511" spans="1:17" x14ac:dyDescent="0.3">
      <c r="A511">
        <v>1509</v>
      </c>
      <c r="B511" t="s">
        <v>561</v>
      </c>
      <c r="C511" t="s">
        <v>38</v>
      </c>
      <c r="D511" t="s">
        <v>91</v>
      </c>
      <c r="E511">
        <v>2</v>
      </c>
      <c r="G511">
        <v>0.28000000000000003</v>
      </c>
      <c r="H511" s="3">
        <f t="shared" si="35"/>
        <v>5737.5536363636356</v>
      </c>
      <c r="I511" s="1">
        <v>45584</v>
      </c>
      <c r="J511" t="s">
        <v>40</v>
      </c>
      <c r="L511" s="2">
        <f t="shared" si="36"/>
        <v>2868.7768181818178</v>
      </c>
      <c r="M511" s="4">
        <f t="shared" si="37"/>
        <v>0.28000000000000003</v>
      </c>
      <c r="N511" s="1">
        <f t="shared" si="38"/>
        <v>45584</v>
      </c>
      <c r="O511" s="3">
        <f>(Table13[[#This Row],[Units_Sold]]*Table13[[#This Row],[Unit_Price_Cleaned]]*(1-Table13[[#This Row],[Discount Cleaned]]))</f>
        <v>4131.0386181818176</v>
      </c>
      <c r="P511" t="str">
        <f t="shared" si="39"/>
        <v>Profit</v>
      </c>
      <c r="Q511" t="str" cm="1">
        <f t="array" ref="Q511">IF(K511="",INDEX($K$2:$K$2501,MATCH(MAX(COUNTIF($K$2:$K$2501,$K$2:$K$2501)),COUNTIF($K$2:$K$2501,$K$2:$K$2501),0)),K511)</f>
        <v>B2B</v>
      </c>
    </row>
    <row r="512" spans="1:17" x14ac:dyDescent="0.3">
      <c r="A512">
        <v>1510</v>
      </c>
      <c r="B512" t="s">
        <v>562</v>
      </c>
      <c r="C512" t="s">
        <v>33</v>
      </c>
      <c r="D512" t="s">
        <v>82</v>
      </c>
      <c r="E512">
        <v>2</v>
      </c>
      <c r="F512">
        <v>1897.11</v>
      </c>
      <c r="H512" s="3">
        <f t="shared" si="35"/>
        <v>3794.22</v>
      </c>
      <c r="I512" s="1">
        <v>45781</v>
      </c>
      <c r="J512" t="s">
        <v>15</v>
      </c>
      <c r="K512" t="s">
        <v>16</v>
      </c>
      <c r="L512" s="2">
        <f t="shared" si="36"/>
        <v>1897.11</v>
      </c>
      <c r="M512" s="4">
        <f t="shared" si="37"/>
        <v>0.6</v>
      </c>
      <c r="N512" s="1">
        <f t="shared" si="38"/>
        <v>45781</v>
      </c>
      <c r="O512" s="3">
        <f>(Table13[[#This Row],[Units_Sold]]*Table13[[#This Row],[Unit_Price_Cleaned]]*(1-Table13[[#This Row],[Discount Cleaned]]))</f>
        <v>1517.6880000000001</v>
      </c>
      <c r="P512" t="str">
        <f t="shared" si="39"/>
        <v>Profit</v>
      </c>
      <c r="Q512" t="str" cm="1">
        <f t="array" ref="Q512">IF(K512="",INDEX($K$2:$K$2501,MATCH(MAX(COUNTIF($K$2:$K$2501,$K$2:$K$2501)),COUNTIF($K$2:$K$2501,$K$2:$K$2501),0)),K512)</f>
        <v>B2C</v>
      </c>
    </row>
    <row r="513" spans="1:17" x14ac:dyDescent="0.3">
      <c r="A513">
        <v>1511</v>
      </c>
      <c r="B513" t="s">
        <v>563</v>
      </c>
      <c r="C513" t="s">
        <v>20</v>
      </c>
      <c r="D513" t="s">
        <v>21</v>
      </c>
      <c r="E513">
        <v>2</v>
      </c>
      <c r="G513">
        <v>0.93</v>
      </c>
      <c r="H513" s="3">
        <f t="shared" si="35"/>
        <v>5362.348727272727</v>
      </c>
      <c r="I513" s="1">
        <v>45606</v>
      </c>
      <c r="J513" t="s">
        <v>56</v>
      </c>
      <c r="K513" t="s">
        <v>23</v>
      </c>
      <c r="L513" s="2">
        <f t="shared" si="36"/>
        <v>2681.1743636363635</v>
      </c>
      <c r="M513" s="4">
        <f t="shared" si="37"/>
        <v>0.93</v>
      </c>
      <c r="N513" s="1">
        <f t="shared" si="38"/>
        <v>45606</v>
      </c>
      <c r="O513" s="3">
        <f>(Table13[[#This Row],[Units_Sold]]*Table13[[#This Row],[Unit_Price_Cleaned]]*(1-Table13[[#This Row],[Discount Cleaned]]))</f>
        <v>375.36441090909062</v>
      </c>
      <c r="P513" t="str">
        <f t="shared" si="39"/>
        <v>Loss</v>
      </c>
      <c r="Q513" t="str" cm="1">
        <f t="array" ref="Q513">IF(K513="",INDEX($K$2:$K$2501,MATCH(MAX(COUNTIF($K$2:$K$2501,$K$2:$K$2501)),COUNTIF($K$2:$K$2501,$K$2:$K$2501),0)),K513)</f>
        <v>B2B</v>
      </c>
    </row>
    <row r="514" spans="1:17" x14ac:dyDescent="0.3">
      <c r="A514">
        <v>1512</v>
      </c>
      <c r="B514" t="s">
        <v>564</v>
      </c>
      <c r="C514" t="s">
        <v>29</v>
      </c>
      <c r="D514" t="s">
        <v>42</v>
      </c>
      <c r="E514">
        <v>2</v>
      </c>
      <c r="H514" s="3">
        <f t="shared" ref="H514:H577" si="40">(L514*E514)</f>
        <v>5119.3334615384629</v>
      </c>
      <c r="I514" s="1">
        <v>45458</v>
      </c>
      <c r="J514" t="s">
        <v>15</v>
      </c>
      <c r="K514" t="s">
        <v>16</v>
      </c>
      <c r="L514" s="2">
        <f t="shared" ref="L514:L577" si="41">IF(F514="",AVERAGEIF($D$2:$D$2501,D514,$F$2:$F$2501),F514)</f>
        <v>2559.6667307692314</v>
      </c>
      <c r="M514" s="4">
        <f t="shared" ref="M514:M577" si="42">IF(G514="",MEDIAN($G$2,$G$2501),G514)</f>
        <v>0.6</v>
      </c>
      <c r="N514" s="1">
        <f t="shared" ref="N514:N577" si="43">IF(I514="",MODE($I$32:$I$2501),I514)</f>
        <v>45458</v>
      </c>
      <c r="O514" s="3">
        <f>(Table13[[#This Row],[Units_Sold]]*Table13[[#This Row],[Unit_Price_Cleaned]]*(1-Table13[[#This Row],[Discount Cleaned]]))</f>
        <v>2047.7333846153851</v>
      </c>
      <c r="P514" t="str">
        <f t="shared" ref="P514:P577" si="44">IF(O514&gt;500,"Profit","Loss")</f>
        <v>Profit</v>
      </c>
      <c r="Q514" t="str" cm="1">
        <f t="array" ref="Q514">IF(K514="",INDEX($K$2:$K$2501,MATCH(MAX(COUNTIF($K$2:$K$2501,$K$2:$K$2501)),COUNTIF($K$2:$K$2501,$K$2:$K$2501),0)),K514)</f>
        <v>B2C</v>
      </c>
    </row>
    <row r="515" spans="1:17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 s="3">
        <f t="shared" si="40"/>
        <v>16200.757826086952</v>
      </c>
      <c r="I515" s="1">
        <v>45402</v>
      </c>
      <c r="J515" t="s">
        <v>15</v>
      </c>
      <c r="K515" t="s">
        <v>16</v>
      </c>
      <c r="L515" s="2">
        <f t="shared" si="41"/>
        <v>2700.1263043478252</v>
      </c>
      <c r="M515" s="4">
        <f t="shared" si="42"/>
        <v>0.6</v>
      </c>
      <c r="N515" s="1">
        <f t="shared" si="43"/>
        <v>45402</v>
      </c>
      <c r="O515" s="3">
        <f>(Table13[[#This Row],[Units_Sold]]*Table13[[#This Row],[Unit_Price_Cleaned]]*(1-Table13[[#This Row],[Discount Cleaned]]))</f>
        <v>6480.3031304347815</v>
      </c>
      <c r="P515" t="str">
        <f t="shared" si="44"/>
        <v>Profit</v>
      </c>
      <c r="Q515" t="str" cm="1">
        <f t="array" ref="Q515">IF(K515="",INDEX($K$2:$K$2501,MATCH(MAX(COUNTIF($K$2:$K$2501,$K$2:$K$2501)),COUNTIF($K$2:$K$2501,$K$2:$K$2501),0)),K515)</f>
        <v>B2C</v>
      </c>
    </row>
    <row r="516" spans="1:17" x14ac:dyDescent="0.3">
      <c r="A516">
        <v>1514</v>
      </c>
      <c r="B516" t="s">
        <v>566</v>
      </c>
      <c r="C516" t="s">
        <v>33</v>
      </c>
      <c r="D516" t="s">
        <v>44</v>
      </c>
      <c r="E516">
        <v>2</v>
      </c>
      <c r="F516">
        <v>2343.7199999999998</v>
      </c>
      <c r="H516" s="3">
        <f t="shared" si="40"/>
        <v>4687.4399999999996</v>
      </c>
      <c r="I516" s="1">
        <v>45810</v>
      </c>
      <c r="J516" t="s">
        <v>22</v>
      </c>
      <c r="L516" s="2">
        <f t="shared" si="41"/>
        <v>2343.7199999999998</v>
      </c>
      <c r="M516" s="4">
        <f t="shared" si="42"/>
        <v>0.6</v>
      </c>
      <c r="N516" s="1">
        <f t="shared" si="43"/>
        <v>45810</v>
      </c>
      <c r="O516" s="3">
        <f>(Table13[[#This Row],[Units_Sold]]*Table13[[#This Row],[Unit_Price_Cleaned]]*(1-Table13[[#This Row],[Discount Cleaned]]))</f>
        <v>1874.9759999999999</v>
      </c>
      <c r="P516" t="str">
        <f t="shared" si="44"/>
        <v>Profit</v>
      </c>
      <c r="Q516" t="str" cm="1">
        <f t="array" ref="Q516">IF(K516="",INDEX($K$2:$K$2501,MATCH(MAX(COUNTIF($K$2:$K$2501,$K$2:$K$2501)),COUNTIF($K$2:$K$2501,$K$2:$K$2501),0)),K516)</f>
        <v>B2B</v>
      </c>
    </row>
    <row r="517" spans="1:17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 s="3">
        <f t="shared" si="40"/>
        <v>13788.09</v>
      </c>
      <c r="I517" s="1">
        <v>45839</v>
      </c>
      <c r="J517" t="s">
        <v>15</v>
      </c>
      <c r="L517" s="2">
        <f t="shared" si="41"/>
        <v>4596.03</v>
      </c>
      <c r="M517" s="4">
        <f t="shared" si="42"/>
        <v>0.6</v>
      </c>
      <c r="N517" s="1">
        <f t="shared" si="43"/>
        <v>45839</v>
      </c>
      <c r="O517" s="3">
        <f>(Table13[[#This Row],[Units_Sold]]*Table13[[#This Row],[Unit_Price_Cleaned]]*(1-Table13[[#This Row],[Discount Cleaned]]))</f>
        <v>5515.2360000000008</v>
      </c>
      <c r="P517" t="str">
        <f t="shared" si="44"/>
        <v>Profit</v>
      </c>
      <c r="Q517" t="str" cm="1">
        <f t="array" ref="Q517">IF(K517="",INDEX($K$2:$K$2501,MATCH(MAX(COUNTIF($K$2:$K$2501,$K$2:$K$2501)),COUNTIF($K$2:$K$2501,$K$2:$K$2501),0)),K517)</f>
        <v>B2B</v>
      </c>
    </row>
    <row r="518" spans="1:17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 s="3">
        <f t="shared" si="40"/>
        <v>-1039.31</v>
      </c>
      <c r="J518" t="s">
        <v>18</v>
      </c>
      <c r="K518" t="s">
        <v>23</v>
      </c>
      <c r="L518" s="2">
        <f t="shared" si="41"/>
        <v>1039.31</v>
      </c>
      <c r="M518" s="4">
        <f t="shared" si="42"/>
        <v>0.94</v>
      </c>
      <c r="N518" s="1">
        <f t="shared" si="43"/>
        <v>45782</v>
      </c>
      <c r="O518" s="3">
        <f>(Table13[[#This Row],[Units_Sold]]*Table13[[#This Row],[Unit_Price_Cleaned]]*(1-Table13[[#This Row],[Discount Cleaned]]))</f>
        <v>-62.358600000000052</v>
      </c>
      <c r="P518" t="str">
        <f t="shared" si="44"/>
        <v>Loss</v>
      </c>
      <c r="Q518" t="str" cm="1">
        <f t="array" ref="Q518">IF(K518="",INDEX($K$2:$K$2501,MATCH(MAX(COUNTIF($K$2:$K$2501,$K$2:$K$2501)),COUNTIF($K$2:$K$2501,$K$2:$K$2501),0)),K518)</f>
        <v>B2B</v>
      </c>
    </row>
    <row r="519" spans="1:17" x14ac:dyDescent="0.3">
      <c r="A519">
        <v>1517</v>
      </c>
      <c r="B519" t="s">
        <v>569</v>
      </c>
      <c r="C519" t="s">
        <v>13</v>
      </c>
      <c r="D519" t="s">
        <v>14</v>
      </c>
      <c r="E519">
        <v>2</v>
      </c>
      <c r="F519">
        <v>4944.25</v>
      </c>
      <c r="H519" s="3">
        <f t="shared" si="40"/>
        <v>9888.5</v>
      </c>
      <c r="I519" s="1">
        <v>45570</v>
      </c>
      <c r="J519" t="s">
        <v>18</v>
      </c>
      <c r="K519" t="s">
        <v>23</v>
      </c>
      <c r="L519" s="2">
        <f t="shared" si="41"/>
        <v>4944.25</v>
      </c>
      <c r="M519" s="4">
        <f t="shared" si="42"/>
        <v>0.6</v>
      </c>
      <c r="N519" s="1">
        <f t="shared" si="43"/>
        <v>45570</v>
      </c>
      <c r="O519" s="3">
        <f>(Table13[[#This Row],[Units_Sold]]*Table13[[#This Row],[Unit_Price_Cleaned]]*(1-Table13[[#This Row],[Discount Cleaned]]))</f>
        <v>3955.4</v>
      </c>
      <c r="P519" t="str">
        <f t="shared" si="44"/>
        <v>Profit</v>
      </c>
      <c r="Q519" t="str" cm="1">
        <f t="array" ref="Q519">IF(K519="",INDEX($K$2:$K$2501,MATCH(MAX(COUNTIF($K$2:$K$2501,$K$2:$K$2501)),COUNTIF($K$2:$K$2501,$K$2:$K$2501),0)),K519)</f>
        <v>B2B</v>
      </c>
    </row>
    <row r="520" spans="1:17" x14ac:dyDescent="0.3">
      <c r="A520">
        <v>1518</v>
      </c>
      <c r="B520" t="s">
        <v>570</v>
      </c>
      <c r="C520" t="s">
        <v>13</v>
      </c>
      <c r="D520" t="s">
        <v>14</v>
      </c>
      <c r="E520">
        <v>2</v>
      </c>
      <c r="F520">
        <v>706.71</v>
      </c>
      <c r="H520" s="3">
        <f t="shared" si="40"/>
        <v>1413.42</v>
      </c>
      <c r="I520" s="1">
        <v>45831</v>
      </c>
      <c r="J520" t="s">
        <v>15</v>
      </c>
      <c r="L520" s="2">
        <f t="shared" si="41"/>
        <v>706.71</v>
      </c>
      <c r="M520" s="4">
        <f t="shared" si="42"/>
        <v>0.6</v>
      </c>
      <c r="N520" s="1">
        <f t="shared" si="43"/>
        <v>45831</v>
      </c>
      <c r="O520" s="3">
        <f>(Table13[[#This Row],[Units_Sold]]*Table13[[#This Row],[Unit_Price_Cleaned]]*(1-Table13[[#This Row],[Discount Cleaned]]))</f>
        <v>565.36800000000005</v>
      </c>
      <c r="P520" t="str">
        <f t="shared" si="44"/>
        <v>Profit</v>
      </c>
      <c r="Q520" t="str" cm="1">
        <f t="array" ref="Q520">IF(K520="",INDEX($K$2:$K$2501,MATCH(MAX(COUNTIF($K$2:$K$2501,$K$2:$K$2501)),COUNTIF($K$2:$K$2501,$K$2:$K$2501),0)),K520)</f>
        <v>B2B</v>
      </c>
    </row>
    <row r="521" spans="1:17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 s="3">
        <f t="shared" si="40"/>
        <v>3762.86</v>
      </c>
      <c r="I521" s="1">
        <v>45582</v>
      </c>
      <c r="J521" t="s">
        <v>22</v>
      </c>
      <c r="K521" t="s">
        <v>23</v>
      </c>
      <c r="L521" s="2">
        <f t="shared" si="41"/>
        <v>3762.86</v>
      </c>
      <c r="M521" s="4">
        <f t="shared" si="42"/>
        <v>0.6</v>
      </c>
      <c r="N521" s="1">
        <f t="shared" si="43"/>
        <v>45582</v>
      </c>
      <c r="O521" s="3">
        <f>(Table13[[#This Row],[Units_Sold]]*Table13[[#This Row],[Unit_Price_Cleaned]]*(1-Table13[[#This Row],[Discount Cleaned]]))</f>
        <v>1505.1440000000002</v>
      </c>
      <c r="P521" t="str">
        <f t="shared" si="44"/>
        <v>Profit</v>
      </c>
      <c r="Q521" t="str" cm="1">
        <f t="array" ref="Q521">IF(K521="",INDEX($K$2:$K$2501,MATCH(MAX(COUNTIF($K$2:$K$2501,$K$2:$K$2501)),COUNTIF($K$2:$K$2501,$K$2:$K$2501),0)),K521)</f>
        <v>B2B</v>
      </c>
    </row>
    <row r="522" spans="1:17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 s="3">
        <f t="shared" si="40"/>
        <v>9948.15846153846</v>
      </c>
      <c r="I522" s="1">
        <v>45777</v>
      </c>
      <c r="J522" t="s">
        <v>22</v>
      </c>
      <c r="L522" s="2">
        <f t="shared" si="41"/>
        <v>2487.039615384615</v>
      </c>
      <c r="M522" s="4">
        <f t="shared" si="42"/>
        <v>0.71</v>
      </c>
      <c r="N522" s="1">
        <f t="shared" si="43"/>
        <v>45777</v>
      </c>
      <c r="O522" s="3">
        <f>(Table13[[#This Row],[Units_Sold]]*Table13[[#This Row],[Unit_Price_Cleaned]]*(1-Table13[[#This Row],[Discount Cleaned]]))</f>
        <v>2884.9659538461538</v>
      </c>
      <c r="P522" t="str">
        <f t="shared" si="44"/>
        <v>Profit</v>
      </c>
      <c r="Q522" t="str" cm="1">
        <f t="array" ref="Q522">IF(K522="",INDEX($K$2:$K$2501,MATCH(MAX(COUNTIF($K$2:$K$2501,$K$2:$K$2501)),COUNTIF($K$2:$K$2501,$K$2:$K$2501),0)),K522)</f>
        <v>B2B</v>
      </c>
    </row>
    <row r="523" spans="1:17" x14ac:dyDescent="0.3">
      <c r="A523">
        <v>1521</v>
      </c>
      <c r="B523" t="s">
        <v>573</v>
      </c>
      <c r="C523" t="s">
        <v>13</v>
      </c>
      <c r="D523" t="s">
        <v>49</v>
      </c>
      <c r="E523">
        <v>2</v>
      </c>
      <c r="F523">
        <v>2362.0300000000002</v>
      </c>
      <c r="G523">
        <v>1.27</v>
      </c>
      <c r="H523" s="3">
        <f t="shared" si="40"/>
        <v>4724.0600000000004</v>
      </c>
      <c r="I523" s="1">
        <v>45788</v>
      </c>
      <c r="J523" t="s">
        <v>56</v>
      </c>
      <c r="L523" s="2">
        <f t="shared" si="41"/>
        <v>2362.0300000000002</v>
      </c>
      <c r="M523" s="4">
        <f t="shared" si="42"/>
        <v>1.27</v>
      </c>
      <c r="N523" s="1">
        <f t="shared" si="43"/>
        <v>45788</v>
      </c>
      <c r="O523" s="3">
        <f>(Table13[[#This Row],[Units_Sold]]*Table13[[#This Row],[Unit_Price_Cleaned]]*(1-Table13[[#This Row],[Discount Cleaned]]))</f>
        <v>-1275.4962000000003</v>
      </c>
      <c r="P523" t="str">
        <f t="shared" si="44"/>
        <v>Loss</v>
      </c>
      <c r="Q523" t="str" cm="1">
        <f t="array" ref="Q523">IF(K523="",INDEX($K$2:$K$2501,MATCH(MAX(COUNTIF($K$2:$K$2501,$K$2:$K$2501)),COUNTIF($K$2:$K$2501,$K$2:$K$2501),0)),K523)</f>
        <v>B2B</v>
      </c>
    </row>
    <row r="524" spans="1:17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 s="3">
        <f t="shared" si="40"/>
        <v>15358.000384615389</v>
      </c>
      <c r="I524" s="1">
        <v>45503</v>
      </c>
      <c r="J524" t="s">
        <v>40</v>
      </c>
      <c r="K524" t="s">
        <v>23</v>
      </c>
      <c r="L524" s="2">
        <f t="shared" si="41"/>
        <v>2559.6667307692314</v>
      </c>
      <c r="M524" s="4">
        <f t="shared" si="42"/>
        <v>0.44</v>
      </c>
      <c r="N524" s="1">
        <f t="shared" si="43"/>
        <v>45503</v>
      </c>
      <c r="O524" s="3">
        <f>(Table13[[#This Row],[Units_Sold]]*Table13[[#This Row],[Unit_Price_Cleaned]]*(1-Table13[[#This Row],[Discount Cleaned]]))</f>
        <v>8600.4802153846176</v>
      </c>
      <c r="P524" t="str">
        <f t="shared" si="44"/>
        <v>Profit</v>
      </c>
      <c r="Q524" t="str" cm="1">
        <f t="array" ref="Q524">IF(K524="",INDEX($K$2:$K$2501,MATCH(MAX(COUNTIF($K$2:$K$2501,$K$2:$K$2501)),COUNTIF($K$2:$K$2501,$K$2:$K$2501),0)),K524)</f>
        <v>B2B</v>
      </c>
    </row>
    <row r="525" spans="1:17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 s="3">
        <f t="shared" si="40"/>
        <v>-5683.5261224489814</v>
      </c>
      <c r="I525" s="1">
        <v>45276</v>
      </c>
      <c r="J525" t="s">
        <v>18</v>
      </c>
      <c r="K525" t="s">
        <v>23</v>
      </c>
      <c r="L525" s="2">
        <f t="shared" si="41"/>
        <v>2841.7630612244907</v>
      </c>
      <c r="M525" s="4">
        <f t="shared" si="42"/>
        <v>0.13</v>
      </c>
      <c r="N525" s="1">
        <f t="shared" si="43"/>
        <v>45276</v>
      </c>
      <c r="O525" s="3">
        <f>(Table13[[#This Row],[Units_Sold]]*Table13[[#This Row],[Unit_Price_Cleaned]]*(1-Table13[[#This Row],[Discount Cleaned]]))</f>
        <v>-4944.6677265306134</v>
      </c>
      <c r="P525" t="str">
        <f t="shared" si="44"/>
        <v>Loss</v>
      </c>
      <c r="Q525" t="str" cm="1">
        <f t="array" ref="Q525">IF(K525="",INDEX($K$2:$K$2501,MATCH(MAX(COUNTIF($K$2:$K$2501,$K$2:$K$2501)),COUNTIF($K$2:$K$2501,$K$2:$K$2501),0)),K525)</f>
        <v>B2B</v>
      </c>
    </row>
    <row r="526" spans="1:17" x14ac:dyDescent="0.3">
      <c r="A526">
        <v>1524</v>
      </c>
      <c r="B526" t="s">
        <v>576</v>
      </c>
      <c r="C526" t="s">
        <v>38</v>
      </c>
      <c r="D526" t="s">
        <v>63</v>
      </c>
      <c r="E526">
        <v>2</v>
      </c>
      <c r="G526">
        <v>0.47</v>
      </c>
      <c r="H526" s="3">
        <f t="shared" si="40"/>
        <v>5690.4839344262318</v>
      </c>
      <c r="I526" s="1">
        <v>45853</v>
      </c>
      <c r="J526" t="s">
        <v>56</v>
      </c>
      <c r="K526" t="s">
        <v>16</v>
      </c>
      <c r="L526" s="2">
        <f t="shared" si="41"/>
        <v>2845.2419672131159</v>
      </c>
      <c r="M526" s="4">
        <f t="shared" si="42"/>
        <v>0.47</v>
      </c>
      <c r="N526" s="1">
        <f t="shared" si="43"/>
        <v>45853</v>
      </c>
      <c r="O526" s="3">
        <f>(Table13[[#This Row],[Units_Sold]]*Table13[[#This Row],[Unit_Price_Cleaned]]*(1-Table13[[#This Row],[Discount Cleaned]]))</f>
        <v>3015.956485245903</v>
      </c>
      <c r="P526" t="str">
        <f t="shared" si="44"/>
        <v>Profit</v>
      </c>
      <c r="Q526" t="str" cm="1">
        <f t="array" ref="Q526">IF(K526="",INDEX($K$2:$K$2501,MATCH(MAX(COUNTIF($K$2:$K$2501,$K$2:$K$2501)),COUNTIF($K$2:$K$2501,$K$2:$K$2501),0)),K526)</f>
        <v>B2C</v>
      </c>
    </row>
    <row r="527" spans="1:17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 s="3">
        <f t="shared" si="40"/>
        <v>22956.300000000003</v>
      </c>
      <c r="I527" s="1">
        <v>45660</v>
      </c>
      <c r="J527" t="s">
        <v>56</v>
      </c>
      <c r="K527" t="s">
        <v>23</v>
      </c>
      <c r="L527" s="2">
        <f t="shared" si="41"/>
        <v>4591.26</v>
      </c>
      <c r="M527" s="4">
        <f t="shared" si="42"/>
        <v>0.6</v>
      </c>
      <c r="N527" s="1">
        <f t="shared" si="43"/>
        <v>45660</v>
      </c>
      <c r="O527" s="3">
        <f>(Table13[[#This Row],[Units_Sold]]*Table13[[#This Row],[Unit_Price_Cleaned]]*(1-Table13[[#This Row],[Discount Cleaned]]))</f>
        <v>9182.5200000000023</v>
      </c>
      <c r="P527" t="str">
        <f t="shared" si="44"/>
        <v>Profit</v>
      </c>
      <c r="Q527" t="str" cm="1">
        <f t="array" ref="Q527">IF(K527="",INDEX($K$2:$K$2501,MATCH(MAX(COUNTIF($K$2:$K$2501,$K$2:$K$2501)),COUNTIF($K$2:$K$2501,$K$2:$K$2501),0)),K527)</f>
        <v>B2B</v>
      </c>
    </row>
    <row r="528" spans="1:17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 s="3">
        <f t="shared" si="40"/>
        <v>3768.5</v>
      </c>
      <c r="I528" s="1">
        <v>45576</v>
      </c>
      <c r="J528" t="s">
        <v>40</v>
      </c>
      <c r="L528" s="2">
        <f t="shared" si="41"/>
        <v>1884.25</v>
      </c>
      <c r="M528" s="4">
        <f t="shared" si="42"/>
        <v>0.6</v>
      </c>
      <c r="N528" s="1">
        <f t="shared" si="43"/>
        <v>45576</v>
      </c>
      <c r="O528" s="3">
        <f>(Table13[[#This Row],[Units_Sold]]*Table13[[#This Row],[Unit_Price_Cleaned]]*(1-Table13[[#This Row],[Discount Cleaned]]))</f>
        <v>1507.4</v>
      </c>
      <c r="P528" t="str">
        <f t="shared" si="44"/>
        <v>Profit</v>
      </c>
      <c r="Q528" t="str" cm="1">
        <f t="array" ref="Q528">IF(K528="",INDEX($K$2:$K$2501,MATCH(MAX(COUNTIF($K$2:$K$2501,$K$2:$K$2501)),COUNTIF($K$2:$K$2501,$K$2:$K$2501),0)),K528)</f>
        <v>B2B</v>
      </c>
    </row>
    <row r="529" spans="1:17" x14ac:dyDescent="0.3">
      <c r="A529">
        <v>1527</v>
      </c>
      <c r="B529" t="s">
        <v>579</v>
      </c>
      <c r="C529" t="s">
        <v>13</v>
      </c>
      <c r="D529" t="s">
        <v>14</v>
      </c>
      <c r="E529">
        <v>2</v>
      </c>
      <c r="F529">
        <v>3431.26</v>
      </c>
      <c r="H529" s="3">
        <f t="shared" si="40"/>
        <v>6862.52</v>
      </c>
      <c r="I529" s="1">
        <v>45153</v>
      </c>
      <c r="J529" t="s">
        <v>40</v>
      </c>
      <c r="K529" t="s">
        <v>16</v>
      </c>
      <c r="L529" s="2">
        <f t="shared" si="41"/>
        <v>3431.26</v>
      </c>
      <c r="M529" s="4">
        <f t="shared" si="42"/>
        <v>0.6</v>
      </c>
      <c r="N529" s="1">
        <f t="shared" si="43"/>
        <v>45153</v>
      </c>
      <c r="O529" s="3">
        <f>(Table13[[#This Row],[Units_Sold]]*Table13[[#This Row],[Unit_Price_Cleaned]]*(1-Table13[[#This Row],[Discount Cleaned]]))</f>
        <v>2745.0080000000003</v>
      </c>
      <c r="P529" t="str">
        <f t="shared" si="44"/>
        <v>Profit</v>
      </c>
      <c r="Q529" t="str" cm="1">
        <f t="array" ref="Q529">IF(K529="",INDEX($K$2:$K$2501,MATCH(MAX(COUNTIF($K$2:$K$2501,$K$2:$K$2501)),COUNTIF($K$2:$K$2501,$K$2:$K$2501),0)),K529)</f>
        <v>B2C</v>
      </c>
    </row>
    <row r="530" spans="1:17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 s="3">
        <f t="shared" si="40"/>
        <v>0</v>
      </c>
      <c r="I530" s="1">
        <v>45230</v>
      </c>
      <c r="J530" t="s">
        <v>15</v>
      </c>
      <c r="L530" s="2">
        <f t="shared" si="41"/>
        <v>2487.039615384615</v>
      </c>
      <c r="M530" s="4">
        <f t="shared" si="42"/>
        <v>0.6</v>
      </c>
      <c r="N530" s="1">
        <f t="shared" si="43"/>
        <v>45230</v>
      </c>
      <c r="O530" s="3">
        <f>(Table13[[#This Row],[Units_Sold]]*Table13[[#This Row],[Unit_Price_Cleaned]]*(1-Table13[[#This Row],[Discount Cleaned]]))</f>
        <v>0</v>
      </c>
      <c r="P530" t="str">
        <f t="shared" si="44"/>
        <v>Loss</v>
      </c>
      <c r="Q530" t="str" cm="1">
        <f t="array" ref="Q530">IF(K530="",INDEX($K$2:$K$2501,MATCH(MAX(COUNTIF($K$2:$K$2501,$K$2:$K$2501)),COUNTIF($K$2:$K$2501,$K$2:$K$2501),0)),K530)</f>
        <v>B2B</v>
      </c>
    </row>
    <row r="531" spans="1:17" x14ac:dyDescent="0.3">
      <c r="A531">
        <v>1529</v>
      </c>
      <c r="B531" t="s">
        <v>581</v>
      </c>
      <c r="C531" t="s">
        <v>33</v>
      </c>
      <c r="D531" t="s">
        <v>72</v>
      </c>
      <c r="E531">
        <v>2</v>
      </c>
      <c r="F531">
        <v>3381.7</v>
      </c>
      <c r="H531" s="3">
        <f t="shared" si="40"/>
        <v>6763.4</v>
      </c>
      <c r="I531" s="1">
        <v>45734</v>
      </c>
      <c r="J531" t="s">
        <v>15</v>
      </c>
      <c r="L531" s="2">
        <f t="shared" si="41"/>
        <v>3381.7</v>
      </c>
      <c r="M531" s="4">
        <f t="shared" si="42"/>
        <v>0.6</v>
      </c>
      <c r="N531" s="1">
        <f t="shared" si="43"/>
        <v>45734</v>
      </c>
      <c r="O531" s="3">
        <f>(Table13[[#This Row],[Units_Sold]]*Table13[[#This Row],[Unit_Price_Cleaned]]*(1-Table13[[#This Row],[Discount Cleaned]]))</f>
        <v>2705.36</v>
      </c>
      <c r="P531" t="str">
        <f t="shared" si="44"/>
        <v>Profit</v>
      </c>
      <c r="Q531" t="str" cm="1">
        <f t="array" ref="Q531">IF(K531="",INDEX($K$2:$K$2501,MATCH(MAX(COUNTIF($K$2:$K$2501,$K$2:$K$2501)),COUNTIF($K$2:$K$2501,$K$2:$K$2501),0)),K531)</f>
        <v>B2B</v>
      </c>
    </row>
    <row r="532" spans="1:17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 s="3">
        <f t="shared" si="40"/>
        <v>16355.134285714288</v>
      </c>
      <c r="I532" s="1">
        <v>45565</v>
      </c>
      <c r="J532" t="s">
        <v>56</v>
      </c>
      <c r="K532" t="s">
        <v>16</v>
      </c>
      <c r="L532" s="2">
        <f t="shared" si="41"/>
        <v>2725.8557142857148</v>
      </c>
      <c r="M532" s="4">
        <f t="shared" si="42"/>
        <v>0.6</v>
      </c>
      <c r="N532" s="1">
        <f t="shared" si="43"/>
        <v>45565</v>
      </c>
      <c r="O532" s="3">
        <f>(Table13[[#This Row],[Units_Sold]]*Table13[[#This Row],[Unit_Price_Cleaned]]*(1-Table13[[#This Row],[Discount Cleaned]]))</f>
        <v>6542.0537142857156</v>
      </c>
      <c r="P532" t="str">
        <f t="shared" si="44"/>
        <v>Profit</v>
      </c>
      <c r="Q532" t="str" cm="1">
        <f t="array" ref="Q532">IF(K532="",INDEX($K$2:$K$2501,MATCH(MAX(COUNTIF($K$2:$K$2501,$K$2:$K$2501)),COUNTIF($K$2:$K$2501,$K$2:$K$2501),0)),K532)</f>
        <v>B2C</v>
      </c>
    </row>
    <row r="533" spans="1:17" x14ac:dyDescent="0.3">
      <c r="A533">
        <v>1531</v>
      </c>
      <c r="B533" t="s">
        <v>583</v>
      </c>
      <c r="C533" t="s">
        <v>13</v>
      </c>
      <c r="D533" t="s">
        <v>102</v>
      </c>
      <c r="E533">
        <v>2</v>
      </c>
      <c r="G533">
        <v>0.37</v>
      </c>
      <c r="H533" s="3">
        <f t="shared" si="40"/>
        <v>5152.6113793103432</v>
      </c>
      <c r="I533" s="1">
        <v>45819</v>
      </c>
      <c r="J533" t="s">
        <v>18</v>
      </c>
      <c r="K533" t="s">
        <v>23</v>
      </c>
      <c r="L533" s="2">
        <f t="shared" si="41"/>
        <v>2576.3056896551716</v>
      </c>
      <c r="M533" s="4">
        <f t="shared" si="42"/>
        <v>0.37</v>
      </c>
      <c r="N533" s="1">
        <f t="shared" si="43"/>
        <v>45819</v>
      </c>
      <c r="O533" s="3">
        <f>(Table13[[#This Row],[Units_Sold]]*Table13[[#This Row],[Unit_Price_Cleaned]]*(1-Table13[[#This Row],[Discount Cleaned]]))</f>
        <v>3246.1451689655164</v>
      </c>
      <c r="P533" t="str">
        <f t="shared" si="44"/>
        <v>Profit</v>
      </c>
      <c r="Q533" t="str" cm="1">
        <f t="array" ref="Q533">IF(K533="",INDEX($K$2:$K$2501,MATCH(MAX(COUNTIF($K$2:$K$2501,$K$2:$K$2501)),COUNTIF($K$2:$K$2501,$K$2:$K$2501),0)),K533)</f>
        <v>B2B</v>
      </c>
    </row>
    <row r="534" spans="1:17" x14ac:dyDescent="0.3">
      <c r="A534">
        <v>1532</v>
      </c>
      <c r="B534" t="s">
        <v>584</v>
      </c>
      <c r="C534" t="s">
        <v>33</v>
      </c>
      <c r="D534" t="s">
        <v>44</v>
      </c>
      <c r="E534">
        <v>2</v>
      </c>
      <c r="G534">
        <v>0.33</v>
      </c>
      <c r="H534" s="3">
        <f t="shared" si="40"/>
        <v>5683.5261224489814</v>
      </c>
      <c r="I534" s="1">
        <v>45167</v>
      </c>
      <c r="J534" t="s">
        <v>22</v>
      </c>
      <c r="K534" t="s">
        <v>23</v>
      </c>
      <c r="L534" s="2">
        <f t="shared" si="41"/>
        <v>2841.7630612244907</v>
      </c>
      <c r="M534" s="4">
        <f t="shared" si="42"/>
        <v>0.33</v>
      </c>
      <c r="N534" s="1">
        <f t="shared" si="43"/>
        <v>45167</v>
      </c>
      <c r="O534" s="3">
        <f>(Table13[[#This Row],[Units_Sold]]*Table13[[#This Row],[Unit_Price_Cleaned]]*(1-Table13[[#This Row],[Discount Cleaned]]))</f>
        <v>3807.9625020408171</v>
      </c>
      <c r="P534" t="str">
        <f t="shared" si="44"/>
        <v>Profit</v>
      </c>
      <c r="Q534" t="str" cm="1">
        <f t="array" ref="Q534">IF(K534="",INDEX($K$2:$K$2501,MATCH(MAX(COUNTIF($K$2:$K$2501,$K$2:$K$2501)),COUNTIF($K$2:$K$2501,$K$2:$K$2501),0)),K534)</f>
        <v>B2B</v>
      </c>
    </row>
    <row r="535" spans="1:17" x14ac:dyDescent="0.3">
      <c r="A535">
        <v>1533</v>
      </c>
      <c r="B535" t="s">
        <v>585</v>
      </c>
      <c r="C535" t="s">
        <v>38</v>
      </c>
      <c r="D535" t="s">
        <v>91</v>
      </c>
      <c r="E535">
        <v>2</v>
      </c>
      <c r="F535">
        <v>3965.94</v>
      </c>
      <c r="H535" s="3">
        <f t="shared" si="40"/>
        <v>7931.88</v>
      </c>
      <c r="I535" s="1">
        <v>45637</v>
      </c>
      <c r="J535" t="s">
        <v>22</v>
      </c>
      <c r="L535" s="2">
        <f t="shared" si="41"/>
        <v>3965.94</v>
      </c>
      <c r="M535" s="4">
        <f t="shared" si="42"/>
        <v>0.6</v>
      </c>
      <c r="N535" s="1">
        <f t="shared" si="43"/>
        <v>45637</v>
      </c>
      <c r="O535" s="3">
        <f>(Table13[[#This Row],[Units_Sold]]*Table13[[#This Row],[Unit_Price_Cleaned]]*(1-Table13[[#This Row],[Discount Cleaned]]))</f>
        <v>3172.7520000000004</v>
      </c>
      <c r="P535" t="str">
        <f t="shared" si="44"/>
        <v>Profit</v>
      </c>
      <c r="Q535" t="str" cm="1">
        <f t="array" ref="Q535">IF(K535="",INDEX($K$2:$K$2501,MATCH(MAX(COUNTIF($K$2:$K$2501,$K$2:$K$2501)),COUNTIF($K$2:$K$2501,$K$2:$K$2501),0)),K535)</f>
        <v>B2B</v>
      </c>
    </row>
    <row r="536" spans="1:17" x14ac:dyDescent="0.3">
      <c r="A536">
        <v>1534</v>
      </c>
      <c r="B536" t="s">
        <v>586</v>
      </c>
      <c r="C536" t="s">
        <v>33</v>
      </c>
      <c r="D536" t="s">
        <v>82</v>
      </c>
      <c r="E536">
        <v>2</v>
      </c>
      <c r="H536" s="3">
        <f t="shared" si="40"/>
        <v>5552.4404000000004</v>
      </c>
      <c r="I536" s="1">
        <v>45772</v>
      </c>
      <c r="J536" t="s">
        <v>15</v>
      </c>
      <c r="K536" t="s">
        <v>23</v>
      </c>
      <c r="L536" s="2">
        <f t="shared" si="41"/>
        <v>2776.2202000000002</v>
      </c>
      <c r="M536" s="4">
        <f t="shared" si="42"/>
        <v>0.6</v>
      </c>
      <c r="N536" s="1">
        <f t="shared" si="43"/>
        <v>45772</v>
      </c>
      <c r="O536" s="3">
        <f>(Table13[[#This Row],[Units_Sold]]*Table13[[#This Row],[Unit_Price_Cleaned]]*(1-Table13[[#This Row],[Discount Cleaned]]))</f>
        <v>2220.9761600000002</v>
      </c>
      <c r="P536" t="str">
        <f t="shared" si="44"/>
        <v>Profit</v>
      </c>
      <c r="Q536" t="str" cm="1">
        <f t="array" ref="Q536">IF(K536="",INDEX($K$2:$K$2501,MATCH(MAX(COUNTIF($K$2:$K$2501,$K$2:$K$2501)),COUNTIF($K$2:$K$2501,$K$2:$K$2501),0)),K536)</f>
        <v>B2B</v>
      </c>
    </row>
    <row r="537" spans="1:17" x14ac:dyDescent="0.3">
      <c r="A537">
        <v>1535</v>
      </c>
      <c r="B537" t="s">
        <v>587</v>
      </c>
      <c r="C537" t="s">
        <v>29</v>
      </c>
      <c r="D537" t="s">
        <v>141</v>
      </c>
      <c r="E537">
        <v>2</v>
      </c>
      <c r="F537">
        <v>720.35</v>
      </c>
      <c r="H537" s="3">
        <f t="shared" si="40"/>
        <v>1440.7</v>
      </c>
      <c r="I537" s="1">
        <v>45282</v>
      </c>
      <c r="J537" t="s">
        <v>40</v>
      </c>
      <c r="L537" s="2">
        <f t="shared" si="41"/>
        <v>720.35</v>
      </c>
      <c r="M537" s="4">
        <f t="shared" si="42"/>
        <v>0.6</v>
      </c>
      <c r="N537" s="1">
        <f t="shared" si="43"/>
        <v>45282</v>
      </c>
      <c r="O537" s="3">
        <f>(Table13[[#This Row],[Units_Sold]]*Table13[[#This Row],[Unit_Price_Cleaned]]*(1-Table13[[#This Row],[Discount Cleaned]]))</f>
        <v>576.28000000000009</v>
      </c>
      <c r="P537" t="str">
        <f t="shared" si="44"/>
        <v>Profit</v>
      </c>
      <c r="Q537" t="str" cm="1">
        <f t="array" ref="Q537">IF(K537="",INDEX($K$2:$K$2501,MATCH(MAX(COUNTIF($K$2:$K$2501,$K$2:$K$2501)),COUNTIF($K$2:$K$2501,$K$2:$K$2501),0)),K537)</f>
        <v>B2B</v>
      </c>
    </row>
    <row r="538" spans="1:17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 s="3">
        <f t="shared" si="40"/>
        <v>2868.7768181818178</v>
      </c>
      <c r="I538" s="1">
        <v>45790</v>
      </c>
      <c r="J538" t="s">
        <v>15</v>
      </c>
      <c r="K538" t="s">
        <v>23</v>
      </c>
      <c r="L538" s="2">
        <f t="shared" si="41"/>
        <v>2868.7768181818178</v>
      </c>
      <c r="M538" s="4">
        <f t="shared" si="42"/>
        <v>0.6</v>
      </c>
      <c r="N538" s="1">
        <f t="shared" si="43"/>
        <v>45790</v>
      </c>
      <c r="O538" s="3">
        <f>(Table13[[#This Row],[Units_Sold]]*Table13[[#This Row],[Unit_Price_Cleaned]]*(1-Table13[[#This Row],[Discount Cleaned]]))</f>
        <v>1147.5107272727271</v>
      </c>
      <c r="P538" t="str">
        <f t="shared" si="44"/>
        <v>Profit</v>
      </c>
      <c r="Q538" t="str" cm="1">
        <f t="array" ref="Q538">IF(K538="",INDEX($K$2:$K$2501,MATCH(MAX(COUNTIF($K$2:$K$2501,$K$2:$K$2501)),COUNTIF($K$2:$K$2501,$K$2:$K$2501),0)),K538)</f>
        <v>B2B</v>
      </c>
    </row>
    <row r="539" spans="1:17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 s="3">
        <f t="shared" si="40"/>
        <v>-2576.3056896551716</v>
      </c>
      <c r="J539" t="s">
        <v>40</v>
      </c>
      <c r="L539" s="2">
        <f t="shared" si="41"/>
        <v>2576.3056896551716</v>
      </c>
      <c r="M539" s="4">
        <f t="shared" si="42"/>
        <v>0.9</v>
      </c>
      <c r="N539" s="1">
        <f t="shared" si="43"/>
        <v>45782</v>
      </c>
      <c r="O539" s="3">
        <f>(Table13[[#This Row],[Units_Sold]]*Table13[[#This Row],[Unit_Price_Cleaned]]*(1-Table13[[#This Row],[Discount Cleaned]]))</f>
        <v>-257.63056896551711</v>
      </c>
      <c r="P539" t="str">
        <f t="shared" si="44"/>
        <v>Loss</v>
      </c>
      <c r="Q539" t="str" cm="1">
        <f t="array" ref="Q539">IF(K539="",INDEX($K$2:$K$2501,MATCH(MAX(COUNTIF($K$2:$K$2501,$K$2:$K$2501)),COUNTIF($K$2:$K$2501,$K$2:$K$2501),0)),K539)</f>
        <v>B2B</v>
      </c>
    </row>
    <row r="540" spans="1:17" x14ac:dyDescent="0.3">
      <c r="A540">
        <v>1538</v>
      </c>
      <c r="B540" t="s">
        <v>590</v>
      </c>
      <c r="C540" t="s">
        <v>38</v>
      </c>
      <c r="D540" t="s">
        <v>91</v>
      </c>
      <c r="E540">
        <v>2</v>
      </c>
      <c r="F540">
        <v>4767.6099999999997</v>
      </c>
      <c r="G540">
        <v>0.01</v>
      </c>
      <c r="H540" s="3">
        <f t="shared" si="40"/>
        <v>9535.2199999999993</v>
      </c>
      <c r="J540" t="s">
        <v>18</v>
      </c>
      <c r="K540" t="s">
        <v>23</v>
      </c>
      <c r="L540" s="2">
        <f t="shared" si="41"/>
        <v>4767.6099999999997</v>
      </c>
      <c r="M540" s="4">
        <f t="shared" si="42"/>
        <v>0.01</v>
      </c>
      <c r="N540" s="1">
        <f t="shared" si="43"/>
        <v>45782</v>
      </c>
      <c r="O540" s="3">
        <f>(Table13[[#This Row],[Units_Sold]]*Table13[[#This Row],[Unit_Price_Cleaned]]*(1-Table13[[#This Row],[Discount Cleaned]]))</f>
        <v>9439.8678</v>
      </c>
      <c r="P540" t="str">
        <f t="shared" si="44"/>
        <v>Profit</v>
      </c>
      <c r="Q540" t="str" cm="1">
        <f t="array" ref="Q540">IF(K540="",INDEX($K$2:$K$2501,MATCH(MAX(COUNTIF($K$2:$K$2501,$K$2:$K$2501)),COUNTIF($K$2:$K$2501,$K$2:$K$2501),0)),K540)</f>
        <v>B2B</v>
      </c>
    </row>
    <row r="541" spans="1:17" x14ac:dyDescent="0.3">
      <c r="A541">
        <v>1539</v>
      </c>
      <c r="B541" t="s">
        <v>591</v>
      </c>
      <c r="C541" t="s">
        <v>13</v>
      </c>
      <c r="D541" t="s">
        <v>49</v>
      </c>
      <c r="E541">
        <v>2</v>
      </c>
      <c r="F541">
        <v>2891.64</v>
      </c>
      <c r="H541" s="3">
        <f t="shared" si="40"/>
        <v>5783.28</v>
      </c>
      <c r="J541" t="s">
        <v>22</v>
      </c>
      <c r="L541" s="2">
        <f t="shared" si="41"/>
        <v>2891.64</v>
      </c>
      <c r="M541" s="4">
        <f t="shared" si="42"/>
        <v>0.6</v>
      </c>
      <c r="N541" s="1">
        <f t="shared" si="43"/>
        <v>45782</v>
      </c>
      <c r="O541" s="3">
        <f>(Table13[[#This Row],[Units_Sold]]*Table13[[#This Row],[Unit_Price_Cleaned]]*(1-Table13[[#This Row],[Discount Cleaned]]))</f>
        <v>2313.3119999999999</v>
      </c>
      <c r="P541" t="str">
        <f t="shared" si="44"/>
        <v>Profit</v>
      </c>
      <c r="Q541" t="str" cm="1">
        <f t="array" ref="Q541">IF(K541="",INDEX($K$2:$K$2501,MATCH(MAX(COUNTIF($K$2:$K$2501,$K$2:$K$2501)),COUNTIF($K$2:$K$2501,$K$2:$K$2501),0)),K541)</f>
        <v>B2B</v>
      </c>
    </row>
    <row r="542" spans="1:17" x14ac:dyDescent="0.3">
      <c r="A542">
        <v>1540</v>
      </c>
      <c r="B542" t="s">
        <v>592</v>
      </c>
      <c r="C542" t="s">
        <v>20</v>
      </c>
      <c r="D542" t="s">
        <v>21</v>
      </c>
      <c r="E542">
        <v>2</v>
      </c>
      <c r="H542" s="3">
        <f t="shared" si="40"/>
        <v>5362.348727272727</v>
      </c>
      <c r="I542" s="1">
        <v>45663</v>
      </c>
      <c r="J542" t="s">
        <v>18</v>
      </c>
      <c r="L542" s="2">
        <f t="shared" si="41"/>
        <v>2681.1743636363635</v>
      </c>
      <c r="M542" s="4">
        <f t="shared" si="42"/>
        <v>0.6</v>
      </c>
      <c r="N542" s="1">
        <f t="shared" si="43"/>
        <v>45663</v>
      </c>
      <c r="O542" s="3">
        <f>(Table13[[#This Row],[Units_Sold]]*Table13[[#This Row],[Unit_Price_Cleaned]]*(1-Table13[[#This Row],[Discount Cleaned]]))</f>
        <v>2144.9394909090911</v>
      </c>
      <c r="P542" t="str">
        <f t="shared" si="44"/>
        <v>Profit</v>
      </c>
      <c r="Q542" t="str" cm="1">
        <f t="array" ref="Q542">IF(K542="",INDEX($K$2:$K$2501,MATCH(MAX(COUNTIF($K$2:$K$2501,$K$2:$K$2501)),COUNTIF($K$2:$K$2501,$K$2:$K$2501),0)),K542)</f>
        <v>B2B</v>
      </c>
    </row>
    <row r="543" spans="1:17" x14ac:dyDescent="0.3">
      <c r="A543">
        <v>1541</v>
      </c>
      <c r="B543" t="s">
        <v>593</v>
      </c>
      <c r="C543" t="s">
        <v>29</v>
      </c>
      <c r="D543" t="s">
        <v>141</v>
      </c>
      <c r="E543">
        <v>2</v>
      </c>
      <c r="F543">
        <v>2989.4</v>
      </c>
      <c r="H543" s="3">
        <f t="shared" si="40"/>
        <v>5978.8</v>
      </c>
      <c r="I543" s="1">
        <v>45745</v>
      </c>
      <c r="J543" t="s">
        <v>22</v>
      </c>
      <c r="K543" t="s">
        <v>16</v>
      </c>
      <c r="L543" s="2">
        <f t="shared" si="41"/>
        <v>2989.4</v>
      </c>
      <c r="M543" s="4">
        <f t="shared" si="42"/>
        <v>0.6</v>
      </c>
      <c r="N543" s="1">
        <f t="shared" si="43"/>
        <v>45745</v>
      </c>
      <c r="O543" s="3">
        <f>(Table13[[#This Row],[Units_Sold]]*Table13[[#This Row],[Unit_Price_Cleaned]]*(1-Table13[[#This Row],[Discount Cleaned]]))</f>
        <v>2391.52</v>
      </c>
      <c r="P543" t="str">
        <f t="shared" si="44"/>
        <v>Profit</v>
      </c>
      <c r="Q543" t="str" cm="1">
        <f t="array" ref="Q543">IF(K543="",INDEX($K$2:$K$2501,MATCH(MAX(COUNTIF($K$2:$K$2501,$K$2:$K$2501)),COUNTIF($K$2:$K$2501,$K$2:$K$2501),0)),K543)</f>
        <v>B2C</v>
      </c>
    </row>
    <row r="544" spans="1:17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 s="3">
        <f t="shared" si="40"/>
        <v>2044.17</v>
      </c>
      <c r="J544" t="s">
        <v>46</v>
      </c>
      <c r="L544" s="2">
        <f t="shared" si="41"/>
        <v>2044.17</v>
      </c>
      <c r="M544" s="4">
        <f t="shared" si="42"/>
        <v>0.6</v>
      </c>
      <c r="N544" s="1">
        <f t="shared" si="43"/>
        <v>45782</v>
      </c>
      <c r="O544" s="3">
        <f>(Table13[[#This Row],[Units_Sold]]*Table13[[#This Row],[Unit_Price_Cleaned]]*(1-Table13[[#This Row],[Discount Cleaned]]))</f>
        <v>817.66800000000012</v>
      </c>
      <c r="P544" t="str">
        <f t="shared" si="44"/>
        <v>Profit</v>
      </c>
      <c r="Q544" t="str" cm="1">
        <f t="array" ref="Q544">IF(K544="",INDEX($K$2:$K$2501,MATCH(MAX(COUNTIF($K$2:$K$2501,$K$2:$K$2501)),COUNTIF($K$2:$K$2501,$K$2:$K$2501),0)),K544)</f>
        <v>B2B</v>
      </c>
    </row>
    <row r="545" spans="1:17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 s="3">
        <f t="shared" si="40"/>
        <v>4440.24</v>
      </c>
      <c r="J545" t="s">
        <v>18</v>
      </c>
      <c r="K545" t="s">
        <v>23</v>
      </c>
      <c r="L545" s="2">
        <f t="shared" si="41"/>
        <v>4440.24</v>
      </c>
      <c r="M545" s="4">
        <f t="shared" si="42"/>
        <v>0.32</v>
      </c>
      <c r="N545" s="1">
        <f t="shared" si="43"/>
        <v>45782</v>
      </c>
      <c r="O545" s="3">
        <f>(Table13[[#This Row],[Units_Sold]]*Table13[[#This Row],[Unit_Price_Cleaned]]*(1-Table13[[#This Row],[Discount Cleaned]]))</f>
        <v>3019.3631999999998</v>
      </c>
      <c r="P545" t="str">
        <f t="shared" si="44"/>
        <v>Profit</v>
      </c>
      <c r="Q545" t="str" cm="1">
        <f t="array" ref="Q545">IF(K545="",INDEX($K$2:$K$2501,MATCH(MAX(COUNTIF($K$2:$K$2501,$K$2:$K$2501)),COUNTIF($K$2:$K$2501,$K$2:$K$2501),0)),K545)</f>
        <v>B2B</v>
      </c>
    </row>
    <row r="546" spans="1:17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 s="3">
        <f t="shared" si="40"/>
        <v>16825.591153846151</v>
      </c>
      <c r="J546" t="s">
        <v>40</v>
      </c>
      <c r="L546" s="2">
        <f t="shared" si="41"/>
        <v>2804.2651923076919</v>
      </c>
      <c r="M546" s="4">
        <f t="shared" si="42"/>
        <v>0.6</v>
      </c>
      <c r="N546" s="1">
        <f t="shared" si="43"/>
        <v>45782</v>
      </c>
      <c r="O546" s="3">
        <f>(Table13[[#This Row],[Units_Sold]]*Table13[[#This Row],[Unit_Price_Cleaned]]*(1-Table13[[#This Row],[Discount Cleaned]]))</f>
        <v>6730.2364615384613</v>
      </c>
      <c r="P546" t="str">
        <f t="shared" si="44"/>
        <v>Profit</v>
      </c>
      <c r="Q546" t="str" cm="1">
        <f t="array" ref="Q546">IF(K546="",INDEX($K$2:$K$2501,MATCH(MAX(COUNTIF($K$2:$K$2501,$K$2:$K$2501)),COUNTIF($K$2:$K$2501,$K$2:$K$2501),0)),K546)</f>
        <v>B2B</v>
      </c>
    </row>
    <row r="547" spans="1:17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 s="3">
        <f t="shared" si="40"/>
        <v>3008.3844444444444</v>
      </c>
      <c r="I547" s="1">
        <v>45827</v>
      </c>
      <c r="J547" t="s">
        <v>56</v>
      </c>
      <c r="K547" t="s">
        <v>23</v>
      </c>
      <c r="L547" s="2">
        <f t="shared" si="41"/>
        <v>3008.3844444444444</v>
      </c>
      <c r="M547" s="4">
        <f t="shared" si="42"/>
        <v>0.6</v>
      </c>
      <c r="N547" s="1">
        <f t="shared" si="43"/>
        <v>45827</v>
      </c>
      <c r="O547" s="3">
        <f>(Table13[[#This Row],[Units_Sold]]*Table13[[#This Row],[Unit_Price_Cleaned]]*(1-Table13[[#This Row],[Discount Cleaned]]))</f>
        <v>1203.3537777777779</v>
      </c>
      <c r="P547" t="str">
        <f t="shared" si="44"/>
        <v>Profit</v>
      </c>
      <c r="Q547" t="str" cm="1">
        <f t="array" ref="Q547">IF(K547="",INDEX($K$2:$K$2501,MATCH(MAX(COUNTIF($K$2:$K$2501,$K$2:$K$2501)),COUNTIF($K$2:$K$2501,$K$2:$K$2501),0)),K547)</f>
        <v>B2B</v>
      </c>
    </row>
    <row r="548" spans="1:17" x14ac:dyDescent="0.3">
      <c r="A548">
        <v>1546</v>
      </c>
      <c r="B548" t="s">
        <v>598</v>
      </c>
      <c r="C548" t="s">
        <v>33</v>
      </c>
      <c r="D548" t="s">
        <v>44</v>
      </c>
      <c r="E548">
        <v>2</v>
      </c>
      <c r="H548" s="3">
        <f t="shared" si="40"/>
        <v>5683.5261224489814</v>
      </c>
      <c r="I548" s="1">
        <v>45538</v>
      </c>
      <c r="J548" t="s">
        <v>18</v>
      </c>
      <c r="L548" s="2">
        <f t="shared" si="41"/>
        <v>2841.7630612244907</v>
      </c>
      <c r="M548" s="4">
        <f t="shared" si="42"/>
        <v>0.6</v>
      </c>
      <c r="N548" s="1">
        <f t="shared" si="43"/>
        <v>45538</v>
      </c>
      <c r="O548" s="3">
        <f>(Table13[[#This Row],[Units_Sold]]*Table13[[#This Row],[Unit_Price_Cleaned]]*(1-Table13[[#This Row],[Discount Cleaned]]))</f>
        <v>2273.4104489795927</v>
      </c>
      <c r="P548" t="str">
        <f t="shared" si="44"/>
        <v>Profit</v>
      </c>
      <c r="Q548" t="str" cm="1">
        <f t="array" ref="Q548">IF(K548="",INDEX($K$2:$K$2501,MATCH(MAX(COUNTIF($K$2:$K$2501,$K$2:$K$2501)),COUNTIF($K$2:$K$2501,$K$2:$K$2501),0)),K548)</f>
        <v>B2B</v>
      </c>
    </row>
    <row r="549" spans="1:17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 s="3">
        <f t="shared" si="40"/>
        <v>16825.591153846151</v>
      </c>
      <c r="I549" s="1">
        <v>45792</v>
      </c>
      <c r="J549" t="s">
        <v>46</v>
      </c>
      <c r="K549" t="s">
        <v>23</v>
      </c>
      <c r="L549" s="2">
        <f t="shared" si="41"/>
        <v>2804.2651923076919</v>
      </c>
      <c r="M549" s="4">
        <f t="shared" si="42"/>
        <v>0.95</v>
      </c>
      <c r="N549" s="1">
        <f t="shared" si="43"/>
        <v>45792</v>
      </c>
      <c r="O549" s="3">
        <f>(Table13[[#This Row],[Units_Sold]]*Table13[[#This Row],[Unit_Price_Cleaned]]*(1-Table13[[#This Row],[Discount Cleaned]]))</f>
        <v>841.27955769230834</v>
      </c>
      <c r="P549" t="str">
        <f t="shared" si="44"/>
        <v>Profit</v>
      </c>
      <c r="Q549" t="str" cm="1">
        <f t="array" ref="Q549">IF(K549="",INDEX($K$2:$K$2501,MATCH(MAX(COUNTIF($K$2:$K$2501,$K$2:$K$2501)),COUNTIF($K$2:$K$2501,$K$2:$K$2501),0)),K549)</f>
        <v>B2B</v>
      </c>
    </row>
    <row r="550" spans="1:17" x14ac:dyDescent="0.3">
      <c r="A550">
        <v>1548</v>
      </c>
      <c r="B550" t="s">
        <v>600</v>
      </c>
      <c r="C550" t="s">
        <v>20</v>
      </c>
      <c r="D550" t="s">
        <v>80</v>
      </c>
      <c r="E550">
        <v>2</v>
      </c>
      <c r="F550">
        <v>2273.15</v>
      </c>
      <c r="H550" s="3">
        <f t="shared" si="40"/>
        <v>4546.3</v>
      </c>
      <c r="J550" t="s">
        <v>18</v>
      </c>
      <c r="K550" t="s">
        <v>16</v>
      </c>
      <c r="L550" s="2">
        <f t="shared" si="41"/>
        <v>2273.15</v>
      </c>
      <c r="M550" s="4">
        <f t="shared" si="42"/>
        <v>0.6</v>
      </c>
      <c r="N550" s="1">
        <f t="shared" si="43"/>
        <v>45782</v>
      </c>
      <c r="O550" s="3">
        <f>(Table13[[#This Row],[Units_Sold]]*Table13[[#This Row],[Unit_Price_Cleaned]]*(1-Table13[[#This Row],[Discount Cleaned]]))</f>
        <v>1818.5200000000002</v>
      </c>
      <c r="P550" t="str">
        <f t="shared" si="44"/>
        <v>Profit</v>
      </c>
      <c r="Q550" t="str" cm="1">
        <f t="array" ref="Q550">IF(K550="",INDEX($K$2:$K$2501,MATCH(MAX(COUNTIF($K$2:$K$2501,$K$2:$K$2501)),COUNTIF($K$2:$K$2501,$K$2:$K$2501),0)),K550)</f>
        <v>B2C</v>
      </c>
    </row>
    <row r="551" spans="1:17" x14ac:dyDescent="0.3">
      <c r="A551">
        <v>1549</v>
      </c>
      <c r="B551" t="s">
        <v>601</v>
      </c>
      <c r="C551" t="s">
        <v>29</v>
      </c>
      <c r="D551" t="s">
        <v>42</v>
      </c>
      <c r="E551">
        <v>2</v>
      </c>
      <c r="F551">
        <v>2465.23</v>
      </c>
      <c r="G551">
        <v>0.42</v>
      </c>
      <c r="H551" s="3">
        <f t="shared" si="40"/>
        <v>4930.46</v>
      </c>
      <c r="J551" t="s">
        <v>40</v>
      </c>
      <c r="L551" s="2">
        <f t="shared" si="41"/>
        <v>2465.23</v>
      </c>
      <c r="M551" s="4">
        <f t="shared" si="42"/>
        <v>0.42</v>
      </c>
      <c r="N551" s="1">
        <f t="shared" si="43"/>
        <v>45782</v>
      </c>
      <c r="O551" s="3">
        <f>(Table13[[#This Row],[Units_Sold]]*Table13[[#This Row],[Unit_Price_Cleaned]]*(1-Table13[[#This Row],[Discount Cleaned]]))</f>
        <v>2859.6668000000004</v>
      </c>
      <c r="P551" t="str">
        <f t="shared" si="44"/>
        <v>Profit</v>
      </c>
      <c r="Q551" t="str" cm="1">
        <f t="array" ref="Q551">IF(K551="",INDEX($K$2:$K$2501,MATCH(MAX(COUNTIF($K$2:$K$2501,$K$2:$K$2501)),COUNTIF($K$2:$K$2501,$K$2:$K$2501),0)),K551)</f>
        <v>B2B</v>
      </c>
    </row>
    <row r="552" spans="1:17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 s="3">
        <f t="shared" si="40"/>
        <v>2700.1263043478252</v>
      </c>
      <c r="I552" s="1">
        <v>45566</v>
      </c>
      <c r="J552" t="s">
        <v>46</v>
      </c>
      <c r="K552" t="s">
        <v>16</v>
      </c>
      <c r="L552" s="2">
        <f t="shared" si="41"/>
        <v>2700.1263043478252</v>
      </c>
      <c r="M552" s="4">
        <f t="shared" si="42"/>
        <v>0.1</v>
      </c>
      <c r="N552" s="1">
        <f t="shared" si="43"/>
        <v>45566</v>
      </c>
      <c r="O552" s="3">
        <f>(Table13[[#This Row],[Units_Sold]]*Table13[[#This Row],[Unit_Price_Cleaned]]*(1-Table13[[#This Row],[Discount Cleaned]]))</f>
        <v>2430.1136739130429</v>
      </c>
      <c r="P552" t="str">
        <f t="shared" si="44"/>
        <v>Profit</v>
      </c>
      <c r="Q552" t="str" cm="1">
        <f t="array" ref="Q552">IF(K552="",INDEX($K$2:$K$2501,MATCH(MAX(COUNTIF($K$2:$K$2501,$K$2:$K$2501)),COUNTIF($K$2:$K$2501,$K$2:$K$2501),0)),K552)</f>
        <v>B2C</v>
      </c>
    </row>
    <row r="553" spans="1:17" x14ac:dyDescent="0.3">
      <c r="A553">
        <v>1551</v>
      </c>
      <c r="B553" t="s">
        <v>603</v>
      </c>
      <c r="C553" t="s">
        <v>20</v>
      </c>
      <c r="D553" t="s">
        <v>122</v>
      </c>
      <c r="E553">
        <v>2</v>
      </c>
      <c r="F553">
        <v>2656.77</v>
      </c>
      <c r="G553">
        <v>1.05</v>
      </c>
      <c r="H553" s="3">
        <f t="shared" si="40"/>
        <v>5313.54</v>
      </c>
      <c r="J553" t="s">
        <v>22</v>
      </c>
      <c r="K553" t="s">
        <v>16</v>
      </c>
      <c r="L553" s="2">
        <f t="shared" si="41"/>
        <v>2656.77</v>
      </c>
      <c r="M553" s="4">
        <f t="shared" si="42"/>
        <v>1.05</v>
      </c>
      <c r="N553" s="1">
        <f t="shared" si="43"/>
        <v>45782</v>
      </c>
      <c r="O553" s="3">
        <f>(Table13[[#This Row],[Units_Sold]]*Table13[[#This Row],[Unit_Price_Cleaned]]*(1-Table13[[#This Row],[Discount Cleaned]]))</f>
        <v>-265.67700000000025</v>
      </c>
      <c r="P553" t="str">
        <f t="shared" si="44"/>
        <v>Loss</v>
      </c>
      <c r="Q553" t="str" cm="1">
        <f t="array" ref="Q553">IF(K553="",INDEX($K$2:$K$2501,MATCH(MAX(COUNTIF($K$2:$K$2501,$K$2:$K$2501)),COUNTIF($K$2:$K$2501,$K$2:$K$2501),0)),K553)</f>
        <v>B2C</v>
      </c>
    </row>
    <row r="554" spans="1:17" x14ac:dyDescent="0.3">
      <c r="A554">
        <v>1552</v>
      </c>
      <c r="B554" t="s">
        <v>604</v>
      </c>
      <c r="C554" t="s">
        <v>25</v>
      </c>
      <c r="D554" t="s">
        <v>66</v>
      </c>
      <c r="E554">
        <v>2</v>
      </c>
      <c r="F554">
        <v>883.76</v>
      </c>
      <c r="H554" s="3">
        <f t="shared" si="40"/>
        <v>1767.52</v>
      </c>
      <c r="J554" t="s">
        <v>18</v>
      </c>
      <c r="L554" s="2">
        <f t="shared" si="41"/>
        <v>883.76</v>
      </c>
      <c r="M554" s="4">
        <f t="shared" si="42"/>
        <v>0.6</v>
      </c>
      <c r="N554" s="1">
        <f t="shared" si="43"/>
        <v>45782</v>
      </c>
      <c r="O554" s="3">
        <f>(Table13[[#This Row],[Units_Sold]]*Table13[[#This Row],[Unit_Price_Cleaned]]*(1-Table13[[#This Row],[Discount Cleaned]]))</f>
        <v>707.00800000000004</v>
      </c>
      <c r="P554" t="str">
        <f t="shared" si="44"/>
        <v>Profit</v>
      </c>
      <c r="Q554" t="str" cm="1">
        <f t="array" ref="Q554">IF(K554="",INDEX($K$2:$K$2501,MATCH(MAX(COUNTIF($K$2:$K$2501,$K$2:$K$2501)),COUNTIF($K$2:$K$2501,$K$2:$K$2501),0)),K554)</f>
        <v>B2B</v>
      </c>
    </row>
    <row r="555" spans="1:17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 s="3">
        <f t="shared" si="40"/>
        <v>2617.6390384615388</v>
      </c>
      <c r="J555" t="s">
        <v>56</v>
      </c>
      <c r="K555" t="s">
        <v>16</v>
      </c>
      <c r="L555" s="2">
        <f t="shared" si="41"/>
        <v>2617.6390384615388</v>
      </c>
      <c r="M555" s="4">
        <f t="shared" si="42"/>
        <v>0.6</v>
      </c>
      <c r="N555" s="1">
        <f t="shared" si="43"/>
        <v>45782</v>
      </c>
      <c r="O555" s="3">
        <f>(Table13[[#This Row],[Units_Sold]]*Table13[[#This Row],[Unit_Price_Cleaned]]*(1-Table13[[#This Row],[Discount Cleaned]]))</f>
        <v>1047.0556153846155</v>
      </c>
      <c r="P555" t="str">
        <f t="shared" si="44"/>
        <v>Profit</v>
      </c>
      <c r="Q555" t="str" cm="1">
        <f t="array" ref="Q555">IF(K555="",INDEX($K$2:$K$2501,MATCH(MAX(COUNTIF($K$2:$K$2501,$K$2:$K$2501)),COUNTIF($K$2:$K$2501,$K$2:$K$2501),0)),K555)</f>
        <v>B2C</v>
      </c>
    </row>
    <row r="556" spans="1:17" x14ac:dyDescent="0.3">
      <c r="A556">
        <v>1554</v>
      </c>
      <c r="B556" t="s">
        <v>606</v>
      </c>
      <c r="C556" t="s">
        <v>25</v>
      </c>
      <c r="D556" t="s">
        <v>26</v>
      </c>
      <c r="E556">
        <v>2</v>
      </c>
      <c r="F556">
        <v>2345.71</v>
      </c>
      <c r="H556" s="3">
        <f t="shared" si="40"/>
        <v>4691.42</v>
      </c>
      <c r="I556" s="1">
        <v>45769</v>
      </c>
      <c r="J556" t="s">
        <v>46</v>
      </c>
      <c r="L556" s="2">
        <f t="shared" si="41"/>
        <v>2345.71</v>
      </c>
      <c r="M556" s="4">
        <f t="shared" si="42"/>
        <v>0.6</v>
      </c>
      <c r="N556" s="1">
        <f t="shared" si="43"/>
        <v>45769</v>
      </c>
      <c r="O556" s="3">
        <f>(Table13[[#This Row],[Units_Sold]]*Table13[[#This Row],[Unit_Price_Cleaned]]*(1-Table13[[#This Row],[Discount Cleaned]]))</f>
        <v>1876.5680000000002</v>
      </c>
      <c r="P556" t="str">
        <f t="shared" si="44"/>
        <v>Profit</v>
      </c>
      <c r="Q556" t="str" cm="1">
        <f t="array" ref="Q556">IF(K556="",INDEX($K$2:$K$2501,MATCH(MAX(COUNTIF($K$2:$K$2501,$K$2:$K$2501)),COUNTIF($K$2:$K$2501,$K$2:$K$2501),0)),K556)</f>
        <v>B2B</v>
      </c>
    </row>
    <row r="557" spans="1:17" x14ac:dyDescent="0.3">
      <c r="A557">
        <v>1555</v>
      </c>
      <c r="B557" t="s">
        <v>607</v>
      </c>
      <c r="C557" t="s">
        <v>29</v>
      </c>
      <c r="D557" t="s">
        <v>30</v>
      </c>
      <c r="E557">
        <v>2</v>
      </c>
      <c r="H557" s="3">
        <f t="shared" si="40"/>
        <v>5235.2780769230776</v>
      </c>
      <c r="J557" t="s">
        <v>40</v>
      </c>
      <c r="K557" t="s">
        <v>16</v>
      </c>
      <c r="L557" s="2">
        <f t="shared" si="41"/>
        <v>2617.6390384615388</v>
      </c>
      <c r="M557" s="4">
        <f t="shared" si="42"/>
        <v>0.6</v>
      </c>
      <c r="N557" s="1">
        <f t="shared" si="43"/>
        <v>45782</v>
      </c>
      <c r="O557" s="3">
        <f>(Table13[[#This Row],[Units_Sold]]*Table13[[#This Row],[Unit_Price_Cleaned]]*(1-Table13[[#This Row],[Discount Cleaned]]))</f>
        <v>2094.111230769231</v>
      </c>
      <c r="P557" t="str">
        <f t="shared" si="44"/>
        <v>Profit</v>
      </c>
      <c r="Q557" t="str" cm="1">
        <f t="array" ref="Q557">IF(K557="",INDEX($K$2:$K$2501,MATCH(MAX(COUNTIF($K$2:$K$2501,$K$2:$K$2501)),COUNTIF($K$2:$K$2501,$K$2:$K$2501),0)),K557)</f>
        <v>B2C</v>
      </c>
    </row>
    <row r="558" spans="1:17" x14ac:dyDescent="0.3">
      <c r="A558">
        <v>1556</v>
      </c>
      <c r="B558" t="s">
        <v>608</v>
      </c>
      <c r="C558" t="s">
        <v>13</v>
      </c>
      <c r="D558" t="s">
        <v>36</v>
      </c>
      <c r="E558">
        <v>2</v>
      </c>
      <c r="F558">
        <v>453.92</v>
      </c>
      <c r="H558" s="3">
        <f t="shared" si="40"/>
        <v>907.84</v>
      </c>
      <c r="I558" s="1">
        <v>45628</v>
      </c>
      <c r="J558" t="s">
        <v>40</v>
      </c>
      <c r="K558" t="s">
        <v>23</v>
      </c>
      <c r="L558" s="2">
        <f t="shared" si="41"/>
        <v>453.92</v>
      </c>
      <c r="M558" s="4">
        <f t="shared" si="42"/>
        <v>0.6</v>
      </c>
      <c r="N558" s="1">
        <f t="shared" si="43"/>
        <v>45628</v>
      </c>
      <c r="O558" s="3">
        <f>(Table13[[#This Row],[Units_Sold]]*Table13[[#This Row],[Unit_Price_Cleaned]]*(1-Table13[[#This Row],[Discount Cleaned]]))</f>
        <v>363.13600000000002</v>
      </c>
      <c r="P558" t="str">
        <f t="shared" si="44"/>
        <v>Loss</v>
      </c>
      <c r="Q558" t="str" cm="1">
        <f t="array" ref="Q558">IF(K558="",INDEX($K$2:$K$2501,MATCH(MAX(COUNTIF($K$2:$K$2501,$K$2:$K$2501)),COUNTIF($K$2:$K$2501,$K$2:$K$2501),0)),K558)</f>
        <v>B2B</v>
      </c>
    </row>
    <row r="559" spans="1:17" x14ac:dyDescent="0.3">
      <c r="A559">
        <v>1557</v>
      </c>
      <c r="B559" t="s">
        <v>609</v>
      </c>
      <c r="C559" t="s">
        <v>20</v>
      </c>
      <c r="D559" t="s">
        <v>21</v>
      </c>
      <c r="E559">
        <v>2</v>
      </c>
      <c r="F559">
        <v>4402.3999999999996</v>
      </c>
      <c r="H559" s="3">
        <f t="shared" si="40"/>
        <v>8804.7999999999993</v>
      </c>
      <c r="I559" s="1">
        <v>45669</v>
      </c>
      <c r="J559" t="s">
        <v>56</v>
      </c>
      <c r="K559" t="s">
        <v>16</v>
      </c>
      <c r="L559" s="2">
        <f t="shared" si="41"/>
        <v>4402.3999999999996</v>
      </c>
      <c r="M559" s="4">
        <f t="shared" si="42"/>
        <v>0.6</v>
      </c>
      <c r="N559" s="1">
        <f t="shared" si="43"/>
        <v>45669</v>
      </c>
      <c r="O559" s="3">
        <f>(Table13[[#This Row],[Units_Sold]]*Table13[[#This Row],[Unit_Price_Cleaned]]*(1-Table13[[#This Row],[Discount Cleaned]]))</f>
        <v>3521.92</v>
      </c>
      <c r="P559" t="str">
        <f t="shared" si="44"/>
        <v>Profit</v>
      </c>
      <c r="Q559" t="str" cm="1">
        <f t="array" ref="Q559">IF(K559="",INDEX($K$2:$K$2501,MATCH(MAX(COUNTIF($K$2:$K$2501,$K$2:$K$2501)),COUNTIF($K$2:$K$2501,$K$2:$K$2501),0)),K559)</f>
        <v>B2C</v>
      </c>
    </row>
    <row r="560" spans="1:17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 s="3">
        <f t="shared" si="40"/>
        <v>-5552.4404000000004</v>
      </c>
      <c r="I560" s="1">
        <v>45273</v>
      </c>
      <c r="J560" t="s">
        <v>46</v>
      </c>
      <c r="L560" s="2">
        <f t="shared" si="41"/>
        <v>2776.2202000000002</v>
      </c>
      <c r="M560" s="4">
        <f t="shared" si="42"/>
        <v>0.6</v>
      </c>
      <c r="N560" s="1">
        <f t="shared" si="43"/>
        <v>45273</v>
      </c>
      <c r="O560" s="3">
        <f>(Table13[[#This Row],[Units_Sold]]*Table13[[#This Row],[Unit_Price_Cleaned]]*(1-Table13[[#This Row],[Discount Cleaned]]))</f>
        <v>-2220.9761600000002</v>
      </c>
      <c r="P560" t="str">
        <f t="shared" si="44"/>
        <v>Loss</v>
      </c>
      <c r="Q560" t="str" cm="1">
        <f t="array" ref="Q560">IF(K560="",INDEX($K$2:$K$2501,MATCH(MAX(COUNTIF($K$2:$K$2501,$K$2:$K$2501)),COUNTIF($K$2:$K$2501,$K$2:$K$2501),0)),K560)</f>
        <v>B2B</v>
      </c>
    </row>
    <row r="561" spans="1:17" x14ac:dyDescent="0.3">
      <c r="A561">
        <v>1559</v>
      </c>
      <c r="B561" t="s">
        <v>611</v>
      </c>
      <c r="C561" t="s">
        <v>20</v>
      </c>
      <c r="D561" t="s">
        <v>122</v>
      </c>
      <c r="E561">
        <v>2</v>
      </c>
      <c r="G561">
        <v>0.09</v>
      </c>
      <c r="H561" s="3">
        <f t="shared" si="40"/>
        <v>5400.2526086956505</v>
      </c>
      <c r="J561" t="s">
        <v>22</v>
      </c>
      <c r="K561" t="s">
        <v>16</v>
      </c>
      <c r="L561" s="2">
        <f t="shared" si="41"/>
        <v>2700.1263043478252</v>
      </c>
      <c r="M561" s="4">
        <f t="shared" si="42"/>
        <v>0.09</v>
      </c>
      <c r="N561" s="1">
        <f t="shared" si="43"/>
        <v>45782</v>
      </c>
      <c r="O561" s="3">
        <f>(Table13[[#This Row],[Units_Sold]]*Table13[[#This Row],[Unit_Price_Cleaned]]*(1-Table13[[#This Row],[Discount Cleaned]]))</f>
        <v>4914.229873913042</v>
      </c>
      <c r="P561" t="str">
        <f t="shared" si="44"/>
        <v>Profit</v>
      </c>
      <c r="Q561" t="str" cm="1">
        <f t="array" ref="Q561">IF(K561="",INDEX($K$2:$K$2501,MATCH(MAX(COUNTIF($K$2:$K$2501,$K$2:$K$2501)),COUNTIF($K$2:$K$2501,$K$2:$K$2501),0)),K561)</f>
        <v>B2C</v>
      </c>
    </row>
    <row r="562" spans="1:17" x14ac:dyDescent="0.3">
      <c r="A562">
        <v>1560</v>
      </c>
      <c r="B562" t="s">
        <v>612</v>
      </c>
      <c r="C562" t="s">
        <v>29</v>
      </c>
      <c r="D562" t="s">
        <v>141</v>
      </c>
      <c r="E562">
        <v>2</v>
      </c>
      <c r="G562">
        <v>0.71</v>
      </c>
      <c r="H562" s="3">
        <f t="shared" si="40"/>
        <v>4925.58</v>
      </c>
      <c r="I562" s="1">
        <v>45671</v>
      </c>
      <c r="J562" t="s">
        <v>56</v>
      </c>
      <c r="K562" t="s">
        <v>23</v>
      </c>
      <c r="L562" s="2">
        <f t="shared" si="41"/>
        <v>2462.79</v>
      </c>
      <c r="M562" s="4">
        <f t="shared" si="42"/>
        <v>0.71</v>
      </c>
      <c r="N562" s="1">
        <f t="shared" si="43"/>
        <v>45671</v>
      </c>
      <c r="O562" s="3">
        <f>(Table13[[#This Row],[Units_Sold]]*Table13[[#This Row],[Unit_Price_Cleaned]]*(1-Table13[[#This Row],[Discount Cleaned]]))</f>
        <v>1428.4182000000001</v>
      </c>
      <c r="P562" t="str">
        <f t="shared" si="44"/>
        <v>Profit</v>
      </c>
      <c r="Q562" t="str" cm="1">
        <f t="array" ref="Q562">IF(K562="",INDEX($K$2:$K$2501,MATCH(MAX(COUNTIF($K$2:$K$2501,$K$2:$K$2501)),COUNTIF($K$2:$K$2501,$K$2:$K$2501),0)),K562)</f>
        <v>B2B</v>
      </c>
    </row>
    <row r="563" spans="1:17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 s="3">
        <f t="shared" si="40"/>
        <v>10121.534615384619</v>
      </c>
      <c r="I563" s="1">
        <v>45668</v>
      </c>
      <c r="J563" t="s">
        <v>15</v>
      </c>
      <c r="L563" s="2">
        <f t="shared" si="41"/>
        <v>2530.3836538461546</v>
      </c>
      <c r="M563" s="4">
        <f t="shared" si="42"/>
        <v>0.6</v>
      </c>
      <c r="N563" s="1">
        <f t="shared" si="43"/>
        <v>45668</v>
      </c>
      <c r="O563" s="3">
        <f>(Table13[[#This Row],[Units_Sold]]*Table13[[#This Row],[Unit_Price_Cleaned]]*(1-Table13[[#This Row],[Discount Cleaned]]))</f>
        <v>4048.6138461538476</v>
      </c>
      <c r="P563" t="str">
        <f t="shared" si="44"/>
        <v>Profit</v>
      </c>
      <c r="Q563" t="str" cm="1">
        <f t="array" ref="Q563">IF(K563="",INDEX($K$2:$K$2501,MATCH(MAX(COUNTIF($K$2:$K$2501,$K$2:$K$2501)),COUNTIF($K$2:$K$2501,$K$2:$K$2501),0)),K563)</f>
        <v>B2B</v>
      </c>
    </row>
    <row r="564" spans="1:17" x14ac:dyDescent="0.3">
      <c r="A564">
        <v>1562</v>
      </c>
      <c r="B564" t="s">
        <v>614</v>
      </c>
      <c r="C564" t="s">
        <v>29</v>
      </c>
      <c r="D564" t="s">
        <v>141</v>
      </c>
      <c r="E564">
        <v>2</v>
      </c>
      <c r="H564" s="3">
        <f t="shared" si="40"/>
        <v>4925.58</v>
      </c>
      <c r="J564" t="s">
        <v>56</v>
      </c>
      <c r="K564" t="s">
        <v>23</v>
      </c>
      <c r="L564" s="2">
        <f t="shared" si="41"/>
        <v>2462.79</v>
      </c>
      <c r="M564" s="4">
        <f t="shared" si="42"/>
        <v>0.6</v>
      </c>
      <c r="N564" s="1">
        <f t="shared" si="43"/>
        <v>45782</v>
      </c>
      <c r="O564" s="3">
        <f>(Table13[[#This Row],[Units_Sold]]*Table13[[#This Row],[Unit_Price_Cleaned]]*(1-Table13[[#This Row],[Discount Cleaned]]))</f>
        <v>1970.232</v>
      </c>
      <c r="P564" t="str">
        <f t="shared" si="44"/>
        <v>Profit</v>
      </c>
      <c r="Q564" t="str" cm="1">
        <f t="array" ref="Q564">IF(K564="",INDEX($K$2:$K$2501,MATCH(MAX(COUNTIF($K$2:$K$2501,$K$2:$K$2501)),COUNTIF($K$2:$K$2501,$K$2:$K$2501),0)),K564)</f>
        <v>B2B</v>
      </c>
    </row>
    <row r="565" spans="1:17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 s="3">
        <f t="shared" si="40"/>
        <v>7855.5999999999995</v>
      </c>
      <c r="J565" t="s">
        <v>18</v>
      </c>
      <c r="L565" s="2">
        <f t="shared" si="41"/>
        <v>1571.12</v>
      </c>
      <c r="M565" s="4">
        <f t="shared" si="42"/>
        <v>0.65</v>
      </c>
      <c r="N565" s="1">
        <f t="shared" si="43"/>
        <v>45782</v>
      </c>
      <c r="O565" s="3">
        <f>(Table13[[#This Row],[Units_Sold]]*Table13[[#This Row],[Unit_Price_Cleaned]]*(1-Table13[[#This Row],[Discount Cleaned]]))</f>
        <v>2749.4599999999996</v>
      </c>
      <c r="P565" t="str">
        <f t="shared" si="44"/>
        <v>Profit</v>
      </c>
      <c r="Q565" t="str" cm="1">
        <f t="array" ref="Q565">IF(K565="",INDEX($K$2:$K$2501,MATCH(MAX(COUNTIF($K$2:$K$2501,$K$2:$K$2501)),COUNTIF($K$2:$K$2501,$K$2:$K$2501),0)),K565)</f>
        <v>B2B</v>
      </c>
    </row>
    <row r="566" spans="1:17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 s="3">
        <f t="shared" si="40"/>
        <v>5765.0093103448271</v>
      </c>
      <c r="J566" t="s">
        <v>46</v>
      </c>
      <c r="K566" t="s">
        <v>16</v>
      </c>
      <c r="L566" s="2">
        <f t="shared" si="41"/>
        <v>2882.5046551724135</v>
      </c>
      <c r="M566" s="4">
        <f t="shared" si="42"/>
        <v>0.67</v>
      </c>
      <c r="N566" s="1">
        <f t="shared" si="43"/>
        <v>45782</v>
      </c>
      <c r="O566" s="3">
        <f>(Table13[[#This Row],[Units_Sold]]*Table13[[#This Row],[Unit_Price_Cleaned]]*(1-Table13[[#This Row],[Discount Cleaned]]))</f>
        <v>1902.4530724137928</v>
      </c>
      <c r="P566" t="str">
        <f t="shared" si="44"/>
        <v>Profit</v>
      </c>
      <c r="Q566" t="str" cm="1">
        <f t="array" ref="Q566">IF(K566="",INDEX($K$2:$K$2501,MATCH(MAX(COUNTIF($K$2:$K$2501,$K$2:$K$2501)),COUNTIF($K$2:$K$2501,$K$2:$K$2501),0)),K566)</f>
        <v>B2C</v>
      </c>
    </row>
    <row r="567" spans="1:17" x14ac:dyDescent="0.3">
      <c r="A567">
        <v>1565</v>
      </c>
      <c r="B567" t="s">
        <v>617</v>
      </c>
      <c r="C567" t="s">
        <v>29</v>
      </c>
      <c r="D567" t="s">
        <v>141</v>
      </c>
      <c r="E567">
        <v>2</v>
      </c>
      <c r="F567">
        <v>1867.24</v>
      </c>
      <c r="G567">
        <v>0.19</v>
      </c>
      <c r="H567" s="3">
        <f t="shared" si="40"/>
        <v>3734.48</v>
      </c>
      <c r="I567" s="1">
        <v>45781</v>
      </c>
      <c r="J567" t="s">
        <v>46</v>
      </c>
      <c r="K567" t="s">
        <v>23</v>
      </c>
      <c r="L567" s="2">
        <f t="shared" si="41"/>
        <v>1867.24</v>
      </c>
      <c r="M567" s="4">
        <f t="shared" si="42"/>
        <v>0.19</v>
      </c>
      <c r="N567" s="1">
        <f t="shared" si="43"/>
        <v>45781</v>
      </c>
      <c r="O567" s="3">
        <f>(Table13[[#This Row],[Units_Sold]]*Table13[[#This Row],[Unit_Price_Cleaned]]*(1-Table13[[#This Row],[Discount Cleaned]]))</f>
        <v>3024.9288000000001</v>
      </c>
      <c r="P567" t="str">
        <f t="shared" si="44"/>
        <v>Profit</v>
      </c>
      <c r="Q567" t="str" cm="1">
        <f t="array" ref="Q567">IF(K567="",INDEX($K$2:$K$2501,MATCH(MAX(COUNTIF($K$2:$K$2501,$K$2:$K$2501)),COUNTIF($K$2:$K$2501,$K$2:$K$2501),0)),K567)</f>
        <v>B2B</v>
      </c>
    </row>
    <row r="568" spans="1:17" x14ac:dyDescent="0.3">
      <c r="A568">
        <v>1566</v>
      </c>
      <c r="B568" t="s">
        <v>618</v>
      </c>
      <c r="C568" t="s">
        <v>20</v>
      </c>
      <c r="D568" t="s">
        <v>21</v>
      </c>
      <c r="E568">
        <v>2</v>
      </c>
      <c r="F568">
        <v>1696.72</v>
      </c>
      <c r="H568" s="3">
        <f t="shared" si="40"/>
        <v>3393.44</v>
      </c>
      <c r="I568" s="1">
        <v>45516</v>
      </c>
      <c r="J568" t="s">
        <v>18</v>
      </c>
      <c r="K568" t="s">
        <v>23</v>
      </c>
      <c r="L568" s="2">
        <f t="shared" si="41"/>
        <v>1696.72</v>
      </c>
      <c r="M568" s="4">
        <f t="shared" si="42"/>
        <v>0.6</v>
      </c>
      <c r="N568" s="1">
        <f t="shared" si="43"/>
        <v>45516</v>
      </c>
      <c r="O568" s="3">
        <f>(Table13[[#This Row],[Units_Sold]]*Table13[[#This Row],[Unit_Price_Cleaned]]*(1-Table13[[#This Row],[Discount Cleaned]]))</f>
        <v>1357.3760000000002</v>
      </c>
      <c r="P568" t="str">
        <f t="shared" si="44"/>
        <v>Profit</v>
      </c>
      <c r="Q568" t="str" cm="1">
        <f t="array" ref="Q568">IF(K568="",INDEX($K$2:$K$2501,MATCH(MAX(COUNTIF($K$2:$K$2501,$K$2:$K$2501)),COUNTIF($K$2:$K$2501,$K$2:$K$2501),0)),K568)</f>
        <v>B2B</v>
      </c>
    </row>
    <row r="569" spans="1:17" x14ac:dyDescent="0.3">
      <c r="A569">
        <v>1567</v>
      </c>
      <c r="B569" t="s">
        <v>619</v>
      </c>
      <c r="C569" t="s">
        <v>29</v>
      </c>
      <c r="D569" t="s">
        <v>30</v>
      </c>
      <c r="E569">
        <v>2</v>
      </c>
      <c r="H569" s="3">
        <f t="shared" si="40"/>
        <v>5235.2780769230776</v>
      </c>
      <c r="J569" t="s">
        <v>56</v>
      </c>
      <c r="L569" s="2">
        <f t="shared" si="41"/>
        <v>2617.6390384615388</v>
      </c>
      <c r="M569" s="4">
        <f t="shared" si="42"/>
        <v>0.6</v>
      </c>
      <c r="N569" s="1">
        <f t="shared" si="43"/>
        <v>45782</v>
      </c>
      <c r="O569" s="3">
        <f>(Table13[[#This Row],[Units_Sold]]*Table13[[#This Row],[Unit_Price_Cleaned]]*(1-Table13[[#This Row],[Discount Cleaned]]))</f>
        <v>2094.111230769231</v>
      </c>
      <c r="P569" t="str">
        <f t="shared" si="44"/>
        <v>Profit</v>
      </c>
      <c r="Q569" t="str" cm="1">
        <f t="array" ref="Q569">IF(K569="",INDEX($K$2:$K$2501,MATCH(MAX(COUNTIF($K$2:$K$2501,$K$2:$K$2501)),COUNTIF($K$2:$K$2501,$K$2:$K$2501),0)),K569)</f>
        <v>B2B</v>
      </c>
    </row>
    <row r="570" spans="1:17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 s="3">
        <f t="shared" si="40"/>
        <v>15457.83413793103</v>
      </c>
      <c r="J570" t="s">
        <v>15</v>
      </c>
      <c r="K570" t="s">
        <v>16</v>
      </c>
      <c r="L570" s="2">
        <f t="shared" si="41"/>
        <v>2576.3056896551716</v>
      </c>
      <c r="M570" s="4">
        <f t="shared" si="42"/>
        <v>0.6</v>
      </c>
      <c r="N570" s="1">
        <f t="shared" si="43"/>
        <v>45782</v>
      </c>
      <c r="O570" s="3">
        <f>(Table13[[#This Row],[Units_Sold]]*Table13[[#This Row],[Unit_Price_Cleaned]]*(1-Table13[[#This Row],[Discount Cleaned]]))</f>
        <v>6183.1336551724125</v>
      </c>
      <c r="P570" t="str">
        <f t="shared" si="44"/>
        <v>Profit</v>
      </c>
      <c r="Q570" t="str" cm="1">
        <f t="array" ref="Q570">IF(K570="",INDEX($K$2:$K$2501,MATCH(MAX(COUNTIF($K$2:$K$2501,$K$2:$K$2501)),COUNTIF($K$2:$K$2501,$K$2:$K$2501),0)),K570)</f>
        <v>B2C</v>
      </c>
    </row>
    <row r="571" spans="1:17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 s="3">
        <f t="shared" si="40"/>
        <v>2804.2651923076919</v>
      </c>
      <c r="I571" s="1">
        <v>45773</v>
      </c>
      <c r="J571" t="s">
        <v>18</v>
      </c>
      <c r="L571" s="2">
        <f t="shared" si="41"/>
        <v>2804.2651923076919</v>
      </c>
      <c r="M571" s="4">
        <f t="shared" si="42"/>
        <v>0.02</v>
      </c>
      <c r="N571" s="1">
        <f t="shared" si="43"/>
        <v>45773</v>
      </c>
      <c r="O571" s="3">
        <f>(Table13[[#This Row],[Units_Sold]]*Table13[[#This Row],[Unit_Price_Cleaned]]*(1-Table13[[#This Row],[Discount Cleaned]]))</f>
        <v>2748.1798884615382</v>
      </c>
      <c r="P571" t="str">
        <f t="shared" si="44"/>
        <v>Profit</v>
      </c>
      <c r="Q571" t="str" cm="1">
        <f t="array" ref="Q571">IF(K571="",INDEX($K$2:$K$2501,MATCH(MAX(COUNTIF($K$2:$K$2501,$K$2:$K$2501)),COUNTIF($K$2:$K$2501,$K$2:$K$2501),0)),K571)</f>
        <v>B2B</v>
      </c>
    </row>
    <row r="572" spans="1:17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 s="3">
        <f t="shared" si="40"/>
        <v>4774.7700000000004</v>
      </c>
      <c r="I572" s="1">
        <v>45755</v>
      </c>
      <c r="J572" t="s">
        <v>22</v>
      </c>
      <c r="K572" t="s">
        <v>16</v>
      </c>
      <c r="L572" s="2">
        <f t="shared" si="41"/>
        <v>4774.7700000000004</v>
      </c>
      <c r="M572" s="4">
        <f t="shared" si="42"/>
        <v>0.96</v>
      </c>
      <c r="N572" s="1">
        <f t="shared" si="43"/>
        <v>45755</v>
      </c>
      <c r="O572" s="3">
        <f>(Table13[[#This Row],[Units_Sold]]*Table13[[#This Row],[Unit_Price_Cleaned]]*(1-Table13[[#This Row],[Discount Cleaned]]))</f>
        <v>190.99080000000018</v>
      </c>
      <c r="P572" t="str">
        <f t="shared" si="44"/>
        <v>Loss</v>
      </c>
      <c r="Q572" t="str" cm="1">
        <f t="array" ref="Q572">IF(K572="",INDEX($K$2:$K$2501,MATCH(MAX(COUNTIF($K$2:$K$2501,$K$2:$K$2501)),COUNTIF($K$2:$K$2501,$K$2:$K$2501),0)),K572)</f>
        <v>B2C</v>
      </c>
    </row>
    <row r="573" spans="1:17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 s="3">
        <f t="shared" si="40"/>
        <v>3924.18</v>
      </c>
      <c r="J573" t="s">
        <v>46</v>
      </c>
      <c r="K573" t="s">
        <v>16</v>
      </c>
      <c r="L573" s="2">
        <f t="shared" si="41"/>
        <v>1308.06</v>
      </c>
      <c r="M573" s="4">
        <f t="shared" si="42"/>
        <v>0.6</v>
      </c>
      <c r="N573" s="1">
        <f t="shared" si="43"/>
        <v>45782</v>
      </c>
      <c r="O573" s="3">
        <f>(Table13[[#This Row],[Units_Sold]]*Table13[[#This Row],[Unit_Price_Cleaned]]*(1-Table13[[#This Row],[Discount Cleaned]]))</f>
        <v>1569.672</v>
      </c>
      <c r="P573" t="str">
        <f t="shared" si="44"/>
        <v>Profit</v>
      </c>
      <c r="Q573" t="str" cm="1">
        <f t="array" ref="Q573">IF(K573="",INDEX($K$2:$K$2501,MATCH(MAX(COUNTIF($K$2:$K$2501,$K$2:$K$2501)),COUNTIF($K$2:$K$2501,$K$2:$K$2501),0)),K573)</f>
        <v>B2C</v>
      </c>
    </row>
    <row r="574" spans="1:17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 s="3">
        <f t="shared" si="40"/>
        <v>10800.505217391301</v>
      </c>
      <c r="I574" s="1">
        <v>45707</v>
      </c>
      <c r="J574" t="s">
        <v>15</v>
      </c>
      <c r="L574" s="2">
        <f t="shared" si="41"/>
        <v>2700.1263043478252</v>
      </c>
      <c r="M574" s="4">
        <f t="shared" si="42"/>
        <v>0.82</v>
      </c>
      <c r="N574" s="1">
        <f t="shared" si="43"/>
        <v>45707</v>
      </c>
      <c r="O574" s="3">
        <f>(Table13[[#This Row],[Units_Sold]]*Table13[[#This Row],[Unit_Price_Cleaned]]*(1-Table13[[#This Row],[Discount Cleaned]]))</f>
        <v>1944.0909391304347</v>
      </c>
      <c r="P574" t="str">
        <f t="shared" si="44"/>
        <v>Profit</v>
      </c>
      <c r="Q574" t="str" cm="1">
        <f t="array" ref="Q574">IF(K574="",INDEX($K$2:$K$2501,MATCH(MAX(COUNTIF($K$2:$K$2501,$K$2:$K$2501)),COUNTIF($K$2:$K$2501,$K$2:$K$2501),0)),K574)</f>
        <v>B2B</v>
      </c>
    </row>
    <row r="575" spans="1:17" x14ac:dyDescent="0.3">
      <c r="A575">
        <v>1573</v>
      </c>
      <c r="B575" t="s">
        <v>625</v>
      </c>
      <c r="C575" t="s">
        <v>13</v>
      </c>
      <c r="D575" t="s">
        <v>102</v>
      </c>
      <c r="E575">
        <v>2</v>
      </c>
      <c r="F575">
        <v>3972.78</v>
      </c>
      <c r="H575" s="3">
        <f t="shared" si="40"/>
        <v>7945.56</v>
      </c>
      <c r="I575" s="1">
        <v>45627</v>
      </c>
      <c r="J575" t="s">
        <v>56</v>
      </c>
      <c r="L575" s="2">
        <f t="shared" si="41"/>
        <v>3972.78</v>
      </c>
      <c r="M575" s="4">
        <f t="shared" si="42"/>
        <v>0.6</v>
      </c>
      <c r="N575" s="1">
        <f t="shared" si="43"/>
        <v>45627</v>
      </c>
      <c r="O575" s="3">
        <f>(Table13[[#This Row],[Units_Sold]]*Table13[[#This Row],[Unit_Price_Cleaned]]*(1-Table13[[#This Row],[Discount Cleaned]]))</f>
        <v>3178.2240000000002</v>
      </c>
      <c r="P575" t="str">
        <f t="shared" si="44"/>
        <v>Profit</v>
      </c>
      <c r="Q575" t="str" cm="1">
        <f t="array" ref="Q575">IF(K575="",INDEX($K$2:$K$2501,MATCH(MAX(COUNTIF($K$2:$K$2501,$K$2:$K$2501)),COUNTIF($K$2:$K$2501,$K$2:$K$2501),0)),K575)</f>
        <v>B2B</v>
      </c>
    </row>
    <row r="576" spans="1:17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 s="3">
        <f t="shared" si="40"/>
        <v>-2617.6390384615388</v>
      </c>
      <c r="I576" s="1">
        <v>45729</v>
      </c>
      <c r="J576" t="s">
        <v>18</v>
      </c>
      <c r="K576" t="s">
        <v>23</v>
      </c>
      <c r="L576" s="2">
        <f t="shared" si="41"/>
        <v>2617.6390384615388</v>
      </c>
      <c r="M576" s="4">
        <f t="shared" si="42"/>
        <v>0.6</v>
      </c>
      <c r="N576" s="1">
        <f t="shared" si="43"/>
        <v>45729</v>
      </c>
      <c r="O576" s="3">
        <f>(Table13[[#This Row],[Units_Sold]]*Table13[[#This Row],[Unit_Price_Cleaned]]*(1-Table13[[#This Row],[Discount Cleaned]]))</f>
        <v>-1047.0556153846155</v>
      </c>
      <c r="P576" t="str">
        <f t="shared" si="44"/>
        <v>Loss</v>
      </c>
      <c r="Q576" t="str" cm="1">
        <f t="array" ref="Q576">IF(K576="",INDEX($K$2:$K$2501,MATCH(MAX(COUNTIF($K$2:$K$2501,$K$2:$K$2501)),COUNTIF($K$2:$K$2501,$K$2:$K$2501),0)),K576)</f>
        <v>B2B</v>
      </c>
    </row>
    <row r="577" spans="1:17" x14ac:dyDescent="0.3">
      <c r="A577">
        <v>1575</v>
      </c>
      <c r="B577" t="s">
        <v>627</v>
      </c>
      <c r="C577" t="s">
        <v>33</v>
      </c>
      <c r="D577" t="s">
        <v>82</v>
      </c>
      <c r="E577">
        <v>2</v>
      </c>
      <c r="F577">
        <v>615.07000000000005</v>
      </c>
      <c r="H577" s="3">
        <f t="shared" si="40"/>
        <v>1230.1400000000001</v>
      </c>
      <c r="I577" s="1">
        <v>45566</v>
      </c>
      <c r="J577" t="s">
        <v>18</v>
      </c>
      <c r="L577" s="2">
        <f t="shared" si="41"/>
        <v>615.07000000000005</v>
      </c>
      <c r="M577" s="4">
        <f t="shared" si="42"/>
        <v>0.6</v>
      </c>
      <c r="N577" s="1">
        <f t="shared" si="43"/>
        <v>45566</v>
      </c>
      <c r="O577" s="3">
        <f>(Table13[[#This Row],[Units_Sold]]*Table13[[#This Row],[Unit_Price_Cleaned]]*(1-Table13[[#This Row],[Discount Cleaned]]))</f>
        <v>492.05600000000004</v>
      </c>
      <c r="P577" t="str">
        <f t="shared" si="44"/>
        <v>Loss</v>
      </c>
      <c r="Q577" t="str" cm="1">
        <f t="array" ref="Q577">IF(K577="",INDEX($K$2:$K$2501,MATCH(MAX(COUNTIF($K$2:$K$2501,$K$2:$K$2501)),COUNTIF($K$2:$K$2501,$K$2:$K$2501),0)),K577)</f>
        <v>B2B</v>
      </c>
    </row>
    <row r="578" spans="1:17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 s="3">
        <f t="shared" ref="H578:H641" si="45">(L578*E578)</f>
        <v>1882.14</v>
      </c>
      <c r="I578" s="1">
        <v>45662</v>
      </c>
      <c r="J578" t="s">
        <v>18</v>
      </c>
      <c r="K578" t="s">
        <v>23</v>
      </c>
      <c r="L578" s="2">
        <f t="shared" ref="L578:L641" si="46">IF(F578="",AVERAGEIF($D$2:$D$2501,D578,$F$2:$F$2501),F578)</f>
        <v>1882.14</v>
      </c>
      <c r="M578" s="4">
        <f t="shared" ref="M578:M641" si="47">IF(G578="",MEDIAN($G$2,$G$2501),G578)</f>
        <v>0.6</v>
      </c>
      <c r="N578" s="1">
        <f t="shared" ref="N578:N641" si="48">IF(I578="",MODE($I$32:$I$2501),I578)</f>
        <v>45662</v>
      </c>
      <c r="O578" s="3">
        <f>(Table13[[#This Row],[Units_Sold]]*Table13[[#This Row],[Unit_Price_Cleaned]]*(1-Table13[[#This Row],[Discount Cleaned]]))</f>
        <v>752.85600000000011</v>
      </c>
      <c r="P578" t="str">
        <f t="shared" ref="P578:P641" si="49">IF(O578&gt;500,"Profit","Loss")</f>
        <v>Profit</v>
      </c>
      <c r="Q578" t="str" cm="1">
        <f t="array" ref="Q578">IF(K578="",INDEX($K$2:$K$2501,MATCH(MAX(COUNTIF($K$2:$K$2501,$K$2:$K$2501)),COUNTIF($K$2:$K$2501,$K$2:$K$2501),0)),K578)</f>
        <v>B2B</v>
      </c>
    </row>
    <row r="579" spans="1:17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 s="3">
        <f t="shared" si="45"/>
        <v>6269.38</v>
      </c>
      <c r="J579" t="s">
        <v>15</v>
      </c>
      <c r="L579" s="2">
        <f t="shared" si="46"/>
        <v>3134.69</v>
      </c>
      <c r="M579" s="4">
        <f t="shared" si="47"/>
        <v>7.0000000000000007E-2</v>
      </c>
      <c r="N579" s="1">
        <f t="shared" si="48"/>
        <v>45782</v>
      </c>
      <c r="O579" s="3">
        <f>(Table13[[#This Row],[Units_Sold]]*Table13[[#This Row],[Unit_Price_Cleaned]]*(1-Table13[[#This Row],[Discount Cleaned]]))</f>
        <v>5830.5234</v>
      </c>
      <c r="P579" t="str">
        <f t="shared" si="49"/>
        <v>Profit</v>
      </c>
      <c r="Q579" t="str" cm="1">
        <f t="array" ref="Q579">IF(K579="",INDEX($K$2:$K$2501,MATCH(MAX(COUNTIF($K$2:$K$2501,$K$2:$K$2501)),COUNTIF($K$2:$K$2501,$K$2:$K$2501),0)),K579)</f>
        <v>B2B</v>
      </c>
    </row>
    <row r="580" spans="1:17" x14ac:dyDescent="0.3">
      <c r="A580">
        <v>1578</v>
      </c>
      <c r="B580" t="s">
        <v>630</v>
      </c>
      <c r="C580" t="s">
        <v>38</v>
      </c>
      <c r="D580" t="s">
        <v>59</v>
      </c>
      <c r="E580">
        <v>2</v>
      </c>
      <c r="H580" s="3">
        <f t="shared" si="45"/>
        <v>5608.5303846153838</v>
      </c>
      <c r="I580" s="1">
        <v>45499</v>
      </c>
      <c r="J580" t="s">
        <v>40</v>
      </c>
      <c r="K580" t="s">
        <v>16</v>
      </c>
      <c r="L580" s="2">
        <f t="shared" si="46"/>
        <v>2804.2651923076919</v>
      </c>
      <c r="M580" s="4">
        <f t="shared" si="47"/>
        <v>0.6</v>
      </c>
      <c r="N580" s="1">
        <f t="shared" si="48"/>
        <v>45499</v>
      </c>
      <c r="O580" s="3">
        <f>(Table13[[#This Row],[Units_Sold]]*Table13[[#This Row],[Unit_Price_Cleaned]]*(1-Table13[[#This Row],[Discount Cleaned]]))</f>
        <v>2243.4121538461536</v>
      </c>
      <c r="P580" t="str">
        <f t="shared" si="49"/>
        <v>Profit</v>
      </c>
      <c r="Q580" t="str" cm="1">
        <f t="array" ref="Q580">IF(K580="",INDEX($K$2:$K$2501,MATCH(MAX(COUNTIF($K$2:$K$2501,$K$2:$K$2501)),COUNTIF($K$2:$K$2501,$K$2:$K$2501),0)),K580)</f>
        <v>B2C</v>
      </c>
    </row>
    <row r="581" spans="1:17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 s="3">
        <f t="shared" si="45"/>
        <v>7504.5929999999998</v>
      </c>
      <c r="I581" s="1">
        <v>45706</v>
      </c>
      <c r="J581" t="s">
        <v>56</v>
      </c>
      <c r="K581" t="s">
        <v>23</v>
      </c>
      <c r="L581" s="2">
        <f t="shared" si="46"/>
        <v>2501.5309999999999</v>
      </c>
      <c r="M581" s="4">
        <f t="shared" si="47"/>
        <v>0.6</v>
      </c>
      <c r="N581" s="1">
        <f t="shared" si="48"/>
        <v>45706</v>
      </c>
      <c r="O581" s="3">
        <f>(Table13[[#This Row],[Units_Sold]]*Table13[[#This Row],[Unit_Price_Cleaned]]*(1-Table13[[#This Row],[Discount Cleaned]]))</f>
        <v>3001.8371999999999</v>
      </c>
      <c r="P581" t="str">
        <f t="shared" si="49"/>
        <v>Profit</v>
      </c>
      <c r="Q581" t="str" cm="1">
        <f t="array" ref="Q581">IF(K581="",INDEX($K$2:$K$2501,MATCH(MAX(COUNTIF($K$2:$K$2501,$K$2:$K$2501)),COUNTIF($K$2:$K$2501,$K$2:$K$2501),0)),K581)</f>
        <v>B2B</v>
      </c>
    </row>
    <row r="582" spans="1:17" x14ac:dyDescent="0.3">
      <c r="A582">
        <v>1580</v>
      </c>
      <c r="B582" t="s">
        <v>632</v>
      </c>
      <c r="C582" t="s">
        <v>38</v>
      </c>
      <c r="D582" t="s">
        <v>63</v>
      </c>
      <c r="E582">
        <v>2</v>
      </c>
      <c r="H582" s="3">
        <f t="shared" si="45"/>
        <v>5690.4839344262318</v>
      </c>
      <c r="I582" s="1">
        <v>45830</v>
      </c>
      <c r="J582" t="s">
        <v>56</v>
      </c>
      <c r="K582" t="s">
        <v>23</v>
      </c>
      <c r="L582" s="2">
        <f t="shared" si="46"/>
        <v>2845.2419672131159</v>
      </c>
      <c r="M582" s="4">
        <f t="shared" si="47"/>
        <v>0.6</v>
      </c>
      <c r="N582" s="1">
        <f t="shared" si="48"/>
        <v>45830</v>
      </c>
      <c r="O582" s="3">
        <f>(Table13[[#This Row],[Units_Sold]]*Table13[[#This Row],[Unit_Price_Cleaned]]*(1-Table13[[#This Row],[Discount Cleaned]]))</f>
        <v>2276.193573770493</v>
      </c>
      <c r="P582" t="str">
        <f t="shared" si="49"/>
        <v>Profit</v>
      </c>
      <c r="Q582" t="str" cm="1">
        <f t="array" ref="Q582">IF(K582="",INDEX($K$2:$K$2501,MATCH(MAX(COUNTIF($K$2:$K$2501,$K$2:$K$2501)),COUNTIF($K$2:$K$2501,$K$2:$K$2501),0)),K582)</f>
        <v>B2B</v>
      </c>
    </row>
    <row r="583" spans="1:17" x14ac:dyDescent="0.3">
      <c r="A583">
        <v>1581</v>
      </c>
      <c r="B583" t="s">
        <v>633</v>
      </c>
      <c r="C583" t="s">
        <v>13</v>
      </c>
      <c r="D583" t="s">
        <v>49</v>
      </c>
      <c r="E583">
        <v>2</v>
      </c>
      <c r="H583" s="3">
        <f t="shared" si="45"/>
        <v>5570.1755932203387</v>
      </c>
      <c r="I583" s="1">
        <v>45834</v>
      </c>
      <c r="J583" t="s">
        <v>15</v>
      </c>
      <c r="L583" s="2">
        <f t="shared" si="46"/>
        <v>2785.0877966101693</v>
      </c>
      <c r="M583" s="4">
        <f t="shared" si="47"/>
        <v>0.6</v>
      </c>
      <c r="N583" s="1">
        <f t="shared" si="48"/>
        <v>45834</v>
      </c>
      <c r="O583" s="3">
        <f>(Table13[[#This Row],[Units_Sold]]*Table13[[#This Row],[Unit_Price_Cleaned]]*(1-Table13[[#This Row],[Discount Cleaned]]))</f>
        <v>2228.0702372881356</v>
      </c>
      <c r="P583" t="str">
        <f t="shared" si="49"/>
        <v>Profit</v>
      </c>
      <c r="Q583" t="str" cm="1">
        <f t="array" ref="Q583">IF(K583="",INDEX($K$2:$K$2501,MATCH(MAX(COUNTIF($K$2:$K$2501,$K$2:$K$2501)),COUNTIF($K$2:$K$2501,$K$2:$K$2501),0)),K583)</f>
        <v>B2B</v>
      </c>
    </row>
    <row r="584" spans="1:17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 s="3">
        <f t="shared" si="45"/>
        <v>4809.8999999999996</v>
      </c>
      <c r="I584" s="1">
        <v>45563</v>
      </c>
      <c r="J584" t="s">
        <v>22</v>
      </c>
      <c r="L584" s="2">
        <f t="shared" si="46"/>
        <v>4809.8999999999996</v>
      </c>
      <c r="M584" s="4">
        <f t="shared" si="47"/>
        <v>0.92</v>
      </c>
      <c r="N584" s="1">
        <f t="shared" si="48"/>
        <v>45563</v>
      </c>
      <c r="O584" s="3">
        <f>(Table13[[#This Row],[Units_Sold]]*Table13[[#This Row],[Unit_Price_Cleaned]]*(1-Table13[[#This Row],[Discount Cleaned]]))</f>
        <v>384.7919999999998</v>
      </c>
      <c r="P584" t="str">
        <f t="shared" si="49"/>
        <v>Loss</v>
      </c>
      <c r="Q584" t="str" cm="1">
        <f t="array" ref="Q584">IF(K584="",INDEX($K$2:$K$2501,MATCH(MAX(COUNTIF($K$2:$K$2501,$K$2:$K$2501)),COUNTIF($K$2:$K$2501,$K$2:$K$2501),0)),K584)</f>
        <v>B2B</v>
      </c>
    </row>
    <row r="585" spans="1:17" x14ac:dyDescent="0.3">
      <c r="A585">
        <v>1583</v>
      </c>
      <c r="B585" t="s">
        <v>635</v>
      </c>
      <c r="C585" t="s">
        <v>38</v>
      </c>
      <c r="D585" t="s">
        <v>39</v>
      </c>
      <c r="E585">
        <v>2</v>
      </c>
      <c r="H585" s="3">
        <f t="shared" si="45"/>
        <v>6016.7688888888888</v>
      </c>
      <c r="I585" s="1">
        <v>45380</v>
      </c>
      <c r="J585" t="s">
        <v>46</v>
      </c>
      <c r="K585" t="s">
        <v>23</v>
      </c>
      <c r="L585" s="2">
        <f t="shared" si="46"/>
        <v>3008.3844444444444</v>
      </c>
      <c r="M585" s="4">
        <f t="shared" si="47"/>
        <v>0.6</v>
      </c>
      <c r="N585" s="1">
        <f t="shared" si="48"/>
        <v>45380</v>
      </c>
      <c r="O585" s="3">
        <f>(Table13[[#This Row],[Units_Sold]]*Table13[[#This Row],[Unit_Price_Cleaned]]*(1-Table13[[#This Row],[Discount Cleaned]]))</f>
        <v>2406.7075555555557</v>
      </c>
      <c r="P585" t="str">
        <f t="shared" si="49"/>
        <v>Profit</v>
      </c>
      <c r="Q585" t="str" cm="1">
        <f t="array" ref="Q585">IF(K585="",INDEX($K$2:$K$2501,MATCH(MAX(COUNTIF($K$2:$K$2501,$K$2:$K$2501)),COUNTIF($K$2:$K$2501,$K$2:$K$2501),0)),K585)</f>
        <v>B2B</v>
      </c>
    </row>
    <row r="586" spans="1:17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 s="3">
        <f t="shared" si="45"/>
        <v>14343.884090909089</v>
      </c>
      <c r="I586" s="1">
        <v>45531</v>
      </c>
      <c r="J586" t="s">
        <v>18</v>
      </c>
      <c r="K586" t="s">
        <v>23</v>
      </c>
      <c r="L586" s="2">
        <f t="shared" si="46"/>
        <v>2868.7768181818178</v>
      </c>
      <c r="M586" s="4">
        <f t="shared" si="47"/>
        <v>0.15</v>
      </c>
      <c r="N586" s="1">
        <f t="shared" si="48"/>
        <v>45531</v>
      </c>
      <c r="O586" s="3">
        <f>(Table13[[#This Row],[Units_Sold]]*Table13[[#This Row],[Unit_Price_Cleaned]]*(1-Table13[[#This Row],[Discount Cleaned]]))</f>
        <v>12192.301477272726</v>
      </c>
      <c r="P586" t="str">
        <f t="shared" si="49"/>
        <v>Profit</v>
      </c>
      <c r="Q586" t="str" cm="1">
        <f t="array" ref="Q586">IF(K586="",INDEX($K$2:$K$2501,MATCH(MAX(COUNTIF($K$2:$K$2501,$K$2:$K$2501)),COUNTIF($K$2:$K$2501,$K$2:$K$2501),0)),K586)</f>
        <v>B2B</v>
      </c>
    </row>
    <row r="587" spans="1:17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 s="3">
        <f t="shared" si="45"/>
        <v>-5477.44</v>
      </c>
      <c r="I587" s="1">
        <v>45607</v>
      </c>
      <c r="J587" t="s">
        <v>15</v>
      </c>
      <c r="L587" s="2">
        <f t="shared" si="46"/>
        <v>2738.72</v>
      </c>
      <c r="M587" s="4">
        <f t="shared" si="47"/>
        <v>0.89</v>
      </c>
      <c r="N587" s="1">
        <f t="shared" si="48"/>
        <v>45607</v>
      </c>
      <c r="O587" s="3">
        <f>(Table13[[#This Row],[Units_Sold]]*Table13[[#This Row],[Unit_Price_Cleaned]]*(1-Table13[[#This Row],[Discount Cleaned]]))</f>
        <v>-602.51839999999993</v>
      </c>
      <c r="P587" t="str">
        <f t="shared" si="49"/>
        <v>Loss</v>
      </c>
      <c r="Q587" t="str" cm="1">
        <f t="array" ref="Q587">IF(K587="",INDEX($K$2:$K$2501,MATCH(MAX(COUNTIF($K$2:$K$2501,$K$2:$K$2501)),COUNTIF($K$2:$K$2501,$K$2:$K$2501),0)),K587)</f>
        <v>B2B</v>
      </c>
    </row>
    <row r="588" spans="1:17" x14ac:dyDescent="0.3">
      <c r="A588">
        <v>1586</v>
      </c>
      <c r="B588" t="s">
        <v>638</v>
      </c>
      <c r="C588" t="s">
        <v>25</v>
      </c>
      <c r="D588" t="s">
        <v>26</v>
      </c>
      <c r="E588">
        <v>2</v>
      </c>
      <c r="G588">
        <v>0.78</v>
      </c>
      <c r="H588" s="3">
        <f t="shared" si="45"/>
        <v>5777.7428571428572</v>
      </c>
      <c r="I588" s="1">
        <v>45508</v>
      </c>
      <c r="J588" t="s">
        <v>46</v>
      </c>
      <c r="K588" t="s">
        <v>23</v>
      </c>
      <c r="L588" s="2">
        <f t="shared" si="46"/>
        <v>2888.8714285714286</v>
      </c>
      <c r="M588" s="4">
        <f t="shared" si="47"/>
        <v>0.78</v>
      </c>
      <c r="N588" s="1">
        <f t="shared" si="48"/>
        <v>45508</v>
      </c>
      <c r="O588" s="3">
        <f>(Table13[[#This Row],[Units_Sold]]*Table13[[#This Row],[Unit_Price_Cleaned]]*(1-Table13[[#This Row],[Discount Cleaned]]))</f>
        <v>1271.1034285714284</v>
      </c>
      <c r="P588" t="str">
        <f t="shared" si="49"/>
        <v>Profit</v>
      </c>
      <c r="Q588" t="str" cm="1">
        <f t="array" ref="Q588">IF(K588="",INDEX($K$2:$K$2501,MATCH(MAX(COUNTIF($K$2:$K$2501,$K$2:$K$2501)),COUNTIF($K$2:$K$2501,$K$2:$K$2501),0)),K588)</f>
        <v>B2B</v>
      </c>
    </row>
    <row r="589" spans="1:17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 s="3">
        <f t="shared" si="45"/>
        <v>-2888.8714285714286</v>
      </c>
      <c r="J589" t="s">
        <v>22</v>
      </c>
      <c r="K589" t="s">
        <v>16</v>
      </c>
      <c r="L589" s="2">
        <f t="shared" si="46"/>
        <v>2888.8714285714286</v>
      </c>
      <c r="M589" s="4">
        <f t="shared" si="47"/>
        <v>0.6</v>
      </c>
      <c r="N589" s="1">
        <f t="shared" si="48"/>
        <v>45782</v>
      </c>
      <c r="O589" s="3">
        <f>(Table13[[#This Row],[Units_Sold]]*Table13[[#This Row],[Unit_Price_Cleaned]]*(1-Table13[[#This Row],[Discount Cleaned]]))</f>
        <v>-1155.5485714285714</v>
      </c>
      <c r="P589" t="str">
        <f t="shared" si="49"/>
        <v>Loss</v>
      </c>
      <c r="Q589" t="str" cm="1">
        <f t="array" ref="Q589">IF(K589="",INDEX($K$2:$K$2501,MATCH(MAX(COUNTIF($K$2:$K$2501,$K$2:$K$2501)),COUNTIF($K$2:$K$2501,$K$2:$K$2501),0)),K589)</f>
        <v>B2C</v>
      </c>
    </row>
    <row r="590" spans="1:17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 s="3">
        <f t="shared" si="45"/>
        <v>2559.6667307692314</v>
      </c>
      <c r="I590" s="1">
        <v>45780</v>
      </c>
      <c r="J590" t="s">
        <v>15</v>
      </c>
      <c r="K590" t="s">
        <v>23</v>
      </c>
      <c r="L590" s="2">
        <f t="shared" si="46"/>
        <v>2559.6667307692314</v>
      </c>
      <c r="M590" s="4">
        <f t="shared" si="47"/>
        <v>0.6</v>
      </c>
      <c r="N590" s="1">
        <f t="shared" si="48"/>
        <v>45780</v>
      </c>
      <c r="O590" s="3">
        <f>(Table13[[#This Row],[Units_Sold]]*Table13[[#This Row],[Unit_Price_Cleaned]]*(1-Table13[[#This Row],[Discount Cleaned]]))</f>
        <v>1023.8666923076926</v>
      </c>
      <c r="P590" t="str">
        <f t="shared" si="49"/>
        <v>Profit</v>
      </c>
      <c r="Q590" t="str" cm="1">
        <f t="array" ref="Q590">IF(K590="",INDEX($K$2:$K$2501,MATCH(MAX(COUNTIF($K$2:$K$2501,$K$2:$K$2501)),COUNTIF($K$2:$K$2501,$K$2:$K$2501),0)),K590)</f>
        <v>B2B</v>
      </c>
    </row>
    <row r="591" spans="1:17" x14ac:dyDescent="0.3">
      <c r="A591">
        <v>1589</v>
      </c>
      <c r="B591" t="s">
        <v>641</v>
      </c>
      <c r="C591" t="s">
        <v>25</v>
      </c>
      <c r="D591" t="s">
        <v>26</v>
      </c>
      <c r="E591">
        <v>2</v>
      </c>
      <c r="F591">
        <v>527.07000000000005</v>
      </c>
      <c r="G591">
        <v>0.45</v>
      </c>
      <c r="H591" s="3">
        <f t="shared" si="45"/>
        <v>1054.1400000000001</v>
      </c>
      <c r="J591" t="s">
        <v>22</v>
      </c>
      <c r="K591" t="s">
        <v>16</v>
      </c>
      <c r="L591" s="2">
        <f t="shared" si="46"/>
        <v>527.07000000000005</v>
      </c>
      <c r="M591" s="4">
        <f t="shared" si="47"/>
        <v>0.45</v>
      </c>
      <c r="N591" s="1">
        <f t="shared" si="48"/>
        <v>45782</v>
      </c>
      <c r="O591" s="3">
        <f>(Table13[[#This Row],[Units_Sold]]*Table13[[#This Row],[Unit_Price_Cleaned]]*(1-Table13[[#This Row],[Discount Cleaned]]))</f>
        <v>579.77700000000016</v>
      </c>
      <c r="P591" t="str">
        <f t="shared" si="49"/>
        <v>Profit</v>
      </c>
      <c r="Q591" t="str" cm="1">
        <f t="array" ref="Q591">IF(K591="",INDEX($K$2:$K$2501,MATCH(MAX(COUNTIF($K$2:$K$2501,$K$2:$K$2501)),COUNTIF($K$2:$K$2501,$K$2:$K$2501),0)),K591)</f>
        <v>B2C</v>
      </c>
    </row>
    <row r="592" spans="1:17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 s="3">
        <f t="shared" si="45"/>
        <v>16825.591153846151</v>
      </c>
      <c r="J592" t="s">
        <v>40</v>
      </c>
      <c r="K592" t="s">
        <v>23</v>
      </c>
      <c r="L592" s="2">
        <f t="shared" si="46"/>
        <v>2804.2651923076919</v>
      </c>
      <c r="M592" s="4">
        <f t="shared" si="47"/>
        <v>0.67</v>
      </c>
      <c r="N592" s="1">
        <f t="shared" si="48"/>
        <v>45782</v>
      </c>
      <c r="O592" s="3">
        <f>(Table13[[#This Row],[Units_Sold]]*Table13[[#This Row],[Unit_Price_Cleaned]]*(1-Table13[[#This Row],[Discount Cleaned]]))</f>
        <v>5552.4450807692292</v>
      </c>
      <c r="P592" t="str">
        <f t="shared" si="49"/>
        <v>Profit</v>
      </c>
      <c r="Q592" t="str" cm="1">
        <f t="array" ref="Q592">IF(K592="",INDEX($K$2:$K$2501,MATCH(MAX(COUNTIF($K$2:$K$2501,$K$2:$K$2501)),COUNTIF($K$2:$K$2501,$K$2:$K$2501),0)),K592)</f>
        <v>B2B</v>
      </c>
    </row>
    <row r="593" spans="1:17" x14ac:dyDescent="0.3">
      <c r="A593">
        <v>1591</v>
      </c>
      <c r="B593" t="s">
        <v>643</v>
      </c>
      <c r="C593" t="s">
        <v>33</v>
      </c>
      <c r="D593" t="s">
        <v>82</v>
      </c>
      <c r="E593">
        <v>2</v>
      </c>
      <c r="H593" s="3">
        <f t="shared" si="45"/>
        <v>5552.4404000000004</v>
      </c>
      <c r="I593" s="1">
        <v>45808</v>
      </c>
      <c r="J593" t="s">
        <v>22</v>
      </c>
      <c r="L593" s="2">
        <f t="shared" si="46"/>
        <v>2776.2202000000002</v>
      </c>
      <c r="M593" s="4">
        <f t="shared" si="47"/>
        <v>0.6</v>
      </c>
      <c r="N593" s="1">
        <f t="shared" si="48"/>
        <v>45808</v>
      </c>
      <c r="O593" s="3">
        <f>(Table13[[#This Row],[Units_Sold]]*Table13[[#This Row],[Unit_Price_Cleaned]]*(1-Table13[[#This Row],[Discount Cleaned]]))</f>
        <v>2220.9761600000002</v>
      </c>
      <c r="P593" t="str">
        <f t="shared" si="49"/>
        <v>Profit</v>
      </c>
      <c r="Q593" t="str" cm="1">
        <f t="array" ref="Q593">IF(K593="",INDEX($K$2:$K$2501,MATCH(MAX(COUNTIF($K$2:$K$2501,$K$2:$K$2501)),COUNTIF($K$2:$K$2501,$K$2:$K$2501),0)),K593)</f>
        <v>B2B</v>
      </c>
    </row>
    <row r="594" spans="1:17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 s="3">
        <f t="shared" si="45"/>
        <v>12651.918269230773</v>
      </c>
      <c r="I594" s="1">
        <v>45657</v>
      </c>
      <c r="J594" t="s">
        <v>22</v>
      </c>
      <c r="L594" s="2">
        <f t="shared" si="46"/>
        <v>2530.3836538461546</v>
      </c>
      <c r="M594" s="4">
        <f t="shared" si="47"/>
        <v>0.52</v>
      </c>
      <c r="N594" s="1">
        <f t="shared" si="48"/>
        <v>45657</v>
      </c>
      <c r="O594" s="3">
        <f>(Table13[[#This Row],[Units_Sold]]*Table13[[#This Row],[Unit_Price_Cleaned]]*(1-Table13[[#This Row],[Discount Cleaned]]))</f>
        <v>6072.9207692307709</v>
      </c>
      <c r="P594" t="str">
        <f t="shared" si="49"/>
        <v>Profit</v>
      </c>
      <c r="Q594" t="str" cm="1">
        <f t="array" ref="Q594">IF(K594="",INDEX($K$2:$K$2501,MATCH(MAX(COUNTIF($K$2:$K$2501,$K$2:$K$2501)),COUNTIF($K$2:$K$2501,$K$2:$K$2501),0)),K594)</f>
        <v>B2B</v>
      </c>
    </row>
    <row r="595" spans="1:17" x14ac:dyDescent="0.3">
      <c r="A595">
        <v>1593</v>
      </c>
      <c r="B595" t="s">
        <v>645</v>
      </c>
      <c r="C595" t="s">
        <v>33</v>
      </c>
      <c r="D595" t="s">
        <v>82</v>
      </c>
      <c r="E595">
        <v>2</v>
      </c>
      <c r="H595" s="3">
        <f t="shared" si="45"/>
        <v>5552.4404000000004</v>
      </c>
      <c r="I595" s="1">
        <v>45721</v>
      </c>
      <c r="J595" t="s">
        <v>22</v>
      </c>
      <c r="L595" s="2">
        <f t="shared" si="46"/>
        <v>2776.2202000000002</v>
      </c>
      <c r="M595" s="4">
        <f t="shared" si="47"/>
        <v>0.6</v>
      </c>
      <c r="N595" s="1">
        <f t="shared" si="48"/>
        <v>45721</v>
      </c>
      <c r="O595" s="3">
        <f>(Table13[[#This Row],[Units_Sold]]*Table13[[#This Row],[Unit_Price_Cleaned]]*(1-Table13[[#This Row],[Discount Cleaned]]))</f>
        <v>2220.9761600000002</v>
      </c>
      <c r="P595" t="str">
        <f t="shared" si="49"/>
        <v>Profit</v>
      </c>
      <c r="Q595" t="str" cm="1">
        <f t="array" ref="Q595">IF(K595="",INDEX($K$2:$K$2501,MATCH(MAX(COUNTIF($K$2:$K$2501,$K$2:$K$2501)),COUNTIF($K$2:$K$2501,$K$2:$K$2501),0)),K595)</f>
        <v>B2B</v>
      </c>
    </row>
    <row r="596" spans="1:17" x14ac:dyDescent="0.3">
      <c r="A596">
        <v>1594</v>
      </c>
      <c r="B596" t="s">
        <v>646</v>
      </c>
      <c r="C596" t="s">
        <v>13</v>
      </c>
      <c r="D596" t="s">
        <v>49</v>
      </c>
      <c r="E596">
        <v>2</v>
      </c>
      <c r="F596">
        <v>3784.99</v>
      </c>
      <c r="H596" s="3">
        <f t="shared" si="45"/>
        <v>7569.98</v>
      </c>
      <c r="J596" t="s">
        <v>40</v>
      </c>
      <c r="L596" s="2">
        <f t="shared" si="46"/>
        <v>3784.99</v>
      </c>
      <c r="M596" s="4">
        <f t="shared" si="47"/>
        <v>0.6</v>
      </c>
      <c r="N596" s="1">
        <f t="shared" si="48"/>
        <v>45782</v>
      </c>
      <c r="O596" s="3">
        <f>(Table13[[#This Row],[Units_Sold]]*Table13[[#This Row],[Unit_Price_Cleaned]]*(1-Table13[[#This Row],[Discount Cleaned]]))</f>
        <v>3027.9920000000002</v>
      </c>
      <c r="P596" t="str">
        <f t="shared" si="49"/>
        <v>Profit</v>
      </c>
      <c r="Q596" t="str" cm="1">
        <f t="array" ref="Q596">IF(K596="",INDEX($K$2:$K$2501,MATCH(MAX(COUNTIF($K$2:$K$2501,$K$2:$K$2501)),COUNTIF($K$2:$K$2501,$K$2:$K$2501),0)),K596)</f>
        <v>B2B</v>
      </c>
    </row>
    <row r="597" spans="1:17" x14ac:dyDescent="0.3">
      <c r="A597">
        <v>1595</v>
      </c>
      <c r="B597" t="s">
        <v>647</v>
      </c>
      <c r="C597" t="s">
        <v>38</v>
      </c>
      <c r="D597" t="s">
        <v>91</v>
      </c>
      <c r="E597">
        <v>2</v>
      </c>
      <c r="H597" s="3">
        <f t="shared" si="45"/>
        <v>5737.5536363636356</v>
      </c>
      <c r="I597" s="1">
        <v>45858</v>
      </c>
      <c r="J597" t="s">
        <v>22</v>
      </c>
      <c r="K597" t="s">
        <v>16</v>
      </c>
      <c r="L597" s="2">
        <f t="shared" si="46"/>
        <v>2868.7768181818178</v>
      </c>
      <c r="M597" s="4">
        <f t="shared" si="47"/>
        <v>0.6</v>
      </c>
      <c r="N597" s="1">
        <f t="shared" si="48"/>
        <v>45858</v>
      </c>
      <c r="O597" s="3">
        <f>(Table13[[#This Row],[Units_Sold]]*Table13[[#This Row],[Unit_Price_Cleaned]]*(1-Table13[[#This Row],[Discount Cleaned]]))</f>
        <v>2295.0214545454542</v>
      </c>
      <c r="P597" t="str">
        <f t="shared" si="49"/>
        <v>Profit</v>
      </c>
      <c r="Q597" t="str" cm="1">
        <f t="array" ref="Q597">IF(K597="",INDEX($K$2:$K$2501,MATCH(MAX(COUNTIF($K$2:$K$2501,$K$2:$K$2501)),COUNTIF($K$2:$K$2501,$K$2:$K$2501),0)),K597)</f>
        <v>B2C</v>
      </c>
    </row>
    <row r="598" spans="1:17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 s="3">
        <f t="shared" si="45"/>
        <v>2214.87</v>
      </c>
      <c r="I598" s="1">
        <v>45558</v>
      </c>
      <c r="J598" t="s">
        <v>18</v>
      </c>
      <c r="K598" t="s">
        <v>23</v>
      </c>
      <c r="L598" s="2">
        <f t="shared" si="46"/>
        <v>738.29</v>
      </c>
      <c r="M598" s="4">
        <f t="shared" si="47"/>
        <v>0.6</v>
      </c>
      <c r="N598" s="1">
        <f t="shared" si="48"/>
        <v>45558</v>
      </c>
      <c r="O598" s="3">
        <f>(Table13[[#This Row],[Units_Sold]]*Table13[[#This Row],[Unit_Price_Cleaned]]*(1-Table13[[#This Row],[Discount Cleaned]]))</f>
        <v>885.94799999999998</v>
      </c>
      <c r="P598" t="str">
        <f t="shared" si="49"/>
        <v>Profit</v>
      </c>
      <c r="Q598" t="str" cm="1">
        <f t="array" ref="Q598">IF(K598="",INDEX($K$2:$K$2501,MATCH(MAX(COUNTIF($K$2:$K$2501,$K$2:$K$2501)),COUNTIF($K$2:$K$2501,$K$2:$K$2501),0)),K598)</f>
        <v>B2B</v>
      </c>
    </row>
    <row r="599" spans="1:17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 s="3">
        <f t="shared" si="45"/>
        <v>657.51</v>
      </c>
      <c r="I599" s="1">
        <v>45508</v>
      </c>
      <c r="J599" t="s">
        <v>15</v>
      </c>
      <c r="K599" t="s">
        <v>16</v>
      </c>
      <c r="L599" s="2">
        <f t="shared" si="46"/>
        <v>657.51</v>
      </c>
      <c r="M599" s="4">
        <f t="shared" si="47"/>
        <v>0.77</v>
      </c>
      <c r="N599" s="1">
        <f t="shared" si="48"/>
        <v>45508</v>
      </c>
      <c r="O599" s="3">
        <f>(Table13[[#This Row],[Units_Sold]]*Table13[[#This Row],[Unit_Price_Cleaned]]*(1-Table13[[#This Row],[Discount Cleaned]]))</f>
        <v>151.22729999999999</v>
      </c>
      <c r="P599" t="str">
        <f t="shared" si="49"/>
        <v>Loss</v>
      </c>
      <c r="Q599" t="str" cm="1">
        <f t="array" ref="Q599">IF(K599="",INDEX($K$2:$K$2501,MATCH(MAX(COUNTIF($K$2:$K$2501,$K$2:$K$2501)),COUNTIF($K$2:$K$2501,$K$2:$K$2501),0)),K599)</f>
        <v>B2C</v>
      </c>
    </row>
    <row r="600" spans="1:17" x14ac:dyDescent="0.3">
      <c r="A600">
        <v>1598</v>
      </c>
      <c r="B600" t="s">
        <v>650</v>
      </c>
      <c r="C600" t="s">
        <v>20</v>
      </c>
      <c r="D600" t="s">
        <v>88</v>
      </c>
      <c r="E600">
        <v>2</v>
      </c>
      <c r="F600">
        <v>3311.31</v>
      </c>
      <c r="H600" s="3">
        <f t="shared" si="45"/>
        <v>6622.62</v>
      </c>
      <c r="J600" t="s">
        <v>46</v>
      </c>
      <c r="K600" t="s">
        <v>23</v>
      </c>
      <c r="L600" s="2">
        <f t="shared" si="46"/>
        <v>3311.31</v>
      </c>
      <c r="M600" s="4">
        <f t="shared" si="47"/>
        <v>0.6</v>
      </c>
      <c r="N600" s="1">
        <f t="shared" si="48"/>
        <v>45782</v>
      </c>
      <c r="O600" s="3">
        <f>(Table13[[#This Row],[Units_Sold]]*Table13[[#This Row],[Unit_Price_Cleaned]]*(1-Table13[[#This Row],[Discount Cleaned]]))</f>
        <v>2649.0480000000002</v>
      </c>
      <c r="P600" t="str">
        <f t="shared" si="49"/>
        <v>Profit</v>
      </c>
      <c r="Q600" t="str" cm="1">
        <f t="array" ref="Q600">IF(K600="",INDEX($K$2:$K$2501,MATCH(MAX(COUNTIF($K$2:$K$2501,$K$2:$K$2501)),COUNTIF($K$2:$K$2501,$K$2:$K$2501),0)),K600)</f>
        <v>B2B</v>
      </c>
    </row>
    <row r="601" spans="1:17" x14ac:dyDescent="0.3">
      <c r="A601">
        <v>1599</v>
      </c>
      <c r="B601" t="s">
        <v>651</v>
      </c>
      <c r="C601" t="s">
        <v>20</v>
      </c>
      <c r="D601" t="s">
        <v>80</v>
      </c>
      <c r="E601">
        <v>2</v>
      </c>
      <c r="H601" s="3">
        <f t="shared" si="45"/>
        <v>4967.1688000000004</v>
      </c>
      <c r="I601" s="1">
        <v>45750</v>
      </c>
      <c r="J601" t="s">
        <v>22</v>
      </c>
      <c r="L601" s="2">
        <f t="shared" si="46"/>
        <v>2483.5844000000002</v>
      </c>
      <c r="M601" s="4">
        <f t="shared" si="47"/>
        <v>0.6</v>
      </c>
      <c r="N601" s="1">
        <f t="shared" si="48"/>
        <v>45750</v>
      </c>
      <c r="O601" s="3">
        <f>(Table13[[#This Row],[Units_Sold]]*Table13[[#This Row],[Unit_Price_Cleaned]]*(1-Table13[[#This Row],[Discount Cleaned]]))</f>
        <v>1986.8675200000002</v>
      </c>
      <c r="P601" t="str">
        <f t="shared" si="49"/>
        <v>Profit</v>
      </c>
      <c r="Q601" t="str" cm="1">
        <f t="array" ref="Q601">IF(K601="",INDEX($K$2:$K$2501,MATCH(MAX(COUNTIF($K$2:$K$2501,$K$2:$K$2501)),COUNTIF($K$2:$K$2501,$K$2:$K$2501),0)),K601)</f>
        <v>B2B</v>
      </c>
    </row>
    <row r="602" spans="1:17" x14ac:dyDescent="0.3">
      <c r="A602">
        <v>1600</v>
      </c>
      <c r="B602" t="s">
        <v>652</v>
      </c>
      <c r="C602" t="s">
        <v>29</v>
      </c>
      <c r="D602" t="s">
        <v>120</v>
      </c>
      <c r="E602">
        <v>2</v>
      </c>
      <c r="H602" s="3">
        <f t="shared" si="45"/>
        <v>5660.2651428571462</v>
      </c>
      <c r="I602" s="1">
        <v>45156</v>
      </c>
      <c r="J602" t="s">
        <v>18</v>
      </c>
      <c r="K602" t="s">
        <v>23</v>
      </c>
      <c r="L602" s="2">
        <f t="shared" si="46"/>
        <v>2830.1325714285731</v>
      </c>
      <c r="M602" s="4">
        <f t="shared" si="47"/>
        <v>0.6</v>
      </c>
      <c r="N602" s="1">
        <f t="shared" si="48"/>
        <v>45156</v>
      </c>
      <c r="O602" s="3">
        <f>(Table13[[#This Row],[Units_Sold]]*Table13[[#This Row],[Unit_Price_Cleaned]]*(1-Table13[[#This Row],[Discount Cleaned]]))</f>
        <v>2264.1060571428584</v>
      </c>
      <c r="P602" t="str">
        <f t="shared" si="49"/>
        <v>Profit</v>
      </c>
      <c r="Q602" t="str" cm="1">
        <f t="array" ref="Q602">IF(K602="",INDEX($K$2:$K$2501,MATCH(MAX(COUNTIF($K$2:$K$2501,$K$2:$K$2501)),COUNTIF($K$2:$K$2501,$K$2:$K$2501),0)),K602)</f>
        <v>B2B</v>
      </c>
    </row>
    <row r="603" spans="1:17" x14ac:dyDescent="0.3">
      <c r="A603">
        <v>1601</v>
      </c>
      <c r="B603" t="s">
        <v>653</v>
      </c>
      <c r="C603" t="s">
        <v>29</v>
      </c>
      <c r="D603" t="s">
        <v>30</v>
      </c>
      <c r="E603">
        <v>2</v>
      </c>
      <c r="H603" s="3">
        <f t="shared" si="45"/>
        <v>5235.2780769230776</v>
      </c>
      <c r="I603" s="1">
        <v>45511</v>
      </c>
      <c r="J603" t="s">
        <v>22</v>
      </c>
      <c r="K603" t="s">
        <v>23</v>
      </c>
      <c r="L603" s="2">
        <f t="shared" si="46"/>
        <v>2617.6390384615388</v>
      </c>
      <c r="M603" s="4">
        <f t="shared" si="47"/>
        <v>0.6</v>
      </c>
      <c r="N603" s="1">
        <f t="shared" si="48"/>
        <v>45511</v>
      </c>
      <c r="O603" s="3">
        <f>(Table13[[#This Row],[Units_Sold]]*Table13[[#This Row],[Unit_Price_Cleaned]]*(1-Table13[[#This Row],[Discount Cleaned]]))</f>
        <v>2094.111230769231</v>
      </c>
      <c r="P603" t="str">
        <f t="shared" si="49"/>
        <v>Profit</v>
      </c>
      <c r="Q603" t="str" cm="1">
        <f t="array" ref="Q603">IF(K603="",INDEX($K$2:$K$2501,MATCH(MAX(COUNTIF($K$2:$K$2501,$K$2:$K$2501)),COUNTIF($K$2:$K$2501,$K$2:$K$2501),0)),K603)</f>
        <v>B2B</v>
      </c>
    </row>
    <row r="604" spans="1:17" x14ac:dyDescent="0.3">
      <c r="A604">
        <v>1602</v>
      </c>
      <c r="B604" t="s">
        <v>654</v>
      </c>
      <c r="C604" t="s">
        <v>38</v>
      </c>
      <c r="D604" t="s">
        <v>63</v>
      </c>
      <c r="E604">
        <v>2</v>
      </c>
      <c r="F604">
        <v>4256.43</v>
      </c>
      <c r="H604" s="3">
        <f t="shared" si="45"/>
        <v>8512.86</v>
      </c>
      <c r="I604" s="1">
        <v>45804</v>
      </c>
      <c r="J604" t="s">
        <v>40</v>
      </c>
      <c r="L604" s="2">
        <f t="shared" si="46"/>
        <v>4256.43</v>
      </c>
      <c r="M604" s="4">
        <f t="shared" si="47"/>
        <v>0.6</v>
      </c>
      <c r="N604" s="1">
        <f t="shared" si="48"/>
        <v>45804</v>
      </c>
      <c r="O604" s="3">
        <f>(Table13[[#This Row],[Units_Sold]]*Table13[[#This Row],[Unit_Price_Cleaned]]*(1-Table13[[#This Row],[Discount Cleaned]]))</f>
        <v>3405.1440000000002</v>
      </c>
      <c r="P604" t="str">
        <f t="shared" si="49"/>
        <v>Profit</v>
      </c>
      <c r="Q604" t="str" cm="1">
        <f t="array" ref="Q604">IF(K604="",INDEX($K$2:$K$2501,MATCH(MAX(COUNTIF($K$2:$K$2501,$K$2:$K$2501)),COUNTIF($K$2:$K$2501,$K$2:$K$2501),0)),K604)</f>
        <v>B2B</v>
      </c>
    </row>
    <row r="605" spans="1:17" x14ac:dyDescent="0.3">
      <c r="A605">
        <v>1603</v>
      </c>
      <c r="B605" t="s">
        <v>655</v>
      </c>
      <c r="C605" t="s">
        <v>20</v>
      </c>
      <c r="D605" t="s">
        <v>80</v>
      </c>
      <c r="E605">
        <v>2</v>
      </c>
      <c r="G605">
        <v>1.05</v>
      </c>
      <c r="H605" s="3">
        <f t="shared" si="45"/>
        <v>4967.1688000000004</v>
      </c>
      <c r="J605" t="s">
        <v>18</v>
      </c>
      <c r="L605" s="2">
        <f t="shared" si="46"/>
        <v>2483.5844000000002</v>
      </c>
      <c r="M605" s="4">
        <f t="shared" si="47"/>
        <v>1.05</v>
      </c>
      <c r="N605" s="1">
        <f t="shared" si="48"/>
        <v>45782</v>
      </c>
      <c r="O605" s="3">
        <f>(Table13[[#This Row],[Units_Sold]]*Table13[[#This Row],[Unit_Price_Cleaned]]*(1-Table13[[#This Row],[Discount Cleaned]]))</f>
        <v>-248.35844000000023</v>
      </c>
      <c r="P605" t="str">
        <f t="shared" si="49"/>
        <v>Loss</v>
      </c>
      <c r="Q605" t="str" cm="1">
        <f t="array" ref="Q605">IF(K605="",INDEX($K$2:$K$2501,MATCH(MAX(COUNTIF($K$2:$K$2501,$K$2:$K$2501)),COUNTIF($K$2:$K$2501,$K$2:$K$2501),0)),K605)</f>
        <v>B2B</v>
      </c>
    </row>
    <row r="606" spans="1:17" x14ac:dyDescent="0.3">
      <c r="A606">
        <v>1604</v>
      </c>
      <c r="B606" t="s">
        <v>656</v>
      </c>
      <c r="C606" t="s">
        <v>33</v>
      </c>
      <c r="D606" t="s">
        <v>82</v>
      </c>
      <c r="E606">
        <v>2</v>
      </c>
      <c r="H606" s="3">
        <f t="shared" si="45"/>
        <v>5552.4404000000004</v>
      </c>
      <c r="I606" s="1">
        <v>45552</v>
      </c>
      <c r="J606" t="s">
        <v>40</v>
      </c>
      <c r="K606" t="s">
        <v>23</v>
      </c>
      <c r="L606" s="2">
        <f t="shared" si="46"/>
        <v>2776.2202000000002</v>
      </c>
      <c r="M606" s="4">
        <f t="shared" si="47"/>
        <v>0.6</v>
      </c>
      <c r="N606" s="1">
        <f t="shared" si="48"/>
        <v>45552</v>
      </c>
      <c r="O606" s="3">
        <f>(Table13[[#This Row],[Units_Sold]]*Table13[[#This Row],[Unit_Price_Cleaned]]*(1-Table13[[#This Row],[Discount Cleaned]]))</f>
        <v>2220.9761600000002</v>
      </c>
      <c r="P606" t="str">
        <f t="shared" si="49"/>
        <v>Profit</v>
      </c>
      <c r="Q606" t="str" cm="1">
        <f t="array" ref="Q606">IF(K606="",INDEX($K$2:$K$2501,MATCH(MAX(COUNTIF($K$2:$K$2501,$K$2:$K$2501)),COUNTIF($K$2:$K$2501,$K$2:$K$2501),0)),K606)</f>
        <v>B2B</v>
      </c>
    </row>
    <row r="607" spans="1:17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 s="3">
        <f t="shared" si="45"/>
        <v>0</v>
      </c>
      <c r="I607" s="1">
        <v>45661</v>
      </c>
      <c r="J607" t="s">
        <v>56</v>
      </c>
      <c r="K607" t="s">
        <v>16</v>
      </c>
      <c r="L607" s="2">
        <f t="shared" si="46"/>
        <v>2830.1325714285731</v>
      </c>
      <c r="M607" s="4">
        <f t="shared" si="47"/>
        <v>0.47</v>
      </c>
      <c r="N607" s="1">
        <f t="shared" si="48"/>
        <v>45661</v>
      </c>
      <c r="O607" s="3">
        <f>(Table13[[#This Row],[Units_Sold]]*Table13[[#This Row],[Unit_Price_Cleaned]]*(1-Table13[[#This Row],[Discount Cleaned]]))</f>
        <v>0</v>
      </c>
      <c r="P607" t="str">
        <f t="shared" si="49"/>
        <v>Loss</v>
      </c>
      <c r="Q607" t="str" cm="1">
        <f t="array" ref="Q607">IF(K607="",INDEX($K$2:$K$2501,MATCH(MAX(COUNTIF($K$2:$K$2501,$K$2:$K$2501)),COUNTIF($K$2:$K$2501,$K$2:$K$2501),0)),K607)</f>
        <v>B2C</v>
      </c>
    </row>
    <row r="608" spans="1:17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 s="3">
        <f t="shared" si="45"/>
        <v>16657.321200000002</v>
      </c>
      <c r="I608" s="1">
        <v>45694</v>
      </c>
      <c r="J608" t="s">
        <v>15</v>
      </c>
      <c r="L608" s="2">
        <f t="shared" si="46"/>
        <v>2776.2202000000002</v>
      </c>
      <c r="M608" s="4">
        <f t="shared" si="47"/>
        <v>0.6</v>
      </c>
      <c r="N608" s="1">
        <f t="shared" si="48"/>
        <v>45694</v>
      </c>
      <c r="O608" s="3">
        <f>(Table13[[#This Row],[Units_Sold]]*Table13[[#This Row],[Unit_Price_Cleaned]]*(1-Table13[[#This Row],[Discount Cleaned]]))</f>
        <v>6662.9284800000014</v>
      </c>
      <c r="P608" t="str">
        <f t="shared" si="49"/>
        <v>Profit</v>
      </c>
      <c r="Q608" t="str" cm="1">
        <f t="array" ref="Q608">IF(K608="",INDEX($K$2:$K$2501,MATCH(MAX(COUNTIF($K$2:$K$2501,$K$2:$K$2501)),COUNTIF($K$2:$K$2501,$K$2:$K$2501),0)),K608)</f>
        <v>B2B</v>
      </c>
    </row>
    <row r="609" spans="1:17" x14ac:dyDescent="0.3">
      <c r="A609">
        <v>1607</v>
      </c>
      <c r="B609" t="s">
        <v>659</v>
      </c>
      <c r="C609" t="s">
        <v>25</v>
      </c>
      <c r="D609" t="s">
        <v>26</v>
      </c>
      <c r="E609">
        <v>2</v>
      </c>
      <c r="F609">
        <v>4941.2700000000004</v>
      </c>
      <c r="H609" s="3">
        <f t="shared" si="45"/>
        <v>9882.5400000000009</v>
      </c>
      <c r="I609" s="1">
        <v>45207</v>
      </c>
      <c r="J609" t="s">
        <v>15</v>
      </c>
      <c r="K609" t="s">
        <v>16</v>
      </c>
      <c r="L609" s="2">
        <f t="shared" si="46"/>
        <v>4941.2700000000004</v>
      </c>
      <c r="M609" s="4">
        <f t="shared" si="47"/>
        <v>0.6</v>
      </c>
      <c r="N609" s="1">
        <f t="shared" si="48"/>
        <v>45207</v>
      </c>
      <c r="O609" s="3">
        <f>(Table13[[#This Row],[Units_Sold]]*Table13[[#This Row],[Unit_Price_Cleaned]]*(1-Table13[[#This Row],[Discount Cleaned]]))</f>
        <v>3953.0160000000005</v>
      </c>
      <c r="P609" t="str">
        <f t="shared" si="49"/>
        <v>Profit</v>
      </c>
      <c r="Q609" t="str" cm="1">
        <f t="array" ref="Q609">IF(K609="",INDEX($K$2:$K$2501,MATCH(MAX(COUNTIF($K$2:$K$2501,$K$2:$K$2501)),COUNTIF($K$2:$K$2501,$K$2:$K$2501),0)),K609)</f>
        <v>B2C</v>
      </c>
    </row>
    <row r="610" spans="1:17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 s="3">
        <f t="shared" si="45"/>
        <v>10609.83</v>
      </c>
      <c r="I610" s="1">
        <v>45708</v>
      </c>
      <c r="J610" t="s">
        <v>22</v>
      </c>
      <c r="K610" t="s">
        <v>16</v>
      </c>
      <c r="L610" s="2">
        <f t="shared" si="46"/>
        <v>3536.61</v>
      </c>
      <c r="M610" s="4">
        <f t="shared" si="47"/>
        <v>0.79</v>
      </c>
      <c r="N610" s="1">
        <f t="shared" si="48"/>
        <v>45708</v>
      </c>
      <c r="O610" s="3">
        <f>(Table13[[#This Row],[Units_Sold]]*Table13[[#This Row],[Unit_Price_Cleaned]]*(1-Table13[[#This Row],[Discount Cleaned]]))</f>
        <v>2228.0642999999995</v>
      </c>
      <c r="P610" t="str">
        <f t="shared" si="49"/>
        <v>Profit</v>
      </c>
      <c r="Q610" t="str" cm="1">
        <f t="array" ref="Q610">IF(K610="",INDEX($K$2:$K$2501,MATCH(MAX(COUNTIF($K$2:$K$2501,$K$2:$K$2501)),COUNTIF($K$2:$K$2501,$K$2:$K$2501),0)),K610)</f>
        <v>B2C</v>
      </c>
    </row>
    <row r="611" spans="1:17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 s="3">
        <f t="shared" si="45"/>
        <v>11555.485714285714</v>
      </c>
      <c r="I611" s="1">
        <v>45855</v>
      </c>
      <c r="J611" t="s">
        <v>56</v>
      </c>
      <c r="K611" t="s">
        <v>16</v>
      </c>
      <c r="L611" s="2">
        <f t="shared" si="46"/>
        <v>2888.8714285714286</v>
      </c>
      <c r="M611" s="4">
        <f t="shared" si="47"/>
        <v>0.6</v>
      </c>
      <c r="N611" s="1">
        <f t="shared" si="48"/>
        <v>45855</v>
      </c>
      <c r="O611" s="3">
        <f>(Table13[[#This Row],[Units_Sold]]*Table13[[#This Row],[Unit_Price_Cleaned]]*(1-Table13[[#This Row],[Discount Cleaned]]))</f>
        <v>4622.1942857142858</v>
      </c>
      <c r="P611" t="str">
        <f t="shared" si="49"/>
        <v>Profit</v>
      </c>
      <c r="Q611" t="str" cm="1">
        <f t="array" ref="Q611">IF(K611="",INDEX($K$2:$K$2501,MATCH(MAX(COUNTIF($K$2:$K$2501,$K$2:$K$2501)),COUNTIF($K$2:$K$2501,$K$2:$K$2501),0)),K611)</f>
        <v>B2C</v>
      </c>
    </row>
    <row r="612" spans="1:17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 s="3">
        <f t="shared" si="45"/>
        <v>13925.438983050846</v>
      </c>
      <c r="I612" s="1">
        <v>45806</v>
      </c>
      <c r="J612" t="s">
        <v>56</v>
      </c>
      <c r="K612" t="s">
        <v>23</v>
      </c>
      <c r="L612" s="2">
        <f t="shared" si="46"/>
        <v>2785.0877966101693</v>
      </c>
      <c r="M612" s="4">
        <f t="shared" si="47"/>
        <v>0.6</v>
      </c>
      <c r="N612" s="1">
        <f t="shared" si="48"/>
        <v>45806</v>
      </c>
      <c r="O612" s="3">
        <f>(Table13[[#This Row],[Units_Sold]]*Table13[[#This Row],[Unit_Price_Cleaned]]*(1-Table13[[#This Row],[Discount Cleaned]]))</f>
        <v>5570.1755932203387</v>
      </c>
      <c r="P612" t="str">
        <f t="shared" si="49"/>
        <v>Profit</v>
      </c>
      <c r="Q612" t="str" cm="1">
        <f t="array" ref="Q612">IF(K612="",INDEX($K$2:$K$2501,MATCH(MAX(COUNTIF($K$2:$K$2501,$K$2:$K$2501)),COUNTIF($K$2:$K$2501,$K$2:$K$2501),0)),K612)</f>
        <v>B2B</v>
      </c>
    </row>
    <row r="613" spans="1:17" x14ac:dyDescent="0.3">
      <c r="A613">
        <v>1611</v>
      </c>
      <c r="B613" t="s">
        <v>663</v>
      </c>
      <c r="C613" t="s">
        <v>33</v>
      </c>
      <c r="D613" t="s">
        <v>82</v>
      </c>
      <c r="E613">
        <v>2</v>
      </c>
      <c r="G613">
        <v>1.07</v>
      </c>
      <c r="H613" s="3">
        <f t="shared" si="45"/>
        <v>5552.4404000000004</v>
      </c>
      <c r="I613" s="1">
        <v>45604</v>
      </c>
      <c r="J613" t="s">
        <v>15</v>
      </c>
      <c r="L613" s="2">
        <f t="shared" si="46"/>
        <v>2776.2202000000002</v>
      </c>
      <c r="M613" s="4">
        <f t="shared" si="47"/>
        <v>1.07</v>
      </c>
      <c r="N613" s="1">
        <f t="shared" si="48"/>
        <v>45604</v>
      </c>
      <c r="O613" s="3">
        <f>(Table13[[#This Row],[Units_Sold]]*Table13[[#This Row],[Unit_Price_Cleaned]]*(1-Table13[[#This Row],[Discount Cleaned]]))</f>
        <v>-388.67082800000037</v>
      </c>
      <c r="P613" t="str">
        <f t="shared" si="49"/>
        <v>Loss</v>
      </c>
      <c r="Q613" t="str" cm="1">
        <f t="array" ref="Q613">IF(K613="",INDEX($K$2:$K$2501,MATCH(MAX(COUNTIF($K$2:$K$2501,$K$2:$K$2501)),COUNTIF($K$2:$K$2501,$K$2:$K$2501),0)),K613)</f>
        <v>B2B</v>
      </c>
    </row>
    <row r="614" spans="1:17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 s="3">
        <f t="shared" si="45"/>
        <v>5051.2</v>
      </c>
      <c r="I614" s="1">
        <v>45714</v>
      </c>
      <c r="J614" t="s">
        <v>46</v>
      </c>
      <c r="L614" s="2">
        <f t="shared" si="46"/>
        <v>1010.24</v>
      </c>
      <c r="M614" s="4">
        <f t="shared" si="47"/>
        <v>0.6</v>
      </c>
      <c r="N614" s="1">
        <f t="shared" si="48"/>
        <v>45714</v>
      </c>
      <c r="O614" s="3">
        <f>(Table13[[#This Row],[Units_Sold]]*Table13[[#This Row],[Unit_Price_Cleaned]]*(1-Table13[[#This Row],[Discount Cleaned]]))</f>
        <v>2020.48</v>
      </c>
      <c r="P614" t="str">
        <f t="shared" si="49"/>
        <v>Profit</v>
      </c>
      <c r="Q614" t="str" cm="1">
        <f t="array" ref="Q614">IF(K614="",INDEX($K$2:$K$2501,MATCH(MAX(COUNTIF($K$2:$K$2501,$K$2:$K$2501)),COUNTIF($K$2:$K$2501,$K$2:$K$2501),0)),K614)</f>
        <v>B2B</v>
      </c>
    </row>
    <row r="615" spans="1:17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 s="3">
        <f t="shared" si="45"/>
        <v>1575.26</v>
      </c>
      <c r="I615" s="1">
        <v>45665</v>
      </c>
      <c r="J615" t="s">
        <v>15</v>
      </c>
      <c r="K615" t="s">
        <v>16</v>
      </c>
      <c r="L615" s="2">
        <f t="shared" si="46"/>
        <v>1575.26</v>
      </c>
      <c r="M615" s="4">
        <f t="shared" si="47"/>
        <v>0.6</v>
      </c>
      <c r="N615" s="1">
        <f t="shared" si="48"/>
        <v>45665</v>
      </c>
      <c r="O615" s="3">
        <f>(Table13[[#This Row],[Units_Sold]]*Table13[[#This Row],[Unit_Price_Cleaned]]*(1-Table13[[#This Row],[Discount Cleaned]]))</f>
        <v>630.10400000000004</v>
      </c>
      <c r="P615" t="str">
        <f t="shared" si="49"/>
        <v>Profit</v>
      </c>
      <c r="Q615" t="str" cm="1">
        <f t="array" ref="Q615">IF(K615="",INDEX($K$2:$K$2501,MATCH(MAX(COUNTIF($K$2:$K$2501,$K$2:$K$2501)),COUNTIF($K$2:$K$2501,$K$2:$K$2501),0)),K615)</f>
        <v>B2C</v>
      </c>
    </row>
    <row r="616" spans="1:17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 s="3">
        <f t="shared" si="45"/>
        <v>-2559.6667307692314</v>
      </c>
      <c r="I616" s="1">
        <v>45764</v>
      </c>
      <c r="J616" t="s">
        <v>22</v>
      </c>
      <c r="L616" s="2">
        <f t="shared" si="46"/>
        <v>2559.6667307692314</v>
      </c>
      <c r="M616" s="4">
        <f t="shared" si="47"/>
        <v>0.6</v>
      </c>
      <c r="N616" s="1">
        <f t="shared" si="48"/>
        <v>45764</v>
      </c>
      <c r="O616" s="3">
        <f>(Table13[[#This Row],[Units_Sold]]*Table13[[#This Row],[Unit_Price_Cleaned]]*(1-Table13[[#This Row],[Discount Cleaned]]))</f>
        <v>-1023.8666923076926</v>
      </c>
      <c r="P616" t="str">
        <f t="shared" si="49"/>
        <v>Loss</v>
      </c>
      <c r="Q616" t="str" cm="1">
        <f t="array" ref="Q616">IF(K616="",INDEX($K$2:$K$2501,MATCH(MAX(COUNTIF($K$2:$K$2501,$K$2:$K$2501)),COUNTIF($K$2:$K$2501,$K$2:$K$2501),0)),K616)</f>
        <v>B2B</v>
      </c>
    </row>
    <row r="617" spans="1:17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 s="3">
        <f t="shared" si="45"/>
        <v>29776.199999999997</v>
      </c>
      <c r="I617" s="1">
        <v>45142</v>
      </c>
      <c r="J617" t="s">
        <v>56</v>
      </c>
      <c r="K617" t="s">
        <v>16</v>
      </c>
      <c r="L617" s="2">
        <f t="shared" si="46"/>
        <v>4962.7</v>
      </c>
      <c r="M617" s="4">
        <f t="shared" si="47"/>
        <v>0.02</v>
      </c>
      <c r="N617" s="1">
        <f t="shared" si="48"/>
        <v>45142</v>
      </c>
      <c r="O617" s="3">
        <f>(Table13[[#This Row],[Units_Sold]]*Table13[[#This Row],[Unit_Price_Cleaned]]*(1-Table13[[#This Row],[Discount Cleaned]]))</f>
        <v>29180.675999999996</v>
      </c>
      <c r="P617" t="str">
        <f t="shared" si="49"/>
        <v>Profit</v>
      </c>
      <c r="Q617" t="str" cm="1">
        <f t="array" ref="Q617">IF(K617="",INDEX($K$2:$K$2501,MATCH(MAX(COUNTIF($K$2:$K$2501,$K$2:$K$2501)),COUNTIF($K$2:$K$2501,$K$2:$K$2501),0)),K617)</f>
        <v>B2C</v>
      </c>
    </row>
    <row r="618" spans="1:17" x14ac:dyDescent="0.3">
      <c r="A618">
        <v>1616</v>
      </c>
      <c r="B618" t="s">
        <v>668</v>
      </c>
      <c r="C618" t="s">
        <v>25</v>
      </c>
      <c r="D618" t="s">
        <v>26</v>
      </c>
      <c r="E618">
        <v>2</v>
      </c>
      <c r="F618">
        <v>4443.82</v>
      </c>
      <c r="H618" s="3">
        <f t="shared" si="45"/>
        <v>8887.64</v>
      </c>
      <c r="I618" s="1">
        <v>45212</v>
      </c>
      <c r="J618" t="s">
        <v>40</v>
      </c>
      <c r="K618" t="s">
        <v>16</v>
      </c>
      <c r="L618" s="2">
        <f t="shared" si="46"/>
        <v>4443.82</v>
      </c>
      <c r="M618" s="4">
        <f t="shared" si="47"/>
        <v>0.6</v>
      </c>
      <c r="N618" s="1">
        <f t="shared" si="48"/>
        <v>45212</v>
      </c>
      <c r="O618" s="3">
        <f>(Table13[[#This Row],[Units_Sold]]*Table13[[#This Row],[Unit_Price_Cleaned]]*(1-Table13[[#This Row],[Discount Cleaned]]))</f>
        <v>3555.056</v>
      </c>
      <c r="P618" t="str">
        <f t="shared" si="49"/>
        <v>Profit</v>
      </c>
      <c r="Q618" t="str" cm="1">
        <f t="array" ref="Q618">IF(K618="",INDEX($K$2:$K$2501,MATCH(MAX(COUNTIF($K$2:$K$2501,$K$2:$K$2501)),COUNTIF($K$2:$K$2501,$K$2:$K$2501),0)),K618)</f>
        <v>B2C</v>
      </c>
    </row>
    <row r="619" spans="1:17" x14ac:dyDescent="0.3">
      <c r="A619">
        <v>1617</v>
      </c>
      <c r="B619" t="s">
        <v>669</v>
      </c>
      <c r="C619" t="s">
        <v>13</v>
      </c>
      <c r="D619" t="s">
        <v>36</v>
      </c>
      <c r="E619">
        <v>2</v>
      </c>
      <c r="F619">
        <v>1144.47</v>
      </c>
      <c r="H619" s="3">
        <f t="shared" si="45"/>
        <v>2288.94</v>
      </c>
      <c r="I619" s="1">
        <v>45361</v>
      </c>
      <c r="J619" t="s">
        <v>46</v>
      </c>
      <c r="K619" t="s">
        <v>16</v>
      </c>
      <c r="L619" s="2">
        <f t="shared" si="46"/>
        <v>1144.47</v>
      </c>
      <c r="M619" s="4">
        <f t="shared" si="47"/>
        <v>0.6</v>
      </c>
      <c r="N619" s="1">
        <f t="shared" si="48"/>
        <v>45361</v>
      </c>
      <c r="O619" s="3">
        <f>(Table13[[#This Row],[Units_Sold]]*Table13[[#This Row],[Unit_Price_Cleaned]]*(1-Table13[[#This Row],[Discount Cleaned]]))</f>
        <v>915.57600000000002</v>
      </c>
      <c r="P619" t="str">
        <f t="shared" si="49"/>
        <v>Profit</v>
      </c>
      <c r="Q619" t="str" cm="1">
        <f t="array" ref="Q619">IF(K619="",INDEX($K$2:$K$2501,MATCH(MAX(COUNTIF($K$2:$K$2501,$K$2:$K$2501)),COUNTIF($K$2:$K$2501,$K$2:$K$2501),0)),K619)</f>
        <v>B2C</v>
      </c>
    </row>
    <row r="620" spans="1:17" x14ac:dyDescent="0.3">
      <c r="A620">
        <v>1618</v>
      </c>
      <c r="B620" t="s">
        <v>670</v>
      </c>
      <c r="C620" t="s">
        <v>38</v>
      </c>
      <c r="D620" t="s">
        <v>63</v>
      </c>
      <c r="E620">
        <v>2</v>
      </c>
      <c r="G620">
        <v>0.85</v>
      </c>
      <c r="H620" s="3">
        <f t="shared" si="45"/>
        <v>5690.4839344262318</v>
      </c>
      <c r="I620" s="1">
        <v>45162</v>
      </c>
      <c r="J620" t="s">
        <v>22</v>
      </c>
      <c r="K620" t="s">
        <v>23</v>
      </c>
      <c r="L620" s="2">
        <f t="shared" si="46"/>
        <v>2845.2419672131159</v>
      </c>
      <c r="M620" s="4">
        <f t="shared" si="47"/>
        <v>0.85</v>
      </c>
      <c r="N620" s="1">
        <f t="shared" si="48"/>
        <v>45162</v>
      </c>
      <c r="O620" s="3">
        <f>(Table13[[#This Row],[Units_Sold]]*Table13[[#This Row],[Unit_Price_Cleaned]]*(1-Table13[[#This Row],[Discount Cleaned]]))</f>
        <v>853.57259016393493</v>
      </c>
      <c r="P620" t="str">
        <f t="shared" si="49"/>
        <v>Profit</v>
      </c>
      <c r="Q620" t="str" cm="1">
        <f t="array" ref="Q620">IF(K620="",INDEX($K$2:$K$2501,MATCH(MAX(COUNTIF($K$2:$K$2501,$K$2:$K$2501)),COUNTIF($K$2:$K$2501,$K$2:$K$2501),0)),K620)</f>
        <v>B2B</v>
      </c>
    </row>
    <row r="621" spans="1:17" x14ac:dyDescent="0.3">
      <c r="A621">
        <v>1619</v>
      </c>
      <c r="B621" t="s">
        <v>671</v>
      </c>
      <c r="C621" t="s">
        <v>13</v>
      </c>
      <c r="D621" t="s">
        <v>49</v>
      </c>
      <c r="E621">
        <v>2</v>
      </c>
      <c r="F621">
        <v>1470.99</v>
      </c>
      <c r="G621">
        <v>0.7</v>
      </c>
      <c r="H621" s="3">
        <f t="shared" si="45"/>
        <v>2941.98</v>
      </c>
      <c r="I621" s="1">
        <v>45640</v>
      </c>
      <c r="J621" t="s">
        <v>40</v>
      </c>
      <c r="K621" t="s">
        <v>23</v>
      </c>
      <c r="L621" s="2">
        <f t="shared" si="46"/>
        <v>1470.99</v>
      </c>
      <c r="M621" s="4">
        <f t="shared" si="47"/>
        <v>0.7</v>
      </c>
      <c r="N621" s="1">
        <f t="shared" si="48"/>
        <v>45640</v>
      </c>
      <c r="O621" s="3">
        <f>(Table13[[#This Row],[Units_Sold]]*Table13[[#This Row],[Unit_Price_Cleaned]]*(1-Table13[[#This Row],[Discount Cleaned]]))</f>
        <v>882.59400000000016</v>
      </c>
      <c r="P621" t="str">
        <f t="shared" si="49"/>
        <v>Profit</v>
      </c>
      <c r="Q621" t="str" cm="1">
        <f t="array" ref="Q621">IF(K621="",INDEX($K$2:$K$2501,MATCH(MAX(COUNTIF($K$2:$K$2501,$K$2:$K$2501)),COUNTIF($K$2:$K$2501,$K$2:$K$2501),0)),K621)</f>
        <v>B2B</v>
      </c>
    </row>
    <row r="622" spans="1:17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 s="3">
        <f t="shared" si="45"/>
        <v>16825.591153846151</v>
      </c>
      <c r="I622" s="1">
        <v>45551</v>
      </c>
      <c r="J622" t="s">
        <v>15</v>
      </c>
      <c r="L622" s="2">
        <f t="shared" si="46"/>
        <v>2804.2651923076919</v>
      </c>
      <c r="M622" s="4">
        <f t="shared" si="47"/>
        <v>1.17</v>
      </c>
      <c r="N622" s="1">
        <f t="shared" si="48"/>
        <v>45551</v>
      </c>
      <c r="O622" s="3">
        <f>(Table13[[#This Row],[Units_Sold]]*Table13[[#This Row],[Unit_Price_Cleaned]]*(1-Table13[[#This Row],[Discount Cleaned]]))</f>
        <v>-2860.3504961538447</v>
      </c>
      <c r="P622" t="str">
        <f t="shared" si="49"/>
        <v>Loss</v>
      </c>
      <c r="Q622" t="str" cm="1">
        <f t="array" ref="Q622">IF(K622="",INDEX($K$2:$K$2501,MATCH(MAX(COUNTIF($K$2:$K$2501,$K$2:$K$2501)),COUNTIF($K$2:$K$2501,$K$2:$K$2501),0)),K622)</f>
        <v>B2B</v>
      </c>
    </row>
    <row r="623" spans="1:17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 s="3">
        <f t="shared" si="45"/>
        <v>3838.0199999999995</v>
      </c>
      <c r="I623" s="1">
        <v>45563</v>
      </c>
      <c r="J623" t="s">
        <v>56</v>
      </c>
      <c r="K623" t="s">
        <v>23</v>
      </c>
      <c r="L623" s="2">
        <f t="shared" si="46"/>
        <v>639.66999999999996</v>
      </c>
      <c r="M623" s="4">
        <f t="shared" si="47"/>
        <v>0.6</v>
      </c>
      <c r="N623" s="1">
        <f t="shared" si="48"/>
        <v>45563</v>
      </c>
      <c r="O623" s="3">
        <f>(Table13[[#This Row],[Units_Sold]]*Table13[[#This Row],[Unit_Price_Cleaned]]*(1-Table13[[#This Row],[Discount Cleaned]]))</f>
        <v>1535.2079999999999</v>
      </c>
      <c r="P623" t="str">
        <f t="shared" si="49"/>
        <v>Profit</v>
      </c>
      <c r="Q623" t="str" cm="1">
        <f t="array" ref="Q623">IF(K623="",INDEX($K$2:$K$2501,MATCH(MAX(COUNTIF($K$2:$K$2501,$K$2:$K$2501)),COUNTIF($K$2:$K$2501,$K$2:$K$2501),0)),K623)</f>
        <v>B2B</v>
      </c>
    </row>
    <row r="624" spans="1:17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 s="3">
        <f t="shared" si="45"/>
        <v>2572.7764000000006</v>
      </c>
      <c r="J624" t="s">
        <v>40</v>
      </c>
      <c r="K624" t="s">
        <v>16</v>
      </c>
      <c r="L624" s="2">
        <f t="shared" si="46"/>
        <v>2572.7764000000006</v>
      </c>
      <c r="M624" s="4">
        <f t="shared" si="47"/>
        <v>0.6</v>
      </c>
      <c r="N624" s="1">
        <f t="shared" si="48"/>
        <v>45782</v>
      </c>
      <c r="O624" s="3">
        <f>(Table13[[#This Row],[Units_Sold]]*Table13[[#This Row],[Unit_Price_Cleaned]]*(1-Table13[[#This Row],[Discount Cleaned]]))</f>
        <v>1029.1105600000003</v>
      </c>
      <c r="P624" t="str">
        <f t="shared" si="49"/>
        <v>Profit</v>
      </c>
      <c r="Q624" t="str" cm="1">
        <f t="array" ref="Q624">IF(K624="",INDEX($K$2:$K$2501,MATCH(MAX(COUNTIF($K$2:$K$2501,$K$2:$K$2501)),COUNTIF($K$2:$K$2501,$K$2:$K$2501),0)),K624)</f>
        <v>B2C</v>
      </c>
    </row>
    <row r="625" spans="1:17" x14ac:dyDescent="0.3">
      <c r="A625">
        <v>1033</v>
      </c>
      <c r="B625" t="s">
        <v>675</v>
      </c>
      <c r="C625" t="s">
        <v>33</v>
      </c>
      <c r="D625" t="s">
        <v>72</v>
      </c>
      <c r="E625">
        <v>2</v>
      </c>
      <c r="F625">
        <v>3369.55</v>
      </c>
      <c r="H625" s="3">
        <f t="shared" si="45"/>
        <v>6739.1</v>
      </c>
      <c r="I625" s="1">
        <v>45664</v>
      </c>
      <c r="J625" t="s">
        <v>46</v>
      </c>
      <c r="K625" t="s">
        <v>16</v>
      </c>
      <c r="L625" s="2">
        <f t="shared" si="46"/>
        <v>3369.55</v>
      </c>
      <c r="M625" s="4">
        <f t="shared" si="47"/>
        <v>0.6</v>
      </c>
      <c r="N625" s="1">
        <f t="shared" si="48"/>
        <v>45664</v>
      </c>
      <c r="O625" s="3">
        <f>(Table13[[#This Row],[Units_Sold]]*Table13[[#This Row],[Unit_Price_Cleaned]]*(1-Table13[[#This Row],[Discount Cleaned]]))</f>
        <v>2695.6400000000003</v>
      </c>
      <c r="P625" t="str">
        <f t="shared" si="49"/>
        <v>Profit</v>
      </c>
      <c r="Q625" t="str" cm="1">
        <f t="array" ref="Q625">IF(K625="",INDEX($K$2:$K$2501,MATCH(MAX(COUNTIF($K$2:$K$2501,$K$2:$K$2501)),COUNTIF($K$2:$K$2501,$K$2:$K$2501),0)),K625)</f>
        <v>B2C</v>
      </c>
    </row>
    <row r="626" spans="1:17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 s="3">
        <f t="shared" si="45"/>
        <v>4886</v>
      </c>
      <c r="J626" t="s">
        <v>46</v>
      </c>
      <c r="K626" t="s">
        <v>23</v>
      </c>
      <c r="L626" s="2">
        <f t="shared" si="46"/>
        <v>977.2</v>
      </c>
      <c r="M626" s="4">
        <f t="shared" si="47"/>
        <v>0.6</v>
      </c>
      <c r="N626" s="1">
        <f t="shared" si="48"/>
        <v>45782</v>
      </c>
      <c r="O626" s="3">
        <f>(Table13[[#This Row],[Units_Sold]]*Table13[[#This Row],[Unit_Price_Cleaned]]*(1-Table13[[#This Row],[Discount Cleaned]]))</f>
        <v>1954.4</v>
      </c>
      <c r="P626" t="str">
        <f t="shared" si="49"/>
        <v>Profit</v>
      </c>
      <c r="Q626" t="str" cm="1">
        <f t="array" ref="Q626">IF(K626="",INDEX($K$2:$K$2501,MATCH(MAX(COUNTIF($K$2:$K$2501,$K$2:$K$2501)),COUNTIF($K$2:$K$2501,$K$2:$K$2501),0)),K626)</f>
        <v>B2B</v>
      </c>
    </row>
    <row r="627" spans="1:17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 s="3">
        <f t="shared" si="45"/>
        <v>0</v>
      </c>
      <c r="I627" s="1">
        <v>45651</v>
      </c>
      <c r="J627" t="s">
        <v>15</v>
      </c>
      <c r="L627" s="2">
        <f t="shared" si="46"/>
        <v>735.97</v>
      </c>
      <c r="M627" s="4">
        <f t="shared" si="47"/>
        <v>0.26</v>
      </c>
      <c r="N627" s="1">
        <f t="shared" si="48"/>
        <v>45651</v>
      </c>
      <c r="O627" s="3">
        <f>(Table13[[#This Row],[Units_Sold]]*Table13[[#This Row],[Unit_Price_Cleaned]]*(1-Table13[[#This Row],[Discount Cleaned]]))</f>
        <v>0</v>
      </c>
      <c r="P627" t="str">
        <f t="shared" si="49"/>
        <v>Loss</v>
      </c>
      <c r="Q627" t="str" cm="1">
        <f t="array" ref="Q627">IF(K627="",INDEX($K$2:$K$2501,MATCH(MAX(COUNTIF($K$2:$K$2501,$K$2:$K$2501)),COUNTIF($K$2:$K$2501,$K$2:$K$2501),0)),K627)</f>
        <v>B2B</v>
      </c>
    </row>
    <row r="628" spans="1:17" x14ac:dyDescent="0.3">
      <c r="A628">
        <v>1626</v>
      </c>
      <c r="B628" t="s">
        <v>678</v>
      </c>
      <c r="C628" t="s">
        <v>38</v>
      </c>
      <c r="D628" t="s">
        <v>59</v>
      </c>
      <c r="E628">
        <v>2</v>
      </c>
      <c r="F628">
        <v>4695.1499999999996</v>
      </c>
      <c r="H628" s="3">
        <f t="shared" si="45"/>
        <v>9390.2999999999993</v>
      </c>
      <c r="J628" t="s">
        <v>46</v>
      </c>
      <c r="K628" t="s">
        <v>16</v>
      </c>
      <c r="L628" s="2">
        <f t="shared" si="46"/>
        <v>4695.1499999999996</v>
      </c>
      <c r="M628" s="4">
        <f t="shared" si="47"/>
        <v>0.6</v>
      </c>
      <c r="N628" s="1">
        <f t="shared" si="48"/>
        <v>45782</v>
      </c>
      <c r="O628" s="3">
        <f>(Table13[[#This Row],[Units_Sold]]*Table13[[#This Row],[Unit_Price_Cleaned]]*(1-Table13[[#This Row],[Discount Cleaned]]))</f>
        <v>3756.12</v>
      </c>
      <c r="P628" t="str">
        <f t="shared" si="49"/>
        <v>Profit</v>
      </c>
      <c r="Q628" t="str" cm="1">
        <f t="array" ref="Q628">IF(K628="",INDEX($K$2:$K$2501,MATCH(MAX(COUNTIF($K$2:$K$2501,$K$2:$K$2501)),COUNTIF($K$2:$K$2501,$K$2:$K$2501),0)),K628)</f>
        <v>B2C</v>
      </c>
    </row>
    <row r="629" spans="1:17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 s="3">
        <f t="shared" si="45"/>
        <v>5924.1</v>
      </c>
      <c r="I629" s="1">
        <v>45692</v>
      </c>
      <c r="J629" t="s">
        <v>22</v>
      </c>
      <c r="K629" t="s">
        <v>23</v>
      </c>
      <c r="L629" s="2">
        <f t="shared" si="46"/>
        <v>987.35</v>
      </c>
      <c r="M629" s="4">
        <f t="shared" si="47"/>
        <v>0.6</v>
      </c>
      <c r="N629" s="1">
        <f t="shared" si="48"/>
        <v>45692</v>
      </c>
      <c r="O629" s="3">
        <f>(Table13[[#This Row],[Units_Sold]]*Table13[[#This Row],[Unit_Price_Cleaned]]*(1-Table13[[#This Row],[Discount Cleaned]]))</f>
        <v>2369.6400000000003</v>
      </c>
      <c r="P629" t="str">
        <f t="shared" si="49"/>
        <v>Profit</v>
      </c>
      <c r="Q629" t="str" cm="1">
        <f t="array" ref="Q629">IF(K629="",INDEX($K$2:$K$2501,MATCH(MAX(COUNTIF($K$2:$K$2501,$K$2:$K$2501)),COUNTIF($K$2:$K$2501,$K$2:$K$2501),0)),K629)</f>
        <v>B2B</v>
      </c>
    </row>
    <row r="630" spans="1:17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 s="3">
        <f t="shared" si="45"/>
        <v>3345.58</v>
      </c>
      <c r="I630" s="1">
        <v>45397</v>
      </c>
      <c r="J630" t="s">
        <v>56</v>
      </c>
      <c r="L630" s="2">
        <f t="shared" si="46"/>
        <v>3345.58</v>
      </c>
      <c r="M630" s="4">
        <f t="shared" si="47"/>
        <v>0.26</v>
      </c>
      <c r="N630" s="1">
        <f t="shared" si="48"/>
        <v>45397</v>
      </c>
      <c r="O630" s="3">
        <f>(Table13[[#This Row],[Units_Sold]]*Table13[[#This Row],[Unit_Price_Cleaned]]*(1-Table13[[#This Row],[Discount Cleaned]]))</f>
        <v>2475.7291999999998</v>
      </c>
      <c r="P630" t="str">
        <f t="shared" si="49"/>
        <v>Profit</v>
      </c>
      <c r="Q630" t="str" cm="1">
        <f t="array" ref="Q630">IF(K630="",INDEX($K$2:$K$2501,MATCH(MAX(COUNTIF($K$2:$K$2501,$K$2:$K$2501)),COUNTIF($K$2:$K$2501,$K$2:$K$2501),0)),K630)</f>
        <v>B2B</v>
      </c>
    </row>
    <row r="631" spans="1:17" x14ac:dyDescent="0.3">
      <c r="A631">
        <v>1629</v>
      </c>
      <c r="B631" t="s">
        <v>681</v>
      </c>
      <c r="C631" t="s">
        <v>25</v>
      </c>
      <c r="D631" t="s">
        <v>86</v>
      </c>
      <c r="E631">
        <v>2</v>
      </c>
      <c r="F631">
        <v>829.14</v>
      </c>
      <c r="H631" s="3">
        <f t="shared" si="45"/>
        <v>1658.28</v>
      </c>
      <c r="J631" t="s">
        <v>18</v>
      </c>
      <c r="K631" t="s">
        <v>16</v>
      </c>
      <c r="L631" s="2">
        <f t="shared" si="46"/>
        <v>829.14</v>
      </c>
      <c r="M631" s="4">
        <f t="shared" si="47"/>
        <v>0.6</v>
      </c>
      <c r="N631" s="1">
        <f t="shared" si="48"/>
        <v>45782</v>
      </c>
      <c r="O631" s="3">
        <f>(Table13[[#This Row],[Units_Sold]]*Table13[[#This Row],[Unit_Price_Cleaned]]*(1-Table13[[#This Row],[Discount Cleaned]]))</f>
        <v>663.31200000000001</v>
      </c>
      <c r="P631" t="str">
        <f t="shared" si="49"/>
        <v>Profit</v>
      </c>
      <c r="Q631" t="str" cm="1">
        <f t="array" ref="Q631">IF(K631="",INDEX($K$2:$K$2501,MATCH(MAX(COUNTIF($K$2:$K$2501,$K$2:$K$2501)),COUNTIF($K$2:$K$2501,$K$2:$K$2501),0)),K631)</f>
        <v>B2C</v>
      </c>
    </row>
    <row r="632" spans="1:17" x14ac:dyDescent="0.3">
      <c r="A632">
        <v>1630</v>
      </c>
      <c r="B632" t="s">
        <v>682</v>
      </c>
      <c r="C632" t="s">
        <v>13</v>
      </c>
      <c r="D632" t="s">
        <v>102</v>
      </c>
      <c r="E632">
        <v>2</v>
      </c>
      <c r="F632">
        <v>2393.14</v>
      </c>
      <c r="G632">
        <v>1</v>
      </c>
      <c r="H632" s="3">
        <f t="shared" si="45"/>
        <v>4786.28</v>
      </c>
      <c r="I632" s="1">
        <v>45178</v>
      </c>
      <c r="J632" t="s">
        <v>40</v>
      </c>
      <c r="L632" s="2">
        <f t="shared" si="46"/>
        <v>2393.14</v>
      </c>
      <c r="M632" s="4">
        <f t="shared" si="47"/>
        <v>1</v>
      </c>
      <c r="N632" s="1">
        <f t="shared" si="48"/>
        <v>45178</v>
      </c>
      <c r="O632" s="3">
        <f>(Table13[[#This Row],[Units_Sold]]*Table13[[#This Row],[Unit_Price_Cleaned]]*(1-Table13[[#This Row],[Discount Cleaned]]))</f>
        <v>0</v>
      </c>
      <c r="P632" t="str">
        <f t="shared" si="49"/>
        <v>Loss</v>
      </c>
      <c r="Q632" t="str" cm="1">
        <f t="array" ref="Q632">IF(K632="",INDEX($K$2:$K$2501,MATCH(MAX(COUNTIF($K$2:$K$2501,$K$2:$K$2501)),COUNTIF($K$2:$K$2501,$K$2:$K$2501),0)),K632)</f>
        <v>B2B</v>
      </c>
    </row>
    <row r="633" spans="1:17" x14ac:dyDescent="0.3">
      <c r="A633">
        <v>1631</v>
      </c>
      <c r="B633" t="s">
        <v>683</v>
      </c>
      <c r="C633" t="s">
        <v>38</v>
      </c>
      <c r="D633" t="s">
        <v>39</v>
      </c>
      <c r="E633">
        <v>2</v>
      </c>
      <c r="H633" s="3">
        <f t="shared" si="45"/>
        <v>6016.7688888888888</v>
      </c>
      <c r="I633" s="1">
        <v>45821</v>
      </c>
      <c r="J633" t="s">
        <v>56</v>
      </c>
      <c r="K633" t="s">
        <v>16</v>
      </c>
      <c r="L633" s="2">
        <f t="shared" si="46"/>
        <v>3008.3844444444444</v>
      </c>
      <c r="M633" s="4">
        <f t="shared" si="47"/>
        <v>0.6</v>
      </c>
      <c r="N633" s="1">
        <f t="shared" si="48"/>
        <v>45821</v>
      </c>
      <c r="O633" s="3">
        <f>(Table13[[#This Row],[Units_Sold]]*Table13[[#This Row],[Unit_Price_Cleaned]]*(1-Table13[[#This Row],[Discount Cleaned]]))</f>
        <v>2406.7075555555557</v>
      </c>
      <c r="P633" t="str">
        <f t="shared" si="49"/>
        <v>Profit</v>
      </c>
      <c r="Q633" t="str" cm="1">
        <f t="array" ref="Q633">IF(K633="",INDEX($K$2:$K$2501,MATCH(MAX(COUNTIF($K$2:$K$2501,$K$2:$K$2501)),COUNTIF($K$2:$K$2501,$K$2:$K$2501),0)),K633)</f>
        <v>B2C</v>
      </c>
    </row>
    <row r="634" spans="1:17" x14ac:dyDescent="0.3">
      <c r="A634">
        <v>1632</v>
      </c>
      <c r="B634" t="s">
        <v>684</v>
      </c>
      <c r="C634" t="s">
        <v>20</v>
      </c>
      <c r="D634" t="s">
        <v>80</v>
      </c>
      <c r="E634">
        <v>2</v>
      </c>
      <c r="F634">
        <v>2618.69</v>
      </c>
      <c r="G634">
        <v>0.11</v>
      </c>
      <c r="H634" s="3">
        <f t="shared" si="45"/>
        <v>5237.38</v>
      </c>
      <c r="I634" s="1">
        <v>45621</v>
      </c>
      <c r="J634" t="s">
        <v>46</v>
      </c>
      <c r="K634" t="s">
        <v>16</v>
      </c>
      <c r="L634" s="2">
        <f t="shared" si="46"/>
        <v>2618.69</v>
      </c>
      <c r="M634" s="4">
        <f t="shared" si="47"/>
        <v>0.11</v>
      </c>
      <c r="N634" s="1">
        <f t="shared" si="48"/>
        <v>45621</v>
      </c>
      <c r="O634" s="3">
        <f>(Table13[[#This Row],[Units_Sold]]*Table13[[#This Row],[Unit_Price_Cleaned]]*(1-Table13[[#This Row],[Discount Cleaned]]))</f>
        <v>4661.2682000000004</v>
      </c>
      <c r="P634" t="str">
        <f t="shared" si="49"/>
        <v>Profit</v>
      </c>
      <c r="Q634" t="str" cm="1">
        <f t="array" ref="Q634">IF(K634="",INDEX($K$2:$K$2501,MATCH(MAX(COUNTIF($K$2:$K$2501,$K$2:$K$2501)),COUNTIF($K$2:$K$2501,$K$2:$K$2501),0)),K634)</f>
        <v>B2C</v>
      </c>
    </row>
    <row r="635" spans="1:17" x14ac:dyDescent="0.3">
      <c r="A635">
        <v>1633</v>
      </c>
      <c r="B635" t="s">
        <v>685</v>
      </c>
      <c r="C635" t="s">
        <v>20</v>
      </c>
      <c r="D635" t="s">
        <v>80</v>
      </c>
      <c r="E635">
        <v>2</v>
      </c>
      <c r="F635">
        <v>4599.41</v>
      </c>
      <c r="H635" s="3">
        <f t="shared" si="45"/>
        <v>9198.82</v>
      </c>
      <c r="I635" s="1">
        <v>45651</v>
      </c>
      <c r="J635" t="s">
        <v>15</v>
      </c>
      <c r="K635" t="s">
        <v>23</v>
      </c>
      <c r="L635" s="2">
        <f t="shared" si="46"/>
        <v>4599.41</v>
      </c>
      <c r="M635" s="4">
        <f t="shared" si="47"/>
        <v>0.6</v>
      </c>
      <c r="N635" s="1">
        <f t="shared" si="48"/>
        <v>45651</v>
      </c>
      <c r="O635" s="3">
        <f>(Table13[[#This Row],[Units_Sold]]*Table13[[#This Row],[Unit_Price_Cleaned]]*(1-Table13[[#This Row],[Discount Cleaned]]))</f>
        <v>3679.5280000000002</v>
      </c>
      <c r="P635" t="str">
        <f t="shared" si="49"/>
        <v>Profit</v>
      </c>
      <c r="Q635" t="str" cm="1">
        <f t="array" ref="Q635">IF(K635="",INDEX($K$2:$K$2501,MATCH(MAX(COUNTIF($K$2:$K$2501,$K$2:$K$2501)),COUNTIF($K$2:$K$2501,$K$2:$K$2501),0)),K635)</f>
        <v>B2B</v>
      </c>
    </row>
    <row r="636" spans="1:17" x14ac:dyDescent="0.3">
      <c r="A636">
        <v>1634</v>
      </c>
      <c r="B636" t="s">
        <v>686</v>
      </c>
      <c r="C636" t="s">
        <v>20</v>
      </c>
      <c r="D636" t="s">
        <v>21</v>
      </c>
      <c r="E636">
        <v>2</v>
      </c>
      <c r="H636" s="3">
        <f t="shared" si="45"/>
        <v>5362.348727272727</v>
      </c>
      <c r="I636" s="1">
        <v>45748</v>
      </c>
      <c r="J636" t="s">
        <v>18</v>
      </c>
      <c r="K636" t="s">
        <v>23</v>
      </c>
      <c r="L636" s="2">
        <f t="shared" si="46"/>
        <v>2681.1743636363635</v>
      </c>
      <c r="M636" s="4">
        <f t="shared" si="47"/>
        <v>0.6</v>
      </c>
      <c r="N636" s="1">
        <f t="shared" si="48"/>
        <v>45748</v>
      </c>
      <c r="O636" s="3">
        <f>(Table13[[#This Row],[Units_Sold]]*Table13[[#This Row],[Unit_Price_Cleaned]]*(1-Table13[[#This Row],[Discount Cleaned]]))</f>
        <v>2144.9394909090911</v>
      </c>
      <c r="P636" t="str">
        <f t="shared" si="49"/>
        <v>Profit</v>
      </c>
      <c r="Q636" t="str" cm="1">
        <f t="array" ref="Q636">IF(K636="",INDEX($K$2:$K$2501,MATCH(MAX(COUNTIF($K$2:$K$2501,$K$2:$K$2501)),COUNTIF($K$2:$K$2501,$K$2:$K$2501),0)),K636)</f>
        <v>B2B</v>
      </c>
    </row>
    <row r="637" spans="1:17" x14ac:dyDescent="0.3">
      <c r="A637">
        <v>1635</v>
      </c>
      <c r="B637" t="s">
        <v>687</v>
      </c>
      <c r="C637" t="s">
        <v>29</v>
      </c>
      <c r="D637" t="s">
        <v>141</v>
      </c>
      <c r="E637">
        <v>2</v>
      </c>
      <c r="H637" s="3">
        <f t="shared" si="45"/>
        <v>4925.58</v>
      </c>
      <c r="I637" s="1">
        <v>45520</v>
      </c>
      <c r="J637" t="s">
        <v>15</v>
      </c>
      <c r="K637" t="s">
        <v>16</v>
      </c>
      <c r="L637" s="2">
        <f t="shared" si="46"/>
        <v>2462.79</v>
      </c>
      <c r="M637" s="4">
        <f t="shared" si="47"/>
        <v>0.6</v>
      </c>
      <c r="N637" s="1">
        <f t="shared" si="48"/>
        <v>45520</v>
      </c>
      <c r="O637" s="3">
        <f>(Table13[[#This Row],[Units_Sold]]*Table13[[#This Row],[Unit_Price_Cleaned]]*(1-Table13[[#This Row],[Discount Cleaned]]))</f>
        <v>1970.232</v>
      </c>
      <c r="P637" t="str">
        <f t="shared" si="49"/>
        <v>Profit</v>
      </c>
      <c r="Q637" t="str" cm="1">
        <f t="array" ref="Q637">IF(K637="",INDEX($K$2:$K$2501,MATCH(MAX(COUNTIF($K$2:$K$2501,$K$2:$K$2501)),COUNTIF($K$2:$K$2501,$K$2:$K$2501),0)),K637)</f>
        <v>B2C</v>
      </c>
    </row>
    <row r="638" spans="1:17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 s="3">
        <f t="shared" si="45"/>
        <v>-5451.7114285714297</v>
      </c>
      <c r="I638" s="1">
        <v>45817</v>
      </c>
      <c r="J638" t="s">
        <v>46</v>
      </c>
      <c r="K638" t="s">
        <v>16</v>
      </c>
      <c r="L638" s="2">
        <f t="shared" si="46"/>
        <v>2725.8557142857148</v>
      </c>
      <c r="M638" s="4">
        <f t="shared" si="47"/>
        <v>0.6</v>
      </c>
      <c r="N638" s="1">
        <f t="shared" si="48"/>
        <v>45817</v>
      </c>
      <c r="O638" s="3">
        <f>(Table13[[#This Row],[Units_Sold]]*Table13[[#This Row],[Unit_Price_Cleaned]]*(1-Table13[[#This Row],[Discount Cleaned]]))</f>
        <v>-2180.6845714285719</v>
      </c>
      <c r="P638" t="str">
        <f t="shared" si="49"/>
        <v>Loss</v>
      </c>
      <c r="Q638" t="str" cm="1">
        <f t="array" ref="Q638">IF(K638="",INDEX($K$2:$K$2501,MATCH(MAX(COUNTIF($K$2:$K$2501,$K$2:$K$2501)),COUNTIF($K$2:$K$2501,$K$2:$K$2501),0)),K638)</f>
        <v>B2C</v>
      </c>
    </row>
    <row r="639" spans="1:17" x14ac:dyDescent="0.3">
      <c r="A639">
        <v>1637</v>
      </c>
      <c r="B639" t="s">
        <v>689</v>
      </c>
      <c r="C639" t="s">
        <v>25</v>
      </c>
      <c r="D639" t="s">
        <v>66</v>
      </c>
      <c r="E639">
        <v>2</v>
      </c>
      <c r="F639">
        <v>2644.73</v>
      </c>
      <c r="H639" s="3">
        <f t="shared" si="45"/>
        <v>5289.46</v>
      </c>
      <c r="J639" t="s">
        <v>15</v>
      </c>
      <c r="K639" t="s">
        <v>23</v>
      </c>
      <c r="L639" s="2">
        <f t="shared" si="46"/>
        <v>2644.73</v>
      </c>
      <c r="M639" s="4">
        <f t="shared" si="47"/>
        <v>0.6</v>
      </c>
      <c r="N639" s="1">
        <f t="shared" si="48"/>
        <v>45782</v>
      </c>
      <c r="O639" s="3">
        <f>(Table13[[#This Row],[Units_Sold]]*Table13[[#This Row],[Unit_Price_Cleaned]]*(1-Table13[[#This Row],[Discount Cleaned]]))</f>
        <v>2115.7840000000001</v>
      </c>
      <c r="P639" t="str">
        <f t="shared" si="49"/>
        <v>Profit</v>
      </c>
      <c r="Q639" t="str" cm="1">
        <f t="array" ref="Q639">IF(K639="",INDEX($K$2:$K$2501,MATCH(MAX(COUNTIF($K$2:$K$2501,$K$2:$K$2501)),COUNTIF($K$2:$K$2501,$K$2:$K$2501),0)),K639)</f>
        <v>B2B</v>
      </c>
    </row>
    <row r="640" spans="1:17" x14ac:dyDescent="0.3">
      <c r="A640">
        <v>1638</v>
      </c>
      <c r="B640" t="s">
        <v>559</v>
      </c>
      <c r="C640" t="s">
        <v>13</v>
      </c>
      <c r="D640" t="s">
        <v>36</v>
      </c>
      <c r="E640">
        <v>2</v>
      </c>
      <c r="G640">
        <v>0.54</v>
      </c>
      <c r="H640" s="3">
        <f t="shared" si="45"/>
        <v>5765.0093103448271</v>
      </c>
      <c r="I640" s="1">
        <v>45758</v>
      </c>
      <c r="J640" t="s">
        <v>22</v>
      </c>
      <c r="L640" s="2">
        <f t="shared" si="46"/>
        <v>2882.5046551724135</v>
      </c>
      <c r="M640" s="4">
        <f t="shared" si="47"/>
        <v>0.54</v>
      </c>
      <c r="N640" s="1">
        <f t="shared" si="48"/>
        <v>45758</v>
      </c>
      <c r="O640" s="3">
        <f>(Table13[[#This Row],[Units_Sold]]*Table13[[#This Row],[Unit_Price_Cleaned]]*(1-Table13[[#This Row],[Discount Cleaned]]))</f>
        <v>2651.9042827586204</v>
      </c>
      <c r="P640" t="str">
        <f t="shared" si="49"/>
        <v>Profit</v>
      </c>
      <c r="Q640" t="str" cm="1">
        <f t="array" ref="Q640">IF(K640="",INDEX($K$2:$K$2501,MATCH(MAX(COUNTIF($K$2:$K$2501,$K$2:$K$2501)),COUNTIF($K$2:$K$2501,$K$2:$K$2501),0)),K640)</f>
        <v>B2B</v>
      </c>
    </row>
    <row r="641" spans="1:17" x14ac:dyDescent="0.3">
      <c r="A641">
        <v>1639</v>
      </c>
      <c r="B641" t="s">
        <v>690</v>
      </c>
      <c r="C641" t="s">
        <v>13</v>
      </c>
      <c r="D641" t="s">
        <v>36</v>
      </c>
      <c r="E641">
        <v>2</v>
      </c>
      <c r="F641">
        <v>4183.22</v>
      </c>
      <c r="H641" s="3">
        <f t="shared" si="45"/>
        <v>8366.44</v>
      </c>
      <c r="I641" s="1">
        <v>45840</v>
      </c>
      <c r="J641" t="s">
        <v>40</v>
      </c>
      <c r="L641" s="2">
        <f t="shared" si="46"/>
        <v>4183.22</v>
      </c>
      <c r="M641" s="4">
        <f t="shared" si="47"/>
        <v>0.6</v>
      </c>
      <c r="N641" s="1">
        <f t="shared" si="48"/>
        <v>45840</v>
      </c>
      <c r="O641" s="3">
        <f>(Table13[[#This Row],[Units_Sold]]*Table13[[#This Row],[Unit_Price_Cleaned]]*(1-Table13[[#This Row],[Discount Cleaned]]))</f>
        <v>3346.5760000000005</v>
      </c>
      <c r="P641" t="str">
        <f t="shared" si="49"/>
        <v>Profit</v>
      </c>
      <c r="Q641" t="str" cm="1">
        <f t="array" ref="Q641">IF(K641="",INDEX($K$2:$K$2501,MATCH(MAX(COUNTIF($K$2:$K$2501,$K$2:$K$2501)),COUNTIF($K$2:$K$2501,$K$2:$K$2501),0)),K641)</f>
        <v>B2B</v>
      </c>
    </row>
    <row r="642" spans="1:17" x14ac:dyDescent="0.3">
      <c r="A642">
        <v>1640</v>
      </c>
      <c r="B642" t="s">
        <v>691</v>
      </c>
      <c r="C642" t="s">
        <v>29</v>
      </c>
      <c r="D642" t="s">
        <v>30</v>
      </c>
      <c r="E642">
        <v>2</v>
      </c>
      <c r="H642" s="3">
        <f t="shared" ref="H642:H705" si="50">(L642*E642)</f>
        <v>5235.2780769230776</v>
      </c>
      <c r="I642" s="1">
        <v>45629</v>
      </c>
      <c r="J642" t="s">
        <v>46</v>
      </c>
      <c r="K642" t="s">
        <v>16</v>
      </c>
      <c r="L642" s="2">
        <f t="shared" ref="L642:L705" si="51">IF(F642="",AVERAGEIF($D$2:$D$2501,D642,$F$2:$F$2501),F642)</f>
        <v>2617.6390384615388</v>
      </c>
      <c r="M642" s="4">
        <f t="shared" ref="M642:M705" si="52">IF(G642="",MEDIAN($G$2,$G$2501),G642)</f>
        <v>0.6</v>
      </c>
      <c r="N642" s="1">
        <f t="shared" ref="N642:N705" si="53">IF(I642="",MODE($I$32:$I$2501),I642)</f>
        <v>45629</v>
      </c>
      <c r="O642" s="3">
        <f>(Table13[[#This Row],[Units_Sold]]*Table13[[#This Row],[Unit_Price_Cleaned]]*(1-Table13[[#This Row],[Discount Cleaned]]))</f>
        <v>2094.111230769231</v>
      </c>
      <c r="P642" t="str">
        <f t="shared" ref="P642:P705" si="54">IF(O642&gt;500,"Profit","Loss")</f>
        <v>Profit</v>
      </c>
      <c r="Q642" t="str" cm="1">
        <f t="array" ref="Q642">IF(K642="",INDEX($K$2:$K$2501,MATCH(MAX(COUNTIF($K$2:$K$2501,$K$2:$K$2501)),COUNTIF($K$2:$K$2501,$K$2:$K$2501),0)),K642)</f>
        <v>B2C</v>
      </c>
    </row>
    <row r="643" spans="1:17" x14ac:dyDescent="0.3">
      <c r="A643">
        <v>1641</v>
      </c>
      <c r="B643" t="s">
        <v>692</v>
      </c>
      <c r="C643" t="s">
        <v>29</v>
      </c>
      <c r="D643" t="s">
        <v>141</v>
      </c>
      <c r="E643">
        <v>2</v>
      </c>
      <c r="F643">
        <v>1278.98</v>
      </c>
      <c r="G643">
        <v>0.54</v>
      </c>
      <c r="H643" s="3">
        <f t="shared" si="50"/>
        <v>2557.96</v>
      </c>
      <c r="I643" s="1">
        <v>45830</v>
      </c>
      <c r="J643" t="s">
        <v>18</v>
      </c>
      <c r="K643" t="s">
        <v>16</v>
      </c>
      <c r="L643" s="2">
        <f t="shared" si="51"/>
        <v>1278.98</v>
      </c>
      <c r="M643" s="4">
        <f t="shared" si="52"/>
        <v>0.54</v>
      </c>
      <c r="N643" s="1">
        <f t="shared" si="53"/>
        <v>45830</v>
      </c>
      <c r="O643" s="3">
        <f>(Table13[[#This Row],[Units_Sold]]*Table13[[#This Row],[Unit_Price_Cleaned]]*(1-Table13[[#This Row],[Discount Cleaned]]))</f>
        <v>1176.6615999999999</v>
      </c>
      <c r="P643" t="str">
        <f t="shared" si="54"/>
        <v>Profit</v>
      </c>
      <c r="Q643" t="str" cm="1">
        <f t="array" ref="Q643">IF(K643="",INDEX($K$2:$K$2501,MATCH(MAX(COUNTIF($K$2:$K$2501,$K$2:$K$2501)),COUNTIF($K$2:$K$2501,$K$2:$K$2501),0)),K643)</f>
        <v>B2C</v>
      </c>
    </row>
    <row r="644" spans="1:17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 s="3">
        <f t="shared" si="50"/>
        <v>8177.5671428571441</v>
      </c>
      <c r="I644" s="1">
        <v>45545</v>
      </c>
      <c r="J644" t="s">
        <v>56</v>
      </c>
      <c r="K644" t="s">
        <v>16</v>
      </c>
      <c r="L644" s="2">
        <f t="shared" si="51"/>
        <v>2725.8557142857148</v>
      </c>
      <c r="M644" s="4">
        <f t="shared" si="52"/>
        <v>0.6</v>
      </c>
      <c r="N644" s="1">
        <f t="shared" si="53"/>
        <v>45545</v>
      </c>
      <c r="O644" s="3">
        <f>(Table13[[#This Row],[Units_Sold]]*Table13[[#This Row],[Unit_Price_Cleaned]]*(1-Table13[[#This Row],[Discount Cleaned]]))</f>
        <v>3271.0268571428578</v>
      </c>
      <c r="P644" t="str">
        <f t="shared" si="54"/>
        <v>Profit</v>
      </c>
      <c r="Q644" t="str" cm="1">
        <f t="array" ref="Q644">IF(K644="",INDEX($K$2:$K$2501,MATCH(MAX(COUNTIF($K$2:$K$2501,$K$2:$K$2501)),COUNTIF($K$2:$K$2501,$K$2:$K$2501),0)),K644)</f>
        <v>B2C</v>
      </c>
    </row>
    <row r="645" spans="1:17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 s="3">
        <f t="shared" si="50"/>
        <v>-2501.5309999999999</v>
      </c>
      <c r="I645" s="1">
        <v>45559</v>
      </c>
      <c r="J645" t="s">
        <v>40</v>
      </c>
      <c r="K645" t="s">
        <v>23</v>
      </c>
      <c r="L645" s="2">
        <f t="shared" si="51"/>
        <v>2501.5309999999999</v>
      </c>
      <c r="M645" s="4">
        <f t="shared" si="52"/>
        <v>0.35</v>
      </c>
      <c r="N645" s="1">
        <f t="shared" si="53"/>
        <v>45559</v>
      </c>
      <c r="O645" s="3">
        <f>(Table13[[#This Row],[Units_Sold]]*Table13[[#This Row],[Unit_Price_Cleaned]]*(1-Table13[[#This Row],[Discount Cleaned]]))</f>
        <v>-1625.99515</v>
      </c>
      <c r="P645" t="str">
        <f t="shared" si="54"/>
        <v>Loss</v>
      </c>
      <c r="Q645" t="str" cm="1">
        <f t="array" ref="Q645">IF(K645="",INDEX($K$2:$K$2501,MATCH(MAX(COUNTIF($K$2:$K$2501,$K$2:$K$2501)),COUNTIF($K$2:$K$2501,$K$2:$K$2501),0)),K645)</f>
        <v>B2B</v>
      </c>
    </row>
    <row r="646" spans="1:17" x14ac:dyDescent="0.3">
      <c r="A646">
        <v>1644</v>
      </c>
      <c r="B646" t="s">
        <v>695</v>
      </c>
      <c r="C646" t="s">
        <v>38</v>
      </c>
      <c r="D646" t="s">
        <v>63</v>
      </c>
      <c r="E646">
        <v>2</v>
      </c>
      <c r="H646" s="3">
        <f t="shared" si="50"/>
        <v>5690.4839344262318</v>
      </c>
      <c r="J646" t="s">
        <v>56</v>
      </c>
      <c r="K646" t="s">
        <v>16</v>
      </c>
      <c r="L646" s="2">
        <f t="shared" si="51"/>
        <v>2845.2419672131159</v>
      </c>
      <c r="M646" s="4">
        <f t="shared" si="52"/>
        <v>0.6</v>
      </c>
      <c r="N646" s="1">
        <f t="shared" si="53"/>
        <v>45782</v>
      </c>
      <c r="O646" s="3">
        <f>(Table13[[#This Row],[Units_Sold]]*Table13[[#This Row],[Unit_Price_Cleaned]]*(1-Table13[[#This Row],[Discount Cleaned]]))</f>
        <v>2276.193573770493</v>
      </c>
      <c r="P646" t="str">
        <f t="shared" si="54"/>
        <v>Profit</v>
      </c>
      <c r="Q646" t="str" cm="1">
        <f t="array" ref="Q646">IF(K646="",INDEX($K$2:$K$2501,MATCH(MAX(COUNTIF($K$2:$K$2501,$K$2:$K$2501)),COUNTIF($K$2:$K$2501,$K$2:$K$2501),0)),K646)</f>
        <v>B2C</v>
      </c>
    </row>
    <row r="647" spans="1:17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 s="3">
        <f t="shared" si="50"/>
        <v>-5320.9</v>
      </c>
      <c r="I647" s="1">
        <v>45207</v>
      </c>
      <c r="J647" t="s">
        <v>40</v>
      </c>
      <c r="K647" t="s">
        <v>23</v>
      </c>
      <c r="L647" s="2">
        <f t="shared" si="51"/>
        <v>2660.45</v>
      </c>
      <c r="M647" s="4">
        <f t="shared" si="52"/>
        <v>0.22</v>
      </c>
      <c r="N647" s="1">
        <f t="shared" si="53"/>
        <v>45207</v>
      </c>
      <c r="O647" s="3">
        <f>(Table13[[#This Row],[Units_Sold]]*Table13[[#This Row],[Unit_Price_Cleaned]]*(1-Table13[[#This Row],[Discount Cleaned]]))</f>
        <v>-4150.3019999999997</v>
      </c>
      <c r="P647" t="str">
        <f t="shared" si="54"/>
        <v>Loss</v>
      </c>
      <c r="Q647" t="str" cm="1">
        <f t="array" ref="Q647">IF(K647="",INDEX($K$2:$K$2501,MATCH(MAX(COUNTIF($K$2:$K$2501,$K$2:$K$2501)),COUNTIF($K$2:$K$2501,$K$2:$K$2501),0)),K647)</f>
        <v>B2B</v>
      </c>
    </row>
    <row r="648" spans="1:17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 s="3">
        <f t="shared" si="50"/>
        <v>0</v>
      </c>
      <c r="I648" s="1">
        <v>45695</v>
      </c>
      <c r="J648" t="s">
        <v>18</v>
      </c>
      <c r="L648" s="2">
        <f t="shared" si="51"/>
        <v>3393.47</v>
      </c>
      <c r="M648" s="4">
        <f t="shared" si="52"/>
        <v>0.38</v>
      </c>
      <c r="N648" s="1">
        <f t="shared" si="53"/>
        <v>45695</v>
      </c>
      <c r="O648" s="3">
        <f>(Table13[[#This Row],[Units_Sold]]*Table13[[#This Row],[Unit_Price_Cleaned]]*(1-Table13[[#This Row],[Discount Cleaned]]))</f>
        <v>0</v>
      </c>
      <c r="P648" t="str">
        <f t="shared" si="54"/>
        <v>Loss</v>
      </c>
      <c r="Q648" t="str" cm="1">
        <f t="array" ref="Q648">IF(K648="",INDEX($K$2:$K$2501,MATCH(MAX(COUNTIF($K$2:$K$2501,$K$2:$K$2501)),COUNTIF($K$2:$K$2501,$K$2:$K$2501),0)),K648)</f>
        <v>B2B</v>
      </c>
    </row>
    <row r="649" spans="1:17" x14ac:dyDescent="0.3">
      <c r="A649">
        <v>1647</v>
      </c>
      <c r="B649" t="s">
        <v>698</v>
      </c>
      <c r="C649" t="s">
        <v>25</v>
      </c>
      <c r="D649" t="s">
        <v>86</v>
      </c>
      <c r="E649">
        <v>2</v>
      </c>
      <c r="F649">
        <v>498.95</v>
      </c>
      <c r="G649">
        <v>1.19</v>
      </c>
      <c r="H649" s="3">
        <f t="shared" si="50"/>
        <v>997.9</v>
      </c>
      <c r="I649" s="1">
        <v>45837</v>
      </c>
      <c r="J649" t="s">
        <v>22</v>
      </c>
      <c r="K649" t="s">
        <v>16</v>
      </c>
      <c r="L649" s="2">
        <f t="shared" si="51"/>
        <v>498.95</v>
      </c>
      <c r="M649" s="4">
        <f t="shared" si="52"/>
        <v>1.19</v>
      </c>
      <c r="N649" s="1">
        <f t="shared" si="53"/>
        <v>45837</v>
      </c>
      <c r="O649" s="3">
        <f>(Table13[[#This Row],[Units_Sold]]*Table13[[#This Row],[Unit_Price_Cleaned]]*(1-Table13[[#This Row],[Discount Cleaned]]))</f>
        <v>-189.60099999999994</v>
      </c>
      <c r="P649" t="str">
        <f t="shared" si="54"/>
        <v>Loss</v>
      </c>
      <c r="Q649" t="str" cm="1">
        <f t="array" ref="Q649">IF(K649="",INDEX($K$2:$K$2501,MATCH(MAX(COUNTIF($K$2:$K$2501,$K$2:$K$2501)),COUNTIF($K$2:$K$2501,$K$2:$K$2501),0)),K649)</f>
        <v>B2C</v>
      </c>
    </row>
    <row r="650" spans="1:17" x14ac:dyDescent="0.3">
      <c r="A650">
        <v>1648</v>
      </c>
      <c r="B650" t="s">
        <v>699</v>
      </c>
      <c r="C650" t="s">
        <v>20</v>
      </c>
      <c r="D650" t="s">
        <v>80</v>
      </c>
      <c r="E650">
        <v>2</v>
      </c>
      <c r="H650" s="3">
        <f t="shared" si="50"/>
        <v>4967.1688000000004</v>
      </c>
      <c r="I650" s="1">
        <v>45746</v>
      </c>
      <c r="J650" t="s">
        <v>22</v>
      </c>
      <c r="K650" t="s">
        <v>23</v>
      </c>
      <c r="L650" s="2">
        <f t="shared" si="51"/>
        <v>2483.5844000000002</v>
      </c>
      <c r="M650" s="4">
        <f t="shared" si="52"/>
        <v>0.6</v>
      </c>
      <c r="N650" s="1">
        <f t="shared" si="53"/>
        <v>45746</v>
      </c>
      <c r="O650" s="3">
        <f>(Table13[[#This Row],[Units_Sold]]*Table13[[#This Row],[Unit_Price_Cleaned]]*(1-Table13[[#This Row],[Discount Cleaned]]))</f>
        <v>1986.8675200000002</v>
      </c>
      <c r="P650" t="str">
        <f t="shared" si="54"/>
        <v>Profit</v>
      </c>
      <c r="Q650" t="str" cm="1">
        <f t="array" ref="Q650">IF(K650="",INDEX($K$2:$K$2501,MATCH(MAX(COUNTIF($K$2:$K$2501,$K$2:$K$2501)),COUNTIF($K$2:$K$2501,$K$2:$K$2501),0)),K650)</f>
        <v>B2B</v>
      </c>
    </row>
    <row r="651" spans="1:17" x14ac:dyDescent="0.3">
      <c r="A651">
        <v>1649</v>
      </c>
      <c r="B651" t="s">
        <v>700</v>
      </c>
      <c r="C651" t="s">
        <v>25</v>
      </c>
      <c r="D651" t="s">
        <v>86</v>
      </c>
      <c r="E651">
        <v>2</v>
      </c>
      <c r="G651">
        <v>0.06</v>
      </c>
      <c r="H651" s="3">
        <f t="shared" si="50"/>
        <v>5003.0619999999999</v>
      </c>
      <c r="I651" s="1">
        <v>45666</v>
      </c>
      <c r="J651" t="s">
        <v>56</v>
      </c>
      <c r="K651" t="s">
        <v>23</v>
      </c>
      <c r="L651" s="2">
        <f t="shared" si="51"/>
        <v>2501.5309999999999</v>
      </c>
      <c r="M651" s="4">
        <f t="shared" si="52"/>
        <v>0.06</v>
      </c>
      <c r="N651" s="1">
        <f t="shared" si="53"/>
        <v>45666</v>
      </c>
      <c r="O651" s="3">
        <f>(Table13[[#This Row],[Units_Sold]]*Table13[[#This Row],[Unit_Price_Cleaned]]*(1-Table13[[#This Row],[Discount Cleaned]]))</f>
        <v>4702.8782799999999</v>
      </c>
      <c r="P651" t="str">
        <f t="shared" si="54"/>
        <v>Profit</v>
      </c>
      <c r="Q651" t="str" cm="1">
        <f t="array" ref="Q651">IF(K651="",INDEX($K$2:$K$2501,MATCH(MAX(COUNTIF($K$2:$K$2501,$K$2:$K$2501)),COUNTIF($K$2:$K$2501,$K$2:$K$2501),0)),K651)</f>
        <v>B2B</v>
      </c>
    </row>
    <row r="652" spans="1:17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 s="3">
        <f t="shared" si="50"/>
        <v>5690.4839344262318</v>
      </c>
      <c r="I652" s="1">
        <v>45617</v>
      </c>
      <c r="J652" t="s">
        <v>22</v>
      </c>
      <c r="L652" s="2">
        <f t="shared" si="51"/>
        <v>2845.2419672131159</v>
      </c>
      <c r="M652" s="4">
        <f t="shared" si="52"/>
        <v>0.96</v>
      </c>
      <c r="N652" s="1">
        <f t="shared" si="53"/>
        <v>45617</v>
      </c>
      <c r="O652" s="3">
        <f>(Table13[[#This Row],[Units_Sold]]*Table13[[#This Row],[Unit_Price_Cleaned]]*(1-Table13[[#This Row],[Discount Cleaned]]))</f>
        <v>227.61935737704948</v>
      </c>
      <c r="P652" t="str">
        <f t="shared" si="54"/>
        <v>Loss</v>
      </c>
      <c r="Q652" t="str" cm="1">
        <f t="array" ref="Q652">IF(K652="",INDEX($K$2:$K$2501,MATCH(MAX(COUNTIF($K$2:$K$2501,$K$2:$K$2501)),COUNTIF($K$2:$K$2501,$K$2:$K$2501),0)),K652)</f>
        <v>B2B</v>
      </c>
    </row>
    <row r="653" spans="1:17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 s="3">
        <f t="shared" si="50"/>
        <v>7591.1509615384639</v>
      </c>
      <c r="J653" t="s">
        <v>22</v>
      </c>
      <c r="L653" s="2">
        <f t="shared" si="51"/>
        <v>2530.3836538461546</v>
      </c>
      <c r="M653" s="4">
        <f t="shared" si="52"/>
        <v>0.05</v>
      </c>
      <c r="N653" s="1">
        <f t="shared" si="53"/>
        <v>45782</v>
      </c>
      <c r="O653" s="3">
        <f>(Table13[[#This Row],[Units_Sold]]*Table13[[#This Row],[Unit_Price_Cleaned]]*(1-Table13[[#This Row],[Discount Cleaned]]))</f>
        <v>7211.59341346154</v>
      </c>
      <c r="P653" t="str">
        <f t="shared" si="54"/>
        <v>Profit</v>
      </c>
      <c r="Q653" t="str" cm="1">
        <f t="array" ref="Q653">IF(K653="",INDEX($K$2:$K$2501,MATCH(MAX(COUNTIF($K$2:$K$2501,$K$2:$K$2501)),COUNTIF($K$2:$K$2501,$K$2:$K$2501),0)),K653)</f>
        <v>B2B</v>
      </c>
    </row>
    <row r="654" spans="1:17" x14ac:dyDescent="0.3">
      <c r="A654">
        <v>1652</v>
      </c>
      <c r="B654" t="s">
        <v>703</v>
      </c>
      <c r="C654" t="s">
        <v>38</v>
      </c>
      <c r="D654" t="s">
        <v>59</v>
      </c>
      <c r="E654">
        <v>2</v>
      </c>
      <c r="F654">
        <v>2375.56</v>
      </c>
      <c r="G654">
        <v>0.59</v>
      </c>
      <c r="H654" s="3">
        <f t="shared" si="50"/>
        <v>4751.12</v>
      </c>
      <c r="J654" t="s">
        <v>56</v>
      </c>
      <c r="L654" s="2">
        <f t="shared" si="51"/>
        <v>2375.56</v>
      </c>
      <c r="M654" s="4">
        <f t="shared" si="52"/>
        <v>0.59</v>
      </c>
      <c r="N654" s="1">
        <f t="shared" si="53"/>
        <v>45782</v>
      </c>
      <c r="O654" s="3">
        <f>(Table13[[#This Row],[Units_Sold]]*Table13[[#This Row],[Unit_Price_Cleaned]]*(1-Table13[[#This Row],[Discount Cleaned]]))</f>
        <v>1947.9592</v>
      </c>
      <c r="P654" t="str">
        <f t="shared" si="54"/>
        <v>Profit</v>
      </c>
      <c r="Q654" t="str" cm="1">
        <f t="array" ref="Q654">IF(K654="",INDEX($K$2:$K$2501,MATCH(MAX(COUNTIF($K$2:$K$2501,$K$2:$K$2501)),COUNTIF($K$2:$K$2501,$K$2:$K$2501),0)),K654)</f>
        <v>B2B</v>
      </c>
    </row>
    <row r="655" spans="1:17" x14ac:dyDescent="0.3">
      <c r="A655">
        <v>1653</v>
      </c>
      <c r="B655" t="s">
        <v>704</v>
      </c>
      <c r="C655" t="s">
        <v>20</v>
      </c>
      <c r="D655" t="s">
        <v>88</v>
      </c>
      <c r="E655">
        <v>2</v>
      </c>
      <c r="F655">
        <v>2563.6</v>
      </c>
      <c r="G655">
        <v>0.88</v>
      </c>
      <c r="H655" s="3">
        <f t="shared" si="50"/>
        <v>5127.2</v>
      </c>
      <c r="I655" s="1">
        <v>45822</v>
      </c>
      <c r="J655" t="s">
        <v>22</v>
      </c>
      <c r="K655" t="s">
        <v>23</v>
      </c>
      <c r="L655" s="2">
        <f t="shared" si="51"/>
        <v>2563.6</v>
      </c>
      <c r="M655" s="4">
        <f t="shared" si="52"/>
        <v>0.88</v>
      </c>
      <c r="N655" s="1">
        <f t="shared" si="53"/>
        <v>45822</v>
      </c>
      <c r="O655" s="3">
        <f>(Table13[[#This Row],[Units_Sold]]*Table13[[#This Row],[Unit_Price_Cleaned]]*(1-Table13[[#This Row],[Discount Cleaned]]))</f>
        <v>615.26400000000001</v>
      </c>
      <c r="P655" t="str">
        <f t="shared" si="54"/>
        <v>Profit</v>
      </c>
      <c r="Q655" t="str" cm="1">
        <f t="array" ref="Q655">IF(K655="",INDEX($K$2:$K$2501,MATCH(MAX(COUNTIF($K$2:$K$2501,$K$2:$K$2501)),COUNTIF($K$2:$K$2501,$K$2:$K$2501),0)),K655)</f>
        <v>B2B</v>
      </c>
    </row>
    <row r="656" spans="1:17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 s="3">
        <f t="shared" si="50"/>
        <v>2462.79</v>
      </c>
      <c r="I656" s="1">
        <v>45523</v>
      </c>
      <c r="J656" t="s">
        <v>18</v>
      </c>
      <c r="K656" t="s">
        <v>23</v>
      </c>
      <c r="L656" s="2">
        <f t="shared" si="51"/>
        <v>2462.79</v>
      </c>
      <c r="M656" s="4">
        <f t="shared" si="52"/>
        <v>0.6</v>
      </c>
      <c r="N656" s="1">
        <f t="shared" si="53"/>
        <v>45523</v>
      </c>
      <c r="O656" s="3">
        <f>(Table13[[#This Row],[Units_Sold]]*Table13[[#This Row],[Unit_Price_Cleaned]]*(1-Table13[[#This Row],[Discount Cleaned]]))</f>
        <v>985.11599999999999</v>
      </c>
      <c r="P656" t="str">
        <f t="shared" si="54"/>
        <v>Profit</v>
      </c>
      <c r="Q656" t="str" cm="1">
        <f t="array" ref="Q656">IF(K656="",INDEX($K$2:$K$2501,MATCH(MAX(COUNTIF($K$2:$K$2501,$K$2:$K$2501)),COUNTIF($K$2:$K$2501,$K$2:$K$2501),0)),K656)</f>
        <v>B2B</v>
      </c>
    </row>
    <row r="657" spans="1:17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 s="3">
        <f t="shared" si="50"/>
        <v>6929.2999999999993</v>
      </c>
      <c r="I657" s="1">
        <v>45809</v>
      </c>
      <c r="J657" t="s">
        <v>22</v>
      </c>
      <c r="K657" t="s">
        <v>16</v>
      </c>
      <c r="L657" s="2">
        <f t="shared" si="51"/>
        <v>1385.86</v>
      </c>
      <c r="M657" s="4">
        <f t="shared" si="52"/>
        <v>0.71</v>
      </c>
      <c r="N657" s="1">
        <f t="shared" si="53"/>
        <v>45809</v>
      </c>
      <c r="O657" s="3">
        <f>(Table13[[#This Row],[Units_Sold]]*Table13[[#This Row],[Unit_Price_Cleaned]]*(1-Table13[[#This Row],[Discount Cleaned]]))</f>
        <v>2009.4970000000001</v>
      </c>
      <c r="P657" t="str">
        <f t="shared" si="54"/>
        <v>Profit</v>
      </c>
      <c r="Q657" t="str" cm="1">
        <f t="array" ref="Q657">IF(K657="",INDEX($K$2:$K$2501,MATCH(MAX(COUNTIF($K$2:$K$2501,$K$2:$K$2501)),COUNTIF($K$2:$K$2501,$K$2:$K$2501),0)),K657)</f>
        <v>B2C</v>
      </c>
    </row>
    <row r="658" spans="1:17" x14ac:dyDescent="0.3">
      <c r="A658">
        <v>1656</v>
      </c>
      <c r="B658" t="s">
        <v>707</v>
      </c>
      <c r="C658" t="s">
        <v>25</v>
      </c>
      <c r="D658" t="s">
        <v>66</v>
      </c>
      <c r="E658">
        <v>2</v>
      </c>
      <c r="H658" s="3">
        <f t="shared" si="50"/>
        <v>5145.5528000000013</v>
      </c>
      <c r="I658" s="1">
        <v>45647</v>
      </c>
      <c r="J658" t="s">
        <v>15</v>
      </c>
      <c r="L658" s="2">
        <f t="shared" si="51"/>
        <v>2572.7764000000006</v>
      </c>
      <c r="M658" s="4">
        <f t="shared" si="52"/>
        <v>0.6</v>
      </c>
      <c r="N658" s="1">
        <f t="shared" si="53"/>
        <v>45647</v>
      </c>
      <c r="O658" s="3">
        <f>(Table13[[#This Row],[Units_Sold]]*Table13[[#This Row],[Unit_Price_Cleaned]]*(1-Table13[[#This Row],[Discount Cleaned]]))</f>
        <v>2058.2211200000006</v>
      </c>
      <c r="P658" t="str">
        <f t="shared" si="54"/>
        <v>Profit</v>
      </c>
      <c r="Q658" t="str" cm="1">
        <f t="array" ref="Q658">IF(K658="",INDEX($K$2:$K$2501,MATCH(MAX(COUNTIF($K$2:$K$2501,$K$2:$K$2501)),COUNTIF($K$2:$K$2501,$K$2:$K$2501),0)),K658)</f>
        <v>B2B</v>
      </c>
    </row>
    <row r="659" spans="1:17" x14ac:dyDescent="0.3">
      <c r="A659">
        <v>1657</v>
      </c>
      <c r="B659" t="s">
        <v>708</v>
      </c>
      <c r="C659" t="s">
        <v>13</v>
      </c>
      <c r="D659" t="s">
        <v>102</v>
      </c>
      <c r="E659">
        <v>2</v>
      </c>
      <c r="H659" s="3">
        <f t="shared" si="50"/>
        <v>5152.6113793103432</v>
      </c>
      <c r="I659" s="1">
        <v>45520</v>
      </c>
      <c r="J659" t="s">
        <v>40</v>
      </c>
      <c r="K659" t="s">
        <v>23</v>
      </c>
      <c r="L659" s="2">
        <f t="shared" si="51"/>
        <v>2576.3056896551716</v>
      </c>
      <c r="M659" s="4">
        <f t="shared" si="52"/>
        <v>0.6</v>
      </c>
      <c r="N659" s="1">
        <f t="shared" si="53"/>
        <v>45520</v>
      </c>
      <c r="O659" s="3">
        <f>(Table13[[#This Row],[Units_Sold]]*Table13[[#This Row],[Unit_Price_Cleaned]]*(1-Table13[[#This Row],[Discount Cleaned]]))</f>
        <v>2061.0445517241374</v>
      </c>
      <c r="P659" t="str">
        <f t="shared" si="54"/>
        <v>Profit</v>
      </c>
      <c r="Q659" t="str" cm="1">
        <f t="array" ref="Q659">IF(K659="",INDEX($K$2:$K$2501,MATCH(MAX(COUNTIF($K$2:$K$2501,$K$2:$K$2501)),COUNTIF($K$2:$K$2501,$K$2:$K$2501),0)),K659)</f>
        <v>B2B</v>
      </c>
    </row>
    <row r="660" spans="1:17" x14ac:dyDescent="0.3">
      <c r="A660">
        <v>1658</v>
      </c>
      <c r="B660" t="s">
        <v>709</v>
      </c>
      <c r="C660" t="s">
        <v>20</v>
      </c>
      <c r="D660" t="s">
        <v>21</v>
      </c>
      <c r="E660">
        <v>2</v>
      </c>
      <c r="H660" s="3">
        <f t="shared" si="50"/>
        <v>5362.348727272727</v>
      </c>
      <c r="I660" s="1">
        <v>45750</v>
      </c>
      <c r="J660" t="s">
        <v>40</v>
      </c>
      <c r="L660" s="2">
        <f t="shared" si="51"/>
        <v>2681.1743636363635</v>
      </c>
      <c r="M660" s="4">
        <f t="shared" si="52"/>
        <v>0.6</v>
      </c>
      <c r="N660" s="1">
        <f t="shared" si="53"/>
        <v>45750</v>
      </c>
      <c r="O660" s="3">
        <f>(Table13[[#This Row],[Units_Sold]]*Table13[[#This Row],[Unit_Price_Cleaned]]*(1-Table13[[#This Row],[Discount Cleaned]]))</f>
        <v>2144.9394909090911</v>
      </c>
      <c r="P660" t="str">
        <f t="shared" si="54"/>
        <v>Profit</v>
      </c>
      <c r="Q660" t="str" cm="1">
        <f t="array" ref="Q660">IF(K660="",INDEX($K$2:$K$2501,MATCH(MAX(COUNTIF($K$2:$K$2501,$K$2:$K$2501)),COUNTIF($K$2:$K$2501,$K$2:$K$2501),0)),K660)</f>
        <v>B2B</v>
      </c>
    </row>
    <row r="661" spans="1:17" x14ac:dyDescent="0.3">
      <c r="A661">
        <v>1659</v>
      </c>
      <c r="B661" t="s">
        <v>710</v>
      </c>
      <c r="C661" t="s">
        <v>25</v>
      </c>
      <c r="D661" t="s">
        <v>54</v>
      </c>
      <c r="E661">
        <v>2</v>
      </c>
      <c r="F661">
        <v>1014.86</v>
      </c>
      <c r="G661">
        <v>0.31</v>
      </c>
      <c r="H661" s="3">
        <f t="shared" si="50"/>
        <v>2029.72</v>
      </c>
      <c r="J661" t="s">
        <v>46</v>
      </c>
      <c r="K661" t="s">
        <v>16</v>
      </c>
      <c r="L661" s="2">
        <f t="shared" si="51"/>
        <v>1014.86</v>
      </c>
      <c r="M661" s="4">
        <f t="shared" si="52"/>
        <v>0.31</v>
      </c>
      <c r="N661" s="1">
        <f t="shared" si="53"/>
        <v>45782</v>
      </c>
      <c r="O661" s="3">
        <f>(Table13[[#This Row],[Units_Sold]]*Table13[[#This Row],[Unit_Price_Cleaned]]*(1-Table13[[#This Row],[Discount Cleaned]]))</f>
        <v>1400.5067999999999</v>
      </c>
      <c r="P661" t="str">
        <f t="shared" si="54"/>
        <v>Profit</v>
      </c>
      <c r="Q661" t="str" cm="1">
        <f t="array" ref="Q661">IF(K661="",INDEX($K$2:$K$2501,MATCH(MAX(COUNTIF($K$2:$K$2501,$K$2:$K$2501)),COUNTIF($K$2:$K$2501,$K$2:$K$2501),0)),K661)</f>
        <v>B2C</v>
      </c>
    </row>
    <row r="662" spans="1:17" x14ac:dyDescent="0.3">
      <c r="A662">
        <v>1660</v>
      </c>
      <c r="B662" t="s">
        <v>711</v>
      </c>
      <c r="C662" t="s">
        <v>13</v>
      </c>
      <c r="D662" t="s">
        <v>14</v>
      </c>
      <c r="E662">
        <v>2</v>
      </c>
      <c r="G662">
        <v>1.1000000000000001</v>
      </c>
      <c r="H662" s="3">
        <f t="shared" si="50"/>
        <v>4762.5355172413792</v>
      </c>
      <c r="I662" s="1">
        <v>45737</v>
      </c>
      <c r="J662" t="s">
        <v>22</v>
      </c>
      <c r="K662" t="s">
        <v>23</v>
      </c>
      <c r="L662" s="2">
        <f t="shared" si="51"/>
        <v>2381.2677586206896</v>
      </c>
      <c r="M662" s="4">
        <f t="shared" si="52"/>
        <v>1.1000000000000001</v>
      </c>
      <c r="N662" s="1">
        <f t="shared" si="53"/>
        <v>45737</v>
      </c>
      <c r="O662" s="3">
        <f>(Table13[[#This Row],[Units_Sold]]*Table13[[#This Row],[Unit_Price_Cleaned]]*(1-Table13[[#This Row],[Discount Cleaned]]))</f>
        <v>-476.25355172413833</v>
      </c>
      <c r="P662" t="str">
        <f t="shared" si="54"/>
        <v>Loss</v>
      </c>
      <c r="Q662" t="str" cm="1">
        <f t="array" ref="Q662">IF(K662="",INDEX($K$2:$K$2501,MATCH(MAX(COUNTIF($K$2:$K$2501,$K$2:$K$2501)),COUNTIF($K$2:$K$2501,$K$2:$K$2501),0)),K662)</f>
        <v>B2B</v>
      </c>
    </row>
    <row r="663" spans="1:17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 s="3">
        <f t="shared" si="50"/>
        <v>-5003.0619999999999</v>
      </c>
      <c r="I663" s="1">
        <v>45633</v>
      </c>
      <c r="J663" t="s">
        <v>40</v>
      </c>
      <c r="L663" s="2">
        <f t="shared" si="51"/>
        <v>2501.5309999999999</v>
      </c>
      <c r="M663" s="4">
        <f t="shared" si="52"/>
        <v>0.6</v>
      </c>
      <c r="N663" s="1">
        <f t="shared" si="53"/>
        <v>45633</v>
      </c>
      <c r="O663" s="3">
        <f>(Table13[[#This Row],[Units_Sold]]*Table13[[#This Row],[Unit_Price_Cleaned]]*(1-Table13[[#This Row],[Discount Cleaned]]))</f>
        <v>-2001.2248</v>
      </c>
      <c r="P663" t="str">
        <f t="shared" si="54"/>
        <v>Loss</v>
      </c>
      <c r="Q663" t="str" cm="1">
        <f t="array" ref="Q663">IF(K663="",INDEX($K$2:$K$2501,MATCH(MAX(COUNTIF($K$2:$K$2501,$K$2:$K$2501)),COUNTIF($K$2:$K$2501,$K$2:$K$2501),0)),K663)</f>
        <v>B2B</v>
      </c>
    </row>
    <row r="664" spans="1:17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 s="3">
        <f t="shared" si="50"/>
        <v>15705.834230769233</v>
      </c>
      <c r="J664" t="s">
        <v>18</v>
      </c>
      <c r="K664" t="s">
        <v>16</v>
      </c>
      <c r="L664" s="2">
        <f t="shared" si="51"/>
        <v>2617.6390384615388</v>
      </c>
      <c r="M664" s="4">
        <f t="shared" si="52"/>
        <v>0.96</v>
      </c>
      <c r="N664" s="1">
        <f t="shared" si="53"/>
        <v>45782</v>
      </c>
      <c r="O664" s="3">
        <f>(Table13[[#This Row],[Units_Sold]]*Table13[[#This Row],[Unit_Price_Cleaned]]*(1-Table13[[#This Row],[Discount Cleaned]]))</f>
        <v>628.23336923076988</v>
      </c>
      <c r="P664" t="str">
        <f t="shared" si="54"/>
        <v>Profit</v>
      </c>
      <c r="Q664" t="str" cm="1">
        <f t="array" ref="Q664">IF(K664="",INDEX($K$2:$K$2501,MATCH(MAX(COUNTIF($K$2:$K$2501,$K$2:$K$2501)),COUNTIF($K$2:$K$2501,$K$2:$K$2501),0)),K664)</f>
        <v>B2C</v>
      </c>
    </row>
    <row r="665" spans="1:17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 s="3">
        <f t="shared" si="50"/>
        <v>8666.6142857142859</v>
      </c>
      <c r="I665" s="1">
        <v>45514</v>
      </c>
      <c r="J665" t="s">
        <v>40</v>
      </c>
      <c r="L665" s="2">
        <f t="shared" si="51"/>
        <v>2888.8714285714286</v>
      </c>
      <c r="M665" s="4">
        <f t="shared" si="52"/>
        <v>0.6</v>
      </c>
      <c r="N665" s="1">
        <f t="shared" si="53"/>
        <v>45514</v>
      </c>
      <c r="O665" s="3">
        <f>(Table13[[#This Row],[Units_Sold]]*Table13[[#This Row],[Unit_Price_Cleaned]]*(1-Table13[[#This Row],[Discount Cleaned]]))</f>
        <v>3466.6457142857143</v>
      </c>
      <c r="P665" t="str">
        <f t="shared" si="54"/>
        <v>Profit</v>
      </c>
      <c r="Q665" t="str" cm="1">
        <f t="array" ref="Q665">IF(K665="",INDEX($K$2:$K$2501,MATCH(MAX(COUNTIF($K$2:$K$2501,$K$2:$K$2501)),COUNTIF($K$2:$K$2501,$K$2:$K$2501),0)),K665)</f>
        <v>B2B</v>
      </c>
    </row>
    <row r="666" spans="1:17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 s="3">
        <f t="shared" si="50"/>
        <v>-2501.5309999999999</v>
      </c>
      <c r="I666" s="1">
        <v>45797</v>
      </c>
      <c r="J666" t="s">
        <v>56</v>
      </c>
      <c r="L666" s="2">
        <f t="shared" si="51"/>
        <v>2501.5309999999999</v>
      </c>
      <c r="M666" s="4">
        <f t="shared" si="52"/>
        <v>0.6</v>
      </c>
      <c r="N666" s="1">
        <f t="shared" si="53"/>
        <v>45797</v>
      </c>
      <c r="O666" s="3">
        <f>(Table13[[#This Row],[Units_Sold]]*Table13[[#This Row],[Unit_Price_Cleaned]]*(1-Table13[[#This Row],[Discount Cleaned]]))</f>
        <v>-1000.6124</v>
      </c>
      <c r="P666" t="str">
        <f t="shared" si="54"/>
        <v>Loss</v>
      </c>
      <c r="Q666" t="str" cm="1">
        <f t="array" ref="Q666">IF(K666="",INDEX($K$2:$K$2501,MATCH(MAX(COUNTIF($K$2:$K$2501,$K$2:$K$2501)),COUNTIF($K$2:$K$2501,$K$2:$K$2501),0)),K666)</f>
        <v>B2B</v>
      </c>
    </row>
    <row r="667" spans="1:17" x14ac:dyDescent="0.3">
      <c r="A667">
        <v>1665</v>
      </c>
      <c r="B667" t="s">
        <v>716</v>
      </c>
      <c r="C667" t="s">
        <v>33</v>
      </c>
      <c r="D667" t="s">
        <v>34</v>
      </c>
      <c r="E667">
        <v>2</v>
      </c>
      <c r="F667">
        <v>4504.03</v>
      </c>
      <c r="H667" s="3">
        <f t="shared" si="50"/>
        <v>9008.06</v>
      </c>
      <c r="I667" s="1">
        <v>45739</v>
      </c>
      <c r="J667" t="s">
        <v>15</v>
      </c>
      <c r="K667" t="s">
        <v>16</v>
      </c>
      <c r="L667" s="2">
        <f t="shared" si="51"/>
        <v>4504.03</v>
      </c>
      <c r="M667" s="4">
        <f t="shared" si="52"/>
        <v>0.6</v>
      </c>
      <c r="N667" s="1">
        <f t="shared" si="53"/>
        <v>45739</v>
      </c>
      <c r="O667" s="3">
        <f>(Table13[[#This Row],[Units_Sold]]*Table13[[#This Row],[Unit_Price_Cleaned]]*(1-Table13[[#This Row],[Discount Cleaned]]))</f>
        <v>3603.2240000000002</v>
      </c>
      <c r="P667" t="str">
        <f t="shared" si="54"/>
        <v>Profit</v>
      </c>
      <c r="Q667" t="str" cm="1">
        <f t="array" ref="Q667">IF(K667="",INDEX($K$2:$K$2501,MATCH(MAX(COUNTIF($K$2:$K$2501,$K$2:$K$2501)),COUNTIF($K$2:$K$2501,$K$2:$K$2501),0)),K667)</f>
        <v>B2C</v>
      </c>
    </row>
    <row r="668" spans="1:17" x14ac:dyDescent="0.3">
      <c r="A668">
        <v>1666</v>
      </c>
      <c r="B668" t="s">
        <v>717</v>
      </c>
      <c r="C668" t="s">
        <v>13</v>
      </c>
      <c r="D668" t="s">
        <v>49</v>
      </c>
      <c r="E668">
        <v>2</v>
      </c>
      <c r="F668">
        <v>973.63</v>
      </c>
      <c r="H668" s="3">
        <f t="shared" si="50"/>
        <v>1947.26</v>
      </c>
      <c r="I668" s="1">
        <v>45609</v>
      </c>
      <c r="J668" t="s">
        <v>15</v>
      </c>
      <c r="K668" t="s">
        <v>16</v>
      </c>
      <c r="L668" s="2">
        <f t="shared" si="51"/>
        <v>973.63</v>
      </c>
      <c r="M668" s="4">
        <f t="shared" si="52"/>
        <v>0.6</v>
      </c>
      <c r="N668" s="1">
        <f t="shared" si="53"/>
        <v>45609</v>
      </c>
      <c r="O668" s="3">
        <f>(Table13[[#This Row],[Units_Sold]]*Table13[[#This Row],[Unit_Price_Cleaned]]*(1-Table13[[#This Row],[Discount Cleaned]]))</f>
        <v>778.904</v>
      </c>
      <c r="P668" t="str">
        <f t="shared" si="54"/>
        <v>Profit</v>
      </c>
      <c r="Q668" t="str" cm="1">
        <f t="array" ref="Q668">IF(K668="",INDEX($K$2:$K$2501,MATCH(MAX(COUNTIF($K$2:$K$2501,$K$2:$K$2501)),COUNTIF($K$2:$K$2501,$K$2:$K$2501),0)),K668)</f>
        <v>B2C</v>
      </c>
    </row>
    <row r="669" spans="1:17" x14ac:dyDescent="0.3">
      <c r="A669">
        <v>1667</v>
      </c>
      <c r="B669" t="s">
        <v>718</v>
      </c>
      <c r="C669" t="s">
        <v>25</v>
      </c>
      <c r="D669" t="s">
        <v>54</v>
      </c>
      <c r="E669">
        <v>2</v>
      </c>
      <c r="F669">
        <v>4021</v>
      </c>
      <c r="H669" s="3">
        <f t="shared" si="50"/>
        <v>8042</v>
      </c>
      <c r="I669" s="1">
        <v>45598</v>
      </c>
      <c r="J669" t="s">
        <v>22</v>
      </c>
      <c r="K669" t="s">
        <v>23</v>
      </c>
      <c r="L669" s="2">
        <f t="shared" si="51"/>
        <v>4021</v>
      </c>
      <c r="M669" s="4">
        <f t="shared" si="52"/>
        <v>0.6</v>
      </c>
      <c r="N669" s="1">
        <f t="shared" si="53"/>
        <v>45598</v>
      </c>
      <c r="O669" s="3">
        <f>(Table13[[#This Row],[Units_Sold]]*Table13[[#This Row],[Unit_Price_Cleaned]]*(1-Table13[[#This Row],[Discount Cleaned]]))</f>
        <v>3216.8</v>
      </c>
      <c r="P669" t="str">
        <f t="shared" si="54"/>
        <v>Profit</v>
      </c>
      <c r="Q669" t="str" cm="1">
        <f t="array" ref="Q669">IF(K669="",INDEX($K$2:$K$2501,MATCH(MAX(COUNTIF($K$2:$K$2501,$K$2:$K$2501)),COUNTIF($K$2:$K$2501,$K$2:$K$2501),0)),K669)</f>
        <v>B2B</v>
      </c>
    </row>
    <row r="670" spans="1:17" x14ac:dyDescent="0.3">
      <c r="A670">
        <v>1668</v>
      </c>
      <c r="B670" t="s">
        <v>719</v>
      </c>
      <c r="C670" t="s">
        <v>13</v>
      </c>
      <c r="D670" t="s">
        <v>36</v>
      </c>
      <c r="E670">
        <v>2</v>
      </c>
      <c r="F670">
        <v>2534.08</v>
      </c>
      <c r="H670" s="3">
        <f t="shared" si="50"/>
        <v>5068.16</v>
      </c>
      <c r="I670" s="1">
        <v>45587</v>
      </c>
      <c r="J670" t="s">
        <v>56</v>
      </c>
      <c r="L670" s="2">
        <f t="shared" si="51"/>
        <v>2534.08</v>
      </c>
      <c r="M670" s="4">
        <f t="shared" si="52"/>
        <v>0.6</v>
      </c>
      <c r="N670" s="1">
        <f t="shared" si="53"/>
        <v>45587</v>
      </c>
      <c r="O670" s="3">
        <f>(Table13[[#This Row],[Units_Sold]]*Table13[[#This Row],[Unit_Price_Cleaned]]*(1-Table13[[#This Row],[Discount Cleaned]]))</f>
        <v>2027.2640000000001</v>
      </c>
      <c r="P670" t="str">
        <f t="shared" si="54"/>
        <v>Profit</v>
      </c>
      <c r="Q670" t="str" cm="1">
        <f t="array" ref="Q670">IF(K670="",INDEX($K$2:$K$2501,MATCH(MAX(COUNTIF($K$2:$K$2501,$K$2:$K$2501)),COUNTIF($K$2:$K$2501,$K$2:$K$2501),0)),K670)</f>
        <v>B2B</v>
      </c>
    </row>
    <row r="671" spans="1:17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 s="3">
        <f t="shared" si="50"/>
        <v>0</v>
      </c>
      <c r="J671" t="s">
        <v>46</v>
      </c>
      <c r="K671" t="s">
        <v>16</v>
      </c>
      <c r="L671" s="2">
        <f t="shared" si="51"/>
        <v>1838.63</v>
      </c>
      <c r="M671" s="4">
        <f t="shared" si="52"/>
        <v>0.6</v>
      </c>
      <c r="N671" s="1">
        <f t="shared" si="53"/>
        <v>45782</v>
      </c>
      <c r="O671" s="3">
        <f>(Table13[[#This Row],[Units_Sold]]*Table13[[#This Row],[Unit_Price_Cleaned]]*(1-Table13[[#This Row],[Discount Cleaned]]))</f>
        <v>0</v>
      </c>
      <c r="P671" t="str">
        <f t="shared" si="54"/>
        <v>Loss</v>
      </c>
      <c r="Q671" t="str" cm="1">
        <f t="array" ref="Q671">IF(K671="",INDEX($K$2:$K$2501,MATCH(MAX(COUNTIF($K$2:$K$2501,$K$2:$K$2501)),COUNTIF($K$2:$K$2501,$K$2:$K$2501),0)),K671)</f>
        <v>B2C</v>
      </c>
    </row>
    <row r="672" spans="1:17" x14ac:dyDescent="0.3">
      <c r="A672">
        <v>1670</v>
      </c>
      <c r="B672" t="s">
        <v>721</v>
      </c>
      <c r="C672" t="s">
        <v>33</v>
      </c>
      <c r="D672" t="s">
        <v>72</v>
      </c>
      <c r="E672">
        <v>2</v>
      </c>
      <c r="G672">
        <v>0.69</v>
      </c>
      <c r="H672" s="3">
        <f t="shared" si="50"/>
        <v>5431.091698113205</v>
      </c>
      <c r="I672" s="1">
        <v>45518</v>
      </c>
      <c r="J672" t="s">
        <v>56</v>
      </c>
      <c r="K672" t="s">
        <v>23</v>
      </c>
      <c r="L672" s="2">
        <f t="shared" si="51"/>
        <v>2715.5458490566025</v>
      </c>
      <c r="M672" s="4">
        <f t="shared" si="52"/>
        <v>0.69</v>
      </c>
      <c r="N672" s="1">
        <f t="shared" si="53"/>
        <v>45518</v>
      </c>
      <c r="O672" s="3">
        <f>(Table13[[#This Row],[Units_Sold]]*Table13[[#This Row],[Unit_Price_Cleaned]]*(1-Table13[[#This Row],[Discount Cleaned]]))</f>
        <v>1683.6384264150938</v>
      </c>
      <c r="P672" t="str">
        <f t="shared" si="54"/>
        <v>Profit</v>
      </c>
      <c r="Q672" t="str" cm="1">
        <f t="array" ref="Q672">IF(K672="",INDEX($K$2:$K$2501,MATCH(MAX(COUNTIF($K$2:$K$2501,$K$2:$K$2501)),COUNTIF($K$2:$K$2501,$K$2:$K$2501),0)),K672)</f>
        <v>B2B</v>
      </c>
    </row>
    <row r="673" spans="1:17" x14ac:dyDescent="0.3">
      <c r="A673">
        <v>1671</v>
      </c>
      <c r="B673" t="s">
        <v>722</v>
      </c>
      <c r="C673" t="s">
        <v>13</v>
      </c>
      <c r="D673" t="s">
        <v>14</v>
      </c>
      <c r="E673">
        <v>2</v>
      </c>
      <c r="F673">
        <v>4417.34</v>
      </c>
      <c r="H673" s="3">
        <f t="shared" si="50"/>
        <v>8834.68</v>
      </c>
      <c r="I673" s="1">
        <v>45626</v>
      </c>
      <c r="J673" t="s">
        <v>18</v>
      </c>
      <c r="K673" t="s">
        <v>23</v>
      </c>
      <c r="L673" s="2">
        <f t="shared" si="51"/>
        <v>4417.34</v>
      </c>
      <c r="M673" s="4">
        <f t="shared" si="52"/>
        <v>0.6</v>
      </c>
      <c r="N673" s="1">
        <f t="shared" si="53"/>
        <v>45626</v>
      </c>
      <c r="O673" s="3">
        <f>(Table13[[#This Row],[Units_Sold]]*Table13[[#This Row],[Unit_Price_Cleaned]]*(1-Table13[[#This Row],[Discount Cleaned]]))</f>
        <v>3533.8720000000003</v>
      </c>
      <c r="P673" t="str">
        <f t="shared" si="54"/>
        <v>Profit</v>
      </c>
      <c r="Q673" t="str" cm="1">
        <f t="array" ref="Q673">IF(K673="",INDEX($K$2:$K$2501,MATCH(MAX(COUNTIF($K$2:$K$2501,$K$2:$K$2501)),COUNTIF($K$2:$K$2501,$K$2:$K$2501),0)),K673)</f>
        <v>B2B</v>
      </c>
    </row>
    <row r="674" spans="1:17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 s="3">
        <f t="shared" si="50"/>
        <v>13088.195192307694</v>
      </c>
      <c r="J674" t="s">
        <v>15</v>
      </c>
      <c r="K674" t="s">
        <v>23</v>
      </c>
      <c r="L674" s="2">
        <f t="shared" si="51"/>
        <v>2617.6390384615388</v>
      </c>
      <c r="M674" s="4">
        <f t="shared" si="52"/>
        <v>0.6</v>
      </c>
      <c r="N674" s="1">
        <f t="shared" si="53"/>
        <v>45782</v>
      </c>
      <c r="O674" s="3">
        <f>(Table13[[#This Row],[Units_Sold]]*Table13[[#This Row],[Unit_Price_Cleaned]]*(1-Table13[[#This Row],[Discount Cleaned]]))</f>
        <v>5235.2780769230776</v>
      </c>
      <c r="P674" t="str">
        <f t="shared" si="54"/>
        <v>Profit</v>
      </c>
      <c r="Q674" t="str" cm="1">
        <f t="array" ref="Q674">IF(K674="",INDEX($K$2:$K$2501,MATCH(MAX(COUNTIF($K$2:$K$2501,$K$2:$K$2501)),COUNTIF($K$2:$K$2501,$K$2:$K$2501),0)),K674)</f>
        <v>B2B</v>
      </c>
    </row>
    <row r="675" spans="1:17" x14ac:dyDescent="0.3">
      <c r="A675">
        <v>1673</v>
      </c>
      <c r="B675" t="s">
        <v>724</v>
      </c>
      <c r="C675" t="s">
        <v>29</v>
      </c>
      <c r="D675" t="s">
        <v>120</v>
      </c>
      <c r="E675">
        <v>2</v>
      </c>
      <c r="F675">
        <v>3992.21</v>
      </c>
      <c r="G675">
        <v>0.67</v>
      </c>
      <c r="H675" s="3">
        <f t="shared" si="50"/>
        <v>7984.42</v>
      </c>
      <c r="J675" t="s">
        <v>22</v>
      </c>
      <c r="L675" s="2">
        <f t="shared" si="51"/>
        <v>3992.21</v>
      </c>
      <c r="M675" s="4">
        <f t="shared" si="52"/>
        <v>0.67</v>
      </c>
      <c r="N675" s="1">
        <f t="shared" si="53"/>
        <v>45782</v>
      </c>
      <c r="O675" s="3">
        <f>(Table13[[#This Row],[Units_Sold]]*Table13[[#This Row],[Unit_Price_Cleaned]]*(1-Table13[[#This Row],[Discount Cleaned]]))</f>
        <v>2634.8585999999996</v>
      </c>
      <c r="P675" t="str">
        <f t="shared" si="54"/>
        <v>Profit</v>
      </c>
      <c r="Q675" t="str" cm="1">
        <f t="array" ref="Q675">IF(K675="",INDEX($K$2:$K$2501,MATCH(MAX(COUNTIF($K$2:$K$2501,$K$2:$K$2501)),COUNTIF($K$2:$K$2501,$K$2:$K$2501),0)),K675)</f>
        <v>B2B</v>
      </c>
    </row>
    <row r="676" spans="1:17" x14ac:dyDescent="0.3">
      <c r="A676">
        <v>1674</v>
      </c>
      <c r="B676" t="s">
        <v>725</v>
      </c>
      <c r="C676" t="s">
        <v>13</v>
      </c>
      <c r="D676" t="s">
        <v>49</v>
      </c>
      <c r="E676">
        <v>2</v>
      </c>
      <c r="G676">
        <v>0.19</v>
      </c>
      <c r="H676" s="3">
        <f t="shared" si="50"/>
        <v>5570.1755932203387</v>
      </c>
      <c r="I676" s="1">
        <v>45781</v>
      </c>
      <c r="J676" t="s">
        <v>40</v>
      </c>
      <c r="L676" s="2">
        <f t="shared" si="51"/>
        <v>2785.0877966101693</v>
      </c>
      <c r="M676" s="4">
        <f t="shared" si="52"/>
        <v>0.19</v>
      </c>
      <c r="N676" s="1">
        <f t="shared" si="53"/>
        <v>45781</v>
      </c>
      <c r="O676" s="3">
        <f>(Table13[[#This Row],[Units_Sold]]*Table13[[#This Row],[Unit_Price_Cleaned]]*(1-Table13[[#This Row],[Discount Cleaned]]))</f>
        <v>4511.842230508475</v>
      </c>
      <c r="P676" t="str">
        <f t="shared" si="54"/>
        <v>Profit</v>
      </c>
      <c r="Q676" t="str" cm="1">
        <f t="array" ref="Q676">IF(K676="",INDEX($K$2:$K$2501,MATCH(MAX(COUNTIF($K$2:$K$2501,$K$2:$K$2501)),COUNTIF($K$2:$K$2501,$K$2:$K$2501),0)),K676)</f>
        <v>B2B</v>
      </c>
    </row>
    <row r="677" spans="1:17" x14ac:dyDescent="0.3">
      <c r="A677">
        <v>1675</v>
      </c>
      <c r="B677" t="s">
        <v>726</v>
      </c>
      <c r="C677" t="s">
        <v>38</v>
      </c>
      <c r="D677" t="s">
        <v>39</v>
      </c>
      <c r="E677">
        <v>2</v>
      </c>
      <c r="H677" s="3">
        <f t="shared" si="50"/>
        <v>6016.7688888888888</v>
      </c>
      <c r="I677" s="1">
        <v>45778</v>
      </c>
      <c r="J677" t="s">
        <v>22</v>
      </c>
      <c r="K677" t="s">
        <v>16</v>
      </c>
      <c r="L677" s="2">
        <f t="shared" si="51"/>
        <v>3008.3844444444444</v>
      </c>
      <c r="M677" s="4">
        <f t="shared" si="52"/>
        <v>0.6</v>
      </c>
      <c r="N677" s="1">
        <f t="shared" si="53"/>
        <v>45778</v>
      </c>
      <c r="O677" s="3">
        <f>(Table13[[#This Row],[Units_Sold]]*Table13[[#This Row],[Unit_Price_Cleaned]]*(1-Table13[[#This Row],[Discount Cleaned]]))</f>
        <v>2406.7075555555557</v>
      </c>
      <c r="P677" t="str">
        <f t="shared" si="54"/>
        <v>Profit</v>
      </c>
      <c r="Q677" t="str" cm="1">
        <f t="array" ref="Q677">IF(K677="",INDEX($K$2:$K$2501,MATCH(MAX(COUNTIF($K$2:$K$2501,$K$2:$K$2501)),COUNTIF($K$2:$K$2501,$K$2:$K$2501),0)),K677)</f>
        <v>B2C</v>
      </c>
    </row>
    <row r="678" spans="1:17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 s="3">
        <f t="shared" si="50"/>
        <v>0</v>
      </c>
      <c r="J678" t="s">
        <v>40</v>
      </c>
      <c r="L678" s="2">
        <f t="shared" si="51"/>
        <v>4351.82</v>
      </c>
      <c r="M678" s="4">
        <f t="shared" si="52"/>
        <v>0.6</v>
      </c>
      <c r="N678" s="1">
        <f t="shared" si="53"/>
        <v>45782</v>
      </c>
      <c r="O678" s="3">
        <f>(Table13[[#This Row],[Units_Sold]]*Table13[[#This Row],[Unit_Price_Cleaned]]*(1-Table13[[#This Row],[Discount Cleaned]]))</f>
        <v>0</v>
      </c>
      <c r="P678" t="str">
        <f t="shared" si="54"/>
        <v>Loss</v>
      </c>
      <c r="Q678" t="str" cm="1">
        <f t="array" ref="Q678">IF(K678="",INDEX($K$2:$K$2501,MATCH(MAX(COUNTIF($K$2:$K$2501,$K$2:$K$2501)),COUNTIF($K$2:$K$2501,$K$2:$K$2501),0)),K678)</f>
        <v>B2B</v>
      </c>
    </row>
    <row r="679" spans="1:17" x14ac:dyDescent="0.3">
      <c r="A679">
        <v>1677</v>
      </c>
      <c r="B679" t="s">
        <v>728</v>
      </c>
      <c r="C679" t="s">
        <v>20</v>
      </c>
      <c r="D679" t="s">
        <v>80</v>
      </c>
      <c r="E679">
        <v>2</v>
      </c>
      <c r="F679">
        <v>4639.8599999999997</v>
      </c>
      <c r="G679">
        <v>0.69</v>
      </c>
      <c r="H679" s="3">
        <f t="shared" si="50"/>
        <v>9279.7199999999993</v>
      </c>
      <c r="I679" s="1">
        <v>45209</v>
      </c>
      <c r="J679" t="s">
        <v>56</v>
      </c>
      <c r="L679" s="2">
        <f t="shared" si="51"/>
        <v>4639.8599999999997</v>
      </c>
      <c r="M679" s="4">
        <f t="shared" si="52"/>
        <v>0.69</v>
      </c>
      <c r="N679" s="1">
        <f t="shared" si="53"/>
        <v>45209</v>
      </c>
      <c r="O679" s="3">
        <f>(Table13[[#This Row],[Units_Sold]]*Table13[[#This Row],[Unit_Price_Cleaned]]*(1-Table13[[#This Row],[Discount Cleaned]]))</f>
        <v>2876.7132000000001</v>
      </c>
      <c r="P679" t="str">
        <f t="shared" si="54"/>
        <v>Profit</v>
      </c>
      <c r="Q679" t="str" cm="1">
        <f t="array" ref="Q679">IF(K679="",INDEX($K$2:$K$2501,MATCH(MAX(COUNTIF($K$2:$K$2501,$K$2:$K$2501)),COUNTIF($K$2:$K$2501,$K$2:$K$2501),0)),K679)</f>
        <v>B2B</v>
      </c>
    </row>
    <row r="680" spans="1:17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 s="3">
        <f t="shared" si="50"/>
        <v>5719.72</v>
      </c>
      <c r="I680" s="1">
        <v>45610</v>
      </c>
      <c r="J680" t="s">
        <v>18</v>
      </c>
      <c r="K680" t="s">
        <v>23</v>
      </c>
      <c r="L680" s="2">
        <f t="shared" si="51"/>
        <v>1429.93</v>
      </c>
      <c r="M680" s="4">
        <f t="shared" si="52"/>
        <v>0.6</v>
      </c>
      <c r="N680" s="1">
        <f t="shared" si="53"/>
        <v>45610</v>
      </c>
      <c r="O680" s="3">
        <f>(Table13[[#This Row],[Units_Sold]]*Table13[[#This Row],[Unit_Price_Cleaned]]*(1-Table13[[#This Row],[Discount Cleaned]]))</f>
        <v>2287.8880000000004</v>
      </c>
      <c r="P680" t="str">
        <f t="shared" si="54"/>
        <v>Profit</v>
      </c>
      <c r="Q680" t="str" cm="1">
        <f t="array" ref="Q680">IF(K680="",INDEX($K$2:$K$2501,MATCH(MAX(COUNTIF($K$2:$K$2501,$K$2:$K$2501)),COUNTIF($K$2:$K$2501,$K$2:$K$2501),0)),K680)</f>
        <v>B2B</v>
      </c>
    </row>
    <row r="681" spans="1:17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 s="3">
        <f t="shared" si="50"/>
        <v>4198.5</v>
      </c>
      <c r="I681" s="1">
        <v>45494</v>
      </c>
      <c r="J681" t="s">
        <v>46</v>
      </c>
      <c r="L681" s="2">
        <f t="shared" si="51"/>
        <v>4198.5</v>
      </c>
      <c r="M681" s="4">
        <f t="shared" si="52"/>
        <v>0.6</v>
      </c>
      <c r="N681" s="1">
        <f t="shared" si="53"/>
        <v>45494</v>
      </c>
      <c r="O681" s="3">
        <f>(Table13[[#This Row],[Units_Sold]]*Table13[[#This Row],[Unit_Price_Cleaned]]*(1-Table13[[#This Row],[Discount Cleaned]]))</f>
        <v>1679.4</v>
      </c>
      <c r="P681" t="str">
        <f t="shared" si="54"/>
        <v>Profit</v>
      </c>
      <c r="Q681" t="str" cm="1">
        <f t="array" ref="Q681">IF(K681="",INDEX($K$2:$K$2501,MATCH(MAX(COUNTIF($K$2:$K$2501,$K$2:$K$2501)),COUNTIF($K$2:$K$2501,$K$2:$K$2501),0)),K681)</f>
        <v>B2B</v>
      </c>
    </row>
    <row r="682" spans="1:17" x14ac:dyDescent="0.3">
      <c r="A682">
        <v>1680</v>
      </c>
      <c r="B682" t="s">
        <v>731</v>
      </c>
      <c r="C682" t="s">
        <v>13</v>
      </c>
      <c r="D682" t="s">
        <v>49</v>
      </c>
      <c r="E682">
        <v>2</v>
      </c>
      <c r="H682" s="3">
        <f t="shared" si="50"/>
        <v>5570.1755932203387</v>
      </c>
      <c r="I682" s="1">
        <v>45561</v>
      </c>
      <c r="J682" t="s">
        <v>18</v>
      </c>
      <c r="K682" t="s">
        <v>23</v>
      </c>
      <c r="L682" s="2">
        <f t="shared" si="51"/>
        <v>2785.0877966101693</v>
      </c>
      <c r="M682" s="4">
        <f t="shared" si="52"/>
        <v>0.6</v>
      </c>
      <c r="N682" s="1">
        <f t="shared" si="53"/>
        <v>45561</v>
      </c>
      <c r="O682" s="3">
        <f>(Table13[[#This Row],[Units_Sold]]*Table13[[#This Row],[Unit_Price_Cleaned]]*(1-Table13[[#This Row],[Discount Cleaned]]))</f>
        <v>2228.0702372881356</v>
      </c>
      <c r="P682" t="str">
        <f t="shared" si="54"/>
        <v>Profit</v>
      </c>
      <c r="Q682" t="str" cm="1">
        <f t="array" ref="Q682">IF(K682="",INDEX($K$2:$K$2501,MATCH(MAX(COUNTIF($K$2:$K$2501,$K$2:$K$2501)),COUNTIF($K$2:$K$2501,$K$2:$K$2501),0)),K682)</f>
        <v>B2B</v>
      </c>
    </row>
    <row r="683" spans="1:17" x14ac:dyDescent="0.3">
      <c r="A683">
        <v>1681</v>
      </c>
      <c r="B683" t="s">
        <v>732</v>
      </c>
      <c r="C683" t="s">
        <v>38</v>
      </c>
      <c r="D683" t="s">
        <v>59</v>
      </c>
      <c r="E683">
        <v>2</v>
      </c>
      <c r="G683">
        <v>0.26</v>
      </c>
      <c r="H683" s="3">
        <f t="shared" si="50"/>
        <v>5608.5303846153838</v>
      </c>
      <c r="I683" s="1">
        <v>45337</v>
      </c>
      <c r="J683" t="s">
        <v>18</v>
      </c>
      <c r="K683" t="s">
        <v>23</v>
      </c>
      <c r="L683" s="2">
        <f t="shared" si="51"/>
        <v>2804.2651923076919</v>
      </c>
      <c r="M683" s="4">
        <f t="shared" si="52"/>
        <v>0.26</v>
      </c>
      <c r="N683" s="1">
        <f t="shared" si="53"/>
        <v>45337</v>
      </c>
      <c r="O683" s="3">
        <f>(Table13[[#This Row],[Units_Sold]]*Table13[[#This Row],[Unit_Price_Cleaned]]*(1-Table13[[#This Row],[Discount Cleaned]]))</f>
        <v>4150.3124846153842</v>
      </c>
      <c r="P683" t="str">
        <f t="shared" si="54"/>
        <v>Profit</v>
      </c>
      <c r="Q683" t="str" cm="1">
        <f t="array" ref="Q683">IF(K683="",INDEX($K$2:$K$2501,MATCH(MAX(COUNTIF($K$2:$K$2501,$K$2:$K$2501)),COUNTIF($K$2:$K$2501,$K$2:$K$2501),0)),K683)</f>
        <v>B2B</v>
      </c>
    </row>
    <row r="684" spans="1:17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 s="3">
        <f t="shared" si="50"/>
        <v>21535.4</v>
      </c>
      <c r="I684" s="1">
        <v>45654</v>
      </c>
      <c r="J684" t="s">
        <v>15</v>
      </c>
      <c r="K684" t="s">
        <v>16</v>
      </c>
      <c r="L684" s="2">
        <f t="shared" si="51"/>
        <v>4307.08</v>
      </c>
      <c r="M684" s="4">
        <f t="shared" si="52"/>
        <v>1.26</v>
      </c>
      <c r="N684" s="1">
        <f t="shared" si="53"/>
        <v>45654</v>
      </c>
      <c r="O684" s="3">
        <f>(Table13[[#This Row],[Units_Sold]]*Table13[[#This Row],[Unit_Price_Cleaned]]*(1-Table13[[#This Row],[Discount Cleaned]]))</f>
        <v>-5599.2040000000006</v>
      </c>
      <c r="P684" t="str">
        <f t="shared" si="54"/>
        <v>Loss</v>
      </c>
      <c r="Q684" t="str" cm="1">
        <f t="array" ref="Q684">IF(K684="",INDEX($K$2:$K$2501,MATCH(MAX(COUNTIF($K$2:$K$2501,$K$2:$K$2501)),COUNTIF($K$2:$K$2501,$K$2:$K$2501),0)),K684)</f>
        <v>B2C</v>
      </c>
    </row>
    <row r="685" spans="1:17" x14ac:dyDescent="0.3">
      <c r="A685">
        <v>1683</v>
      </c>
      <c r="B685" t="s">
        <v>734</v>
      </c>
      <c r="C685" t="s">
        <v>13</v>
      </c>
      <c r="D685" t="s">
        <v>102</v>
      </c>
      <c r="E685">
        <v>2</v>
      </c>
      <c r="F685">
        <v>1743.64</v>
      </c>
      <c r="H685" s="3">
        <f t="shared" si="50"/>
        <v>3487.28</v>
      </c>
      <c r="J685" t="s">
        <v>46</v>
      </c>
      <c r="K685" t="s">
        <v>16</v>
      </c>
      <c r="L685" s="2">
        <f t="shared" si="51"/>
        <v>1743.64</v>
      </c>
      <c r="M685" s="4">
        <f t="shared" si="52"/>
        <v>0.6</v>
      </c>
      <c r="N685" s="1">
        <f t="shared" si="53"/>
        <v>45782</v>
      </c>
      <c r="O685" s="3">
        <f>(Table13[[#This Row],[Units_Sold]]*Table13[[#This Row],[Unit_Price_Cleaned]]*(1-Table13[[#This Row],[Discount Cleaned]]))</f>
        <v>1394.9120000000003</v>
      </c>
      <c r="P685" t="str">
        <f t="shared" si="54"/>
        <v>Profit</v>
      </c>
      <c r="Q685" t="str" cm="1">
        <f t="array" ref="Q685">IF(K685="",INDEX($K$2:$K$2501,MATCH(MAX(COUNTIF($K$2:$K$2501,$K$2:$K$2501)),COUNTIF($K$2:$K$2501,$K$2:$K$2501),0)),K685)</f>
        <v>B2C</v>
      </c>
    </row>
    <row r="686" spans="1:17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 s="3">
        <f t="shared" si="50"/>
        <v>-7075.94</v>
      </c>
      <c r="I686" s="1">
        <v>45509</v>
      </c>
      <c r="J686" t="s">
        <v>40</v>
      </c>
      <c r="L686" s="2">
        <f t="shared" si="51"/>
        <v>3537.97</v>
      </c>
      <c r="M686" s="4">
        <f t="shared" si="52"/>
        <v>0.26</v>
      </c>
      <c r="N686" s="1">
        <f t="shared" si="53"/>
        <v>45509</v>
      </c>
      <c r="O686" s="3">
        <f>(Table13[[#This Row],[Units_Sold]]*Table13[[#This Row],[Unit_Price_Cleaned]]*(1-Table13[[#This Row],[Discount Cleaned]]))</f>
        <v>-5236.1956</v>
      </c>
      <c r="P686" t="str">
        <f t="shared" si="54"/>
        <v>Loss</v>
      </c>
      <c r="Q686" t="str" cm="1">
        <f t="array" ref="Q686">IF(K686="",INDEX($K$2:$K$2501,MATCH(MAX(COUNTIF($K$2:$K$2501,$K$2:$K$2501)),COUNTIF($K$2:$K$2501,$K$2:$K$2501),0)),K686)</f>
        <v>B2B</v>
      </c>
    </row>
    <row r="687" spans="1:17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 s="3">
        <f t="shared" si="50"/>
        <v>11475.107272727271</v>
      </c>
      <c r="J687" t="s">
        <v>56</v>
      </c>
      <c r="K687" t="s">
        <v>23</v>
      </c>
      <c r="L687" s="2">
        <f t="shared" si="51"/>
        <v>2868.7768181818178</v>
      </c>
      <c r="M687" s="4">
        <f t="shared" si="52"/>
        <v>0.6</v>
      </c>
      <c r="N687" s="1">
        <f t="shared" si="53"/>
        <v>45782</v>
      </c>
      <c r="O687" s="3">
        <f>(Table13[[#This Row],[Units_Sold]]*Table13[[#This Row],[Unit_Price_Cleaned]]*(1-Table13[[#This Row],[Discount Cleaned]]))</f>
        <v>4590.0429090909083</v>
      </c>
      <c r="P687" t="str">
        <f t="shared" si="54"/>
        <v>Profit</v>
      </c>
      <c r="Q687" t="str" cm="1">
        <f t="array" ref="Q687">IF(K687="",INDEX($K$2:$K$2501,MATCH(MAX(COUNTIF($K$2:$K$2501,$K$2:$K$2501)),COUNTIF($K$2:$K$2501,$K$2:$K$2501),0)),K687)</f>
        <v>B2B</v>
      </c>
    </row>
    <row r="688" spans="1:17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 s="3">
        <f t="shared" si="50"/>
        <v>2882.5046551724135</v>
      </c>
      <c r="J688" t="s">
        <v>46</v>
      </c>
      <c r="L688" s="2">
        <f t="shared" si="51"/>
        <v>2882.5046551724135</v>
      </c>
      <c r="M688" s="4">
        <f t="shared" si="52"/>
        <v>0.06</v>
      </c>
      <c r="N688" s="1">
        <f t="shared" si="53"/>
        <v>45782</v>
      </c>
      <c r="O688" s="3">
        <f>(Table13[[#This Row],[Units_Sold]]*Table13[[#This Row],[Unit_Price_Cleaned]]*(1-Table13[[#This Row],[Discount Cleaned]]))</f>
        <v>2709.5543758620688</v>
      </c>
      <c r="P688" t="str">
        <f t="shared" si="54"/>
        <v>Profit</v>
      </c>
      <c r="Q688" t="str" cm="1">
        <f t="array" ref="Q688">IF(K688="",INDEX($K$2:$K$2501,MATCH(MAX(COUNTIF($K$2:$K$2501,$K$2:$K$2501)),COUNTIF($K$2:$K$2501,$K$2:$K$2501),0)),K688)</f>
        <v>B2B</v>
      </c>
    </row>
    <row r="689" spans="1:17" x14ac:dyDescent="0.3">
      <c r="A689">
        <v>1687</v>
      </c>
      <c r="B689" t="s">
        <v>738</v>
      </c>
      <c r="C689" t="s">
        <v>20</v>
      </c>
      <c r="D689" t="s">
        <v>88</v>
      </c>
      <c r="E689">
        <v>2</v>
      </c>
      <c r="H689" s="3">
        <f t="shared" si="50"/>
        <v>5451.7114285714297</v>
      </c>
      <c r="I689" s="1">
        <v>45850</v>
      </c>
      <c r="J689" t="s">
        <v>56</v>
      </c>
      <c r="L689" s="2">
        <f t="shared" si="51"/>
        <v>2725.8557142857148</v>
      </c>
      <c r="M689" s="4">
        <f t="shared" si="52"/>
        <v>0.6</v>
      </c>
      <c r="N689" s="1">
        <f t="shared" si="53"/>
        <v>45850</v>
      </c>
      <c r="O689" s="3">
        <f>(Table13[[#This Row],[Units_Sold]]*Table13[[#This Row],[Unit_Price_Cleaned]]*(1-Table13[[#This Row],[Discount Cleaned]]))</f>
        <v>2180.6845714285719</v>
      </c>
      <c r="P689" t="str">
        <f t="shared" si="54"/>
        <v>Profit</v>
      </c>
      <c r="Q689" t="str" cm="1">
        <f t="array" ref="Q689">IF(K689="",INDEX($K$2:$K$2501,MATCH(MAX(COUNTIF($K$2:$K$2501,$K$2:$K$2501)),COUNTIF($K$2:$K$2501,$K$2:$K$2501),0)),K689)</f>
        <v>B2B</v>
      </c>
    </row>
    <row r="690" spans="1:17" x14ac:dyDescent="0.3">
      <c r="A690">
        <v>1688</v>
      </c>
      <c r="B690" t="s">
        <v>739</v>
      </c>
      <c r="C690" t="s">
        <v>29</v>
      </c>
      <c r="D690" t="s">
        <v>120</v>
      </c>
      <c r="E690">
        <v>2</v>
      </c>
      <c r="F690">
        <v>4177.8599999999997</v>
      </c>
      <c r="H690" s="3">
        <f t="shared" si="50"/>
        <v>8355.7199999999993</v>
      </c>
      <c r="J690" t="s">
        <v>56</v>
      </c>
      <c r="L690" s="2">
        <f t="shared" si="51"/>
        <v>4177.8599999999997</v>
      </c>
      <c r="M690" s="4">
        <f t="shared" si="52"/>
        <v>0.6</v>
      </c>
      <c r="N690" s="1">
        <f t="shared" si="53"/>
        <v>45782</v>
      </c>
      <c r="O690" s="3">
        <f>(Table13[[#This Row],[Units_Sold]]*Table13[[#This Row],[Unit_Price_Cleaned]]*(1-Table13[[#This Row],[Discount Cleaned]]))</f>
        <v>3342.288</v>
      </c>
      <c r="P690" t="str">
        <f t="shared" si="54"/>
        <v>Profit</v>
      </c>
      <c r="Q690" t="str" cm="1">
        <f t="array" ref="Q690">IF(K690="",INDEX($K$2:$K$2501,MATCH(MAX(COUNTIF($K$2:$K$2501,$K$2:$K$2501)),COUNTIF($K$2:$K$2501,$K$2:$K$2501),0)),K690)</f>
        <v>B2B</v>
      </c>
    </row>
    <row r="691" spans="1:17" x14ac:dyDescent="0.3">
      <c r="A691">
        <v>1689</v>
      </c>
      <c r="B691" t="s">
        <v>740</v>
      </c>
      <c r="C691" t="s">
        <v>33</v>
      </c>
      <c r="D691" t="s">
        <v>44</v>
      </c>
      <c r="E691">
        <v>2</v>
      </c>
      <c r="F691">
        <v>1193.48</v>
      </c>
      <c r="H691" s="3">
        <f t="shared" si="50"/>
        <v>2386.96</v>
      </c>
      <c r="J691" t="s">
        <v>46</v>
      </c>
      <c r="L691" s="2">
        <f t="shared" si="51"/>
        <v>1193.48</v>
      </c>
      <c r="M691" s="4">
        <f t="shared" si="52"/>
        <v>0.6</v>
      </c>
      <c r="N691" s="1">
        <f t="shared" si="53"/>
        <v>45782</v>
      </c>
      <c r="O691" s="3">
        <f>(Table13[[#This Row],[Units_Sold]]*Table13[[#This Row],[Unit_Price_Cleaned]]*(1-Table13[[#This Row],[Discount Cleaned]]))</f>
        <v>954.78400000000011</v>
      </c>
      <c r="P691" t="str">
        <f t="shared" si="54"/>
        <v>Profit</v>
      </c>
      <c r="Q691" t="str" cm="1">
        <f t="array" ref="Q691">IF(K691="",INDEX($K$2:$K$2501,MATCH(MAX(COUNTIF($K$2:$K$2501,$K$2:$K$2501)),COUNTIF($K$2:$K$2501,$K$2:$K$2501),0)),K691)</f>
        <v>B2B</v>
      </c>
    </row>
    <row r="692" spans="1:17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 s="3">
        <f t="shared" si="50"/>
        <v>9706.9500000000007</v>
      </c>
      <c r="I692" s="1">
        <v>45720</v>
      </c>
      <c r="J692" t="s">
        <v>15</v>
      </c>
      <c r="K692" t="s">
        <v>16</v>
      </c>
      <c r="L692" s="2">
        <f t="shared" si="51"/>
        <v>1941.39</v>
      </c>
      <c r="M692" s="4">
        <f t="shared" si="52"/>
        <v>0.54</v>
      </c>
      <c r="N692" s="1">
        <f t="shared" si="53"/>
        <v>45720</v>
      </c>
      <c r="O692" s="3">
        <f>(Table13[[#This Row],[Units_Sold]]*Table13[[#This Row],[Unit_Price_Cleaned]]*(1-Table13[[#This Row],[Discount Cleaned]]))</f>
        <v>4465.1970000000001</v>
      </c>
      <c r="P692" t="str">
        <f t="shared" si="54"/>
        <v>Profit</v>
      </c>
      <c r="Q692" t="str" cm="1">
        <f t="array" ref="Q692">IF(K692="",INDEX($K$2:$K$2501,MATCH(MAX(COUNTIF($K$2:$K$2501,$K$2:$K$2501)),COUNTIF($K$2:$K$2501,$K$2:$K$2501),0)),K692)</f>
        <v>B2C</v>
      </c>
    </row>
    <row r="693" spans="1:17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 s="3">
        <f t="shared" si="50"/>
        <v>17271.060000000001</v>
      </c>
      <c r="I693" s="1">
        <v>45765</v>
      </c>
      <c r="J693" t="s">
        <v>22</v>
      </c>
      <c r="L693" s="2">
        <f t="shared" si="51"/>
        <v>2878.51</v>
      </c>
      <c r="M693" s="4">
        <f t="shared" si="52"/>
        <v>0.6</v>
      </c>
      <c r="N693" s="1">
        <f t="shared" si="53"/>
        <v>45765</v>
      </c>
      <c r="O693" s="3">
        <f>(Table13[[#This Row],[Units_Sold]]*Table13[[#This Row],[Unit_Price_Cleaned]]*(1-Table13[[#This Row],[Discount Cleaned]]))</f>
        <v>6908.4240000000009</v>
      </c>
      <c r="P693" t="str">
        <f t="shared" si="54"/>
        <v>Profit</v>
      </c>
      <c r="Q693" t="str" cm="1">
        <f t="array" ref="Q693">IF(K693="",INDEX($K$2:$K$2501,MATCH(MAX(COUNTIF($K$2:$K$2501,$K$2:$K$2501)),COUNTIF($K$2:$K$2501,$K$2:$K$2501),0)),K693)</f>
        <v>B2B</v>
      </c>
    </row>
    <row r="694" spans="1:17" x14ac:dyDescent="0.3">
      <c r="A694">
        <v>1692</v>
      </c>
      <c r="B694" t="s">
        <v>743</v>
      </c>
      <c r="C694" t="s">
        <v>33</v>
      </c>
      <c r="D694" t="s">
        <v>44</v>
      </c>
      <c r="E694">
        <v>2</v>
      </c>
      <c r="F694">
        <v>2509.38</v>
      </c>
      <c r="G694">
        <v>0.67</v>
      </c>
      <c r="H694" s="3">
        <f t="shared" si="50"/>
        <v>5018.76</v>
      </c>
      <c r="I694" s="1">
        <v>45567</v>
      </c>
      <c r="J694" t="s">
        <v>18</v>
      </c>
      <c r="K694" t="s">
        <v>16</v>
      </c>
      <c r="L694" s="2">
        <f t="shared" si="51"/>
        <v>2509.38</v>
      </c>
      <c r="M694" s="4">
        <f t="shared" si="52"/>
        <v>0.67</v>
      </c>
      <c r="N694" s="1">
        <f t="shared" si="53"/>
        <v>45567</v>
      </c>
      <c r="O694" s="3">
        <f>(Table13[[#This Row],[Units_Sold]]*Table13[[#This Row],[Unit_Price_Cleaned]]*(1-Table13[[#This Row],[Discount Cleaned]]))</f>
        <v>1656.1907999999999</v>
      </c>
      <c r="P694" t="str">
        <f t="shared" si="54"/>
        <v>Profit</v>
      </c>
      <c r="Q694" t="str" cm="1">
        <f t="array" ref="Q694">IF(K694="",INDEX($K$2:$K$2501,MATCH(MAX(COUNTIF($K$2:$K$2501,$K$2:$K$2501)),COUNTIF($K$2:$K$2501,$K$2:$K$2501),0)),K694)</f>
        <v>B2C</v>
      </c>
    </row>
    <row r="695" spans="1:17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 s="3">
        <f t="shared" si="50"/>
        <v>2700.1263043478252</v>
      </c>
      <c r="I695" s="1">
        <v>45562</v>
      </c>
      <c r="J695" t="s">
        <v>40</v>
      </c>
      <c r="K695" t="s">
        <v>16</v>
      </c>
      <c r="L695" s="2">
        <f t="shared" si="51"/>
        <v>2700.1263043478252</v>
      </c>
      <c r="M695" s="4">
        <f t="shared" si="52"/>
        <v>0.6</v>
      </c>
      <c r="N695" s="1">
        <f t="shared" si="53"/>
        <v>45562</v>
      </c>
      <c r="O695" s="3">
        <f>(Table13[[#This Row],[Units_Sold]]*Table13[[#This Row],[Unit_Price_Cleaned]]*(1-Table13[[#This Row],[Discount Cleaned]]))</f>
        <v>1080.0505217391301</v>
      </c>
      <c r="P695" t="str">
        <f t="shared" si="54"/>
        <v>Profit</v>
      </c>
      <c r="Q695" t="str" cm="1">
        <f t="array" ref="Q695">IF(K695="",INDEX($K$2:$K$2501,MATCH(MAX(COUNTIF($K$2:$K$2501,$K$2:$K$2501)),COUNTIF($K$2:$K$2501,$K$2:$K$2501),0)),K695)</f>
        <v>B2C</v>
      </c>
    </row>
    <row r="696" spans="1:17" x14ac:dyDescent="0.3">
      <c r="A696">
        <v>1694</v>
      </c>
      <c r="B696" t="s">
        <v>745</v>
      </c>
      <c r="C696" t="s">
        <v>13</v>
      </c>
      <c r="D696" t="s">
        <v>36</v>
      </c>
      <c r="E696">
        <v>2</v>
      </c>
      <c r="H696" s="3">
        <f t="shared" si="50"/>
        <v>5765.0093103448271</v>
      </c>
      <c r="I696" s="1">
        <v>45693</v>
      </c>
      <c r="J696" t="s">
        <v>56</v>
      </c>
      <c r="K696" t="s">
        <v>23</v>
      </c>
      <c r="L696" s="2">
        <f t="shared" si="51"/>
        <v>2882.5046551724135</v>
      </c>
      <c r="M696" s="4">
        <f t="shared" si="52"/>
        <v>0.6</v>
      </c>
      <c r="N696" s="1">
        <f t="shared" si="53"/>
        <v>45693</v>
      </c>
      <c r="O696" s="3">
        <f>(Table13[[#This Row],[Units_Sold]]*Table13[[#This Row],[Unit_Price_Cleaned]]*(1-Table13[[#This Row],[Discount Cleaned]]))</f>
        <v>2306.0037241379309</v>
      </c>
      <c r="P696" t="str">
        <f t="shared" si="54"/>
        <v>Profit</v>
      </c>
      <c r="Q696" t="str" cm="1">
        <f t="array" ref="Q696">IF(K696="",INDEX($K$2:$K$2501,MATCH(MAX(COUNTIF($K$2:$K$2501,$K$2:$K$2501)),COUNTIF($K$2:$K$2501,$K$2:$K$2501),0)),K696)</f>
        <v>B2B</v>
      </c>
    </row>
    <row r="697" spans="1:17" x14ac:dyDescent="0.3">
      <c r="A697">
        <v>1695</v>
      </c>
      <c r="B697" t="s">
        <v>746</v>
      </c>
      <c r="C697" t="s">
        <v>20</v>
      </c>
      <c r="D697" t="s">
        <v>122</v>
      </c>
      <c r="E697">
        <v>2</v>
      </c>
      <c r="F697">
        <v>3785.14</v>
      </c>
      <c r="H697" s="3">
        <f t="shared" si="50"/>
        <v>7570.28</v>
      </c>
      <c r="J697" t="s">
        <v>22</v>
      </c>
      <c r="K697" t="s">
        <v>16</v>
      </c>
      <c r="L697" s="2">
        <f t="shared" si="51"/>
        <v>3785.14</v>
      </c>
      <c r="M697" s="4">
        <f t="shared" si="52"/>
        <v>0.6</v>
      </c>
      <c r="N697" s="1">
        <f t="shared" si="53"/>
        <v>45782</v>
      </c>
      <c r="O697" s="3">
        <f>(Table13[[#This Row],[Units_Sold]]*Table13[[#This Row],[Unit_Price_Cleaned]]*(1-Table13[[#This Row],[Discount Cleaned]]))</f>
        <v>3028.1120000000001</v>
      </c>
      <c r="P697" t="str">
        <f t="shared" si="54"/>
        <v>Profit</v>
      </c>
      <c r="Q697" t="str" cm="1">
        <f t="array" ref="Q697">IF(K697="",INDEX($K$2:$K$2501,MATCH(MAX(COUNTIF($K$2:$K$2501,$K$2:$K$2501)),COUNTIF($K$2:$K$2501,$K$2:$K$2501),0)),K697)</f>
        <v>B2C</v>
      </c>
    </row>
    <row r="698" spans="1:17" x14ac:dyDescent="0.3">
      <c r="A698">
        <v>1696</v>
      </c>
      <c r="B698" t="s">
        <v>747</v>
      </c>
      <c r="C698" t="s">
        <v>25</v>
      </c>
      <c r="D698" t="s">
        <v>54</v>
      </c>
      <c r="E698">
        <v>2</v>
      </c>
      <c r="F698">
        <v>532.47</v>
      </c>
      <c r="H698" s="3">
        <f t="shared" si="50"/>
        <v>1064.94</v>
      </c>
      <c r="J698" t="s">
        <v>22</v>
      </c>
      <c r="K698" t="s">
        <v>23</v>
      </c>
      <c r="L698" s="2">
        <f t="shared" si="51"/>
        <v>532.47</v>
      </c>
      <c r="M698" s="4">
        <f t="shared" si="52"/>
        <v>0.6</v>
      </c>
      <c r="N698" s="1">
        <f t="shared" si="53"/>
        <v>45782</v>
      </c>
      <c r="O698" s="3">
        <f>(Table13[[#This Row],[Units_Sold]]*Table13[[#This Row],[Unit_Price_Cleaned]]*(1-Table13[[#This Row],[Discount Cleaned]]))</f>
        <v>425.97600000000006</v>
      </c>
      <c r="P698" t="str">
        <f t="shared" si="54"/>
        <v>Loss</v>
      </c>
      <c r="Q698" t="str" cm="1">
        <f t="array" ref="Q698">IF(K698="",INDEX($K$2:$K$2501,MATCH(MAX(COUNTIF($K$2:$K$2501,$K$2:$K$2501)),COUNTIF($K$2:$K$2501,$K$2:$K$2501),0)),K698)</f>
        <v>B2B</v>
      </c>
    </row>
    <row r="699" spans="1:17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 s="3">
        <f t="shared" si="50"/>
        <v>3517.94</v>
      </c>
      <c r="I699" s="1">
        <v>45700</v>
      </c>
      <c r="J699" t="s">
        <v>15</v>
      </c>
      <c r="L699" s="2">
        <f t="shared" si="51"/>
        <v>1758.97</v>
      </c>
      <c r="M699" s="4">
        <f t="shared" si="52"/>
        <v>0.6</v>
      </c>
      <c r="N699" s="1">
        <f t="shared" si="53"/>
        <v>45700</v>
      </c>
      <c r="O699" s="3">
        <f>(Table13[[#This Row],[Units_Sold]]*Table13[[#This Row],[Unit_Price_Cleaned]]*(1-Table13[[#This Row],[Discount Cleaned]]))</f>
        <v>1407.1760000000002</v>
      </c>
      <c r="P699" t="str">
        <f t="shared" si="54"/>
        <v>Profit</v>
      </c>
      <c r="Q699" t="str" cm="1">
        <f t="array" ref="Q699">IF(K699="",INDEX($K$2:$K$2501,MATCH(MAX(COUNTIF($K$2:$K$2501,$K$2:$K$2501)),COUNTIF($K$2:$K$2501,$K$2:$K$2501),0)),K699)</f>
        <v>B2B</v>
      </c>
    </row>
    <row r="700" spans="1:17" x14ac:dyDescent="0.3">
      <c r="A700">
        <v>1698</v>
      </c>
      <c r="B700" t="s">
        <v>749</v>
      </c>
      <c r="C700" t="s">
        <v>25</v>
      </c>
      <c r="D700" t="s">
        <v>26</v>
      </c>
      <c r="E700">
        <v>2</v>
      </c>
      <c r="F700">
        <v>2111.87</v>
      </c>
      <c r="H700" s="3">
        <f t="shared" si="50"/>
        <v>4223.74</v>
      </c>
      <c r="I700" s="1">
        <v>45502</v>
      </c>
      <c r="J700" t="s">
        <v>56</v>
      </c>
      <c r="K700" t="s">
        <v>16</v>
      </c>
      <c r="L700" s="2">
        <f t="shared" si="51"/>
        <v>2111.87</v>
      </c>
      <c r="M700" s="4">
        <f t="shared" si="52"/>
        <v>0.6</v>
      </c>
      <c r="N700" s="1">
        <f t="shared" si="53"/>
        <v>45502</v>
      </c>
      <c r="O700" s="3">
        <f>(Table13[[#This Row],[Units_Sold]]*Table13[[#This Row],[Unit_Price_Cleaned]]*(1-Table13[[#This Row],[Discount Cleaned]]))</f>
        <v>1689.4960000000001</v>
      </c>
      <c r="P700" t="str">
        <f t="shared" si="54"/>
        <v>Profit</v>
      </c>
      <c r="Q700" t="str" cm="1">
        <f t="array" ref="Q700">IF(K700="",INDEX($K$2:$K$2501,MATCH(MAX(COUNTIF($K$2:$K$2501,$K$2:$K$2501)),COUNTIF($K$2:$K$2501,$K$2:$K$2501),0)),K700)</f>
        <v>B2C</v>
      </c>
    </row>
    <row r="701" spans="1:17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 s="3">
        <f t="shared" si="50"/>
        <v>4206.96</v>
      </c>
      <c r="I701" s="1">
        <v>45697</v>
      </c>
      <c r="J701" t="s">
        <v>15</v>
      </c>
      <c r="K701" t="s">
        <v>16</v>
      </c>
      <c r="L701" s="2">
        <f t="shared" si="51"/>
        <v>701.16</v>
      </c>
      <c r="M701" s="4">
        <f t="shared" si="52"/>
        <v>0.6</v>
      </c>
      <c r="N701" s="1">
        <f t="shared" si="53"/>
        <v>45697</v>
      </c>
      <c r="O701" s="3">
        <f>(Table13[[#This Row],[Units_Sold]]*Table13[[#This Row],[Unit_Price_Cleaned]]*(1-Table13[[#This Row],[Discount Cleaned]]))</f>
        <v>1682.7840000000001</v>
      </c>
      <c r="P701" t="str">
        <f t="shared" si="54"/>
        <v>Profit</v>
      </c>
      <c r="Q701" t="str" cm="1">
        <f t="array" ref="Q701">IF(K701="",INDEX($K$2:$K$2501,MATCH(MAX(COUNTIF($K$2:$K$2501,$K$2:$K$2501)),COUNTIF($K$2:$K$2501,$K$2:$K$2501),0)),K701)</f>
        <v>B2C</v>
      </c>
    </row>
    <row r="702" spans="1:17" x14ac:dyDescent="0.3">
      <c r="A702">
        <v>1700</v>
      </c>
      <c r="B702" t="s">
        <v>751</v>
      </c>
      <c r="C702" t="s">
        <v>33</v>
      </c>
      <c r="D702" t="s">
        <v>44</v>
      </c>
      <c r="E702">
        <v>2</v>
      </c>
      <c r="F702">
        <v>3332.06</v>
      </c>
      <c r="G702">
        <v>0.47</v>
      </c>
      <c r="H702" s="3">
        <f t="shared" si="50"/>
        <v>6664.12</v>
      </c>
      <c r="I702" s="1">
        <v>45593</v>
      </c>
      <c r="J702" t="s">
        <v>22</v>
      </c>
      <c r="L702" s="2">
        <f t="shared" si="51"/>
        <v>3332.06</v>
      </c>
      <c r="M702" s="4">
        <f t="shared" si="52"/>
        <v>0.47</v>
      </c>
      <c r="N702" s="1">
        <f t="shared" si="53"/>
        <v>45593</v>
      </c>
      <c r="O702" s="3">
        <f>(Table13[[#This Row],[Units_Sold]]*Table13[[#This Row],[Unit_Price_Cleaned]]*(1-Table13[[#This Row],[Discount Cleaned]]))</f>
        <v>3531.9836</v>
      </c>
      <c r="P702" t="str">
        <f t="shared" si="54"/>
        <v>Profit</v>
      </c>
      <c r="Q702" t="str" cm="1">
        <f t="array" ref="Q702">IF(K702="",INDEX($K$2:$K$2501,MATCH(MAX(COUNTIF($K$2:$K$2501,$K$2:$K$2501)),COUNTIF($K$2:$K$2501,$K$2:$K$2501),0)),K702)</f>
        <v>B2B</v>
      </c>
    </row>
    <row r="703" spans="1:17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 s="3">
        <f t="shared" si="50"/>
        <v>6804.94</v>
      </c>
      <c r="J703" t="s">
        <v>18</v>
      </c>
      <c r="L703" s="2">
        <f t="shared" si="51"/>
        <v>3402.47</v>
      </c>
      <c r="M703" s="4">
        <f t="shared" si="52"/>
        <v>1.05</v>
      </c>
      <c r="N703" s="1">
        <f t="shared" si="53"/>
        <v>45782</v>
      </c>
      <c r="O703" s="3">
        <f>(Table13[[#This Row],[Units_Sold]]*Table13[[#This Row],[Unit_Price_Cleaned]]*(1-Table13[[#This Row],[Discount Cleaned]]))</f>
        <v>-340.2470000000003</v>
      </c>
      <c r="P703" t="str">
        <f t="shared" si="54"/>
        <v>Loss</v>
      </c>
      <c r="Q703" t="str" cm="1">
        <f t="array" ref="Q703">IF(K703="",INDEX($K$2:$K$2501,MATCH(MAX(COUNTIF($K$2:$K$2501,$K$2:$K$2501)),COUNTIF($K$2:$K$2501,$K$2:$K$2501),0)),K703)</f>
        <v>B2B</v>
      </c>
    </row>
    <row r="704" spans="1:17" x14ac:dyDescent="0.3">
      <c r="A704">
        <v>1702</v>
      </c>
      <c r="B704" t="s">
        <v>753</v>
      </c>
      <c r="C704" t="s">
        <v>25</v>
      </c>
      <c r="D704" t="s">
        <v>54</v>
      </c>
      <c r="E704">
        <v>2</v>
      </c>
      <c r="F704">
        <v>792.36</v>
      </c>
      <c r="H704" s="3">
        <f t="shared" si="50"/>
        <v>1584.72</v>
      </c>
      <c r="I704" s="1">
        <v>45745</v>
      </c>
      <c r="J704" t="s">
        <v>18</v>
      </c>
      <c r="L704" s="2">
        <f t="shared" si="51"/>
        <v>792.36</v>
      </c>
      <c r="M704" s="4">
        <f t="shared" si="52"/>
        <v>0.6</v>
      </c>
      <c r="N704" s="1">
        <f t="shared" si="53"/>
        <v>45745</v>
      </c>
      <c r="O704" s="3">
        <f>(Table13[[#This Row],[Units_Sold]]*Table13[[#This Row],[Unit_Price_Cleaned]]*(1-Table13[[#This Row],[Discount Cleaned]]))</f>
        <v>633.88800000000003</v>
      </c>
      <c r="P704" t="str">
        <f t="shared" si="54"/>
        <v>Profit</v>
      </c>
      <c r="Q704" t="str" cm="1">
        <f t="array" ref="Q704">IF(K704="",INDEX($K$2:$K$2501,MATCH(MAX(COUNTIF($K$2:$K$2501,$K$2:$K$2501)),COUNTIF($K$2:$K$2501,$K$2:$K$2501),0)),K704)</f>
        <v>B2B</v>
      </c>
    </row>
    <row r="705" spans="1:17" x14ac:dyDescent="0.3">
      <c r="A705">
        <v>1703</v>
      </c>
      <c r="B705" t="s">
        <v>754</v>
      </c>
      <c r="C705" t="s">
        <v>13</v>
      </c>
      <c r="D705" t="s">
        <v>14</v>
      </c>
      <c r="E705">
        <v>2</v>
      </c>
      <c r="G705">
        <v>0.92</v>
      </c>
      <c r="H705" s="3">
        <f t="shared" si="50"/>
        <v>4762.5355172413792</v>
      </c>
      <c r="I705" s="1">
        <v>45687</v>
      </c>
      <c r="J705" t="s">
        <v>46</v>
      </c>
      <c r="K705" t="s">
        <v>23</v>
      </c>
      <c r="L705" s="2">
        <f t="shared" si="51"/>
        <v>2381.2677586206896</v>
      </c>
      <c r="M705" s="4">
        <f t="shared" si="52"/>
        <v>0.92</v>
      </c>
      <c r="N705" s="1">
        <f t="shared" si="53"/>
        <v>45687</v>
      </c>
      <c r="O705" s="3">
        <f>(Table13[[#This Row],[Units_Sold]]*Table13[[#This Row],[Unit_Price_Cleaned]]*(1-Table13[[#This Row],[Discount Cleaned]]))</f>
        <v>381.00284137931015</v>
      </c>
      <c r="P705" t="str">
        <f t="shared" si="54"/>
        <v>Loss</v>
      </c>
      <c r="Q705" t="str" cm="1">
        <f t="array" ref="Q705">IF(K705="",INDEX($K$2:$K$2501,MATCH(MAX(COUNTIF($K$2:$K$2501,$K$2:$K$2501)),COUNTIF($K$2:$K$2501,$K$2:$K$2501),0)),K705)</f>
        <v>B2B</v>
      </c>
    </row>
    <row r="706" spans="1:17" x14ac:dyDescent="0.3">
      <c r="A706">
        <v>1704</v>
      </c>
      <c r="B706" t="s">
        <v>755</v>
      </c>
      <c r="C706" t="s">
        <v>33</v>
      </c>
      <c r="D706" t="s">
        <v>72</v>
      </c>
      <c r="E706">
        <v>2</v>
      </c>
      <c r="G706">
        <v>0.47</v>
      </c>
      <c r="H706" s="3">
        <f t="shared" ref="H706:H769" si="55">(L706*E706)</f>
        <v>5431.091698113205</v>
      </c>
      <c r="I706" s="1">
        <v>45556</v>
      </c>
      <c r="J706" t="s">
        <v>40</v>
      </c>
      <c r="K706" t="s">
        <v>23</v>
      </c>
      <c r="L706" s="2">
        <f t="shared" ref="L706:L769" si="56">IF(F706="",AVERAGEIF($D$2:$D$2501,D706,$F$2:$F$2501),F706)</f>
        <v>2715.5458490566025</v>
      </c>
      <c r="M706" s="4">
        <f t="shared" ref="M706:M769" si="57">IF(G706="",MEDIAN($G$2,$G$2501),G706)</f>
        <v>0.47</v>
      </c>
      <c r="N706" s="1">
        <f t="shared" ref="N706:N769" si="58">IF(I706="",MODE($I$32:$I$2501),I706)</f>
        <v>45556</v>
      </c>
      <c r="O706" s="3">
        <f>(Table13[[#This Row],[Units_Sold]]*Table13[[#This Row],[Unit_Price_Cleaned]]*(1-Table13[[#This Row],[Discount Cleaned]]))</f>
        <v>2878.478599999999</v>
      </c>
      <c r="P706" t="str">
        <f t="shared" ref="P706:P769" si="59">IF(O706&gt;500,"Profit","Loss")</f>
        <v>Profit</v>
      </c>
      <c r="Q706" t="str" cm="1">
        <f t="array" ref="Q706">IF(K706="",INDEX($K$2:$K$2501,MATCH(MAX(COUNTIF($K$2:$K$2501,$K$2:$K$2501)),COUNTIF($K$2:$K$2501,$K$2:$K$2501),0)),K706)</f>
        <v>B2B</v>
      </c>
    </row>
    <row r="707" spans="1:17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 s="3">
        <f t="shared" si="55"/>
        <v>-8341.52</v>
      </c>
      <c r="I707" s="1">
        <v>45789</v>
      </c>
      <c r="J707" t="s">
        <v>40</v>
      </c>
      <c r="L707" s="2">
        <f t="shared" si="56"/>
        <v>4170.76</v>
      </c>
      <c r="M707" s="4">
        <f t="shared" si="57"/>
        <v>0.6</v>
      </c>
      <c r="N707" s="1">
        <f t="shared" si="58"/>
        <v>45789</v>
      </c>
      <c r="O707" s="3">
        <f>(Table13[[#This Row],[Units_Sold]]*Table13[[#This Row],[Unit_Price_Cleaned]]*(1-Table13[[#This Row],[Discount Cleaned]]))</f>
        <v>-3336.6080000000002</v>
      </c>
      <c r="P707" t="str">
        <f t="shared" si="59"/>
        <v>Loss</v>
      </c>
      <c r="Q707" t="str" cm="1">
        <f t="array" ref="Q707">IF(K707="",INDEX($K$2:$K$2501,MATCH(MAX(COUNTIF($K$2:$K$2501,$K$2:$K$2501)),COUNTIF($K$2:$K$2501,$K$2:$K$2501),0)),K707)</f>
        <v>B2B</v>
      </c>
    </row>
    <row r="708" spans="1:17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 s="3">
        <f t="shared" si="55"/>
        <v>24139.45</v>
      </c>
      <c r="J708" t="s">
        <v>18</v>
      </c>
      <c r="K708" t="s">
        <v>16</v>
      </c>
      <c r="L708" s="2">
        <f t="shared" si="56"/>
        <v>4827.8900000000003</v>
      </c>
      <c r="M708" s="4">
        <f t="shared" si="57"/>
        <v>0.84</v>
      </c>
      <c r="N708" s="1">
        <f t="shared" si="58"/>
        <v>45782</v>
      </c>
      <c r="O708" s="3">
        <f>(Table13[[#This Row],[Units_Sold]]*Table13[[#This Row],[Unit_Price_Cleaned]]*(1-Table13[[#This Row],[Discount Cleaned]]))</f>
        <v>3862.3120000000008</v>
      </c>
      <c r="P708" t="str">
        <f t="shared" si="59"/>
        <v>Profit</v>
      </c>
      <c r="Q708" t="str" cm="1">
        <f t="array" ref="Q708">IF(K708="",INDEX($K$2:$K$2501,MATCH(MAX(COUNTIF($K$2:$K$2501,$K$2:$K$2501)),COUNTIF($K$2:$K$2501,$K$2:$K$2501),0)),K708)</f>
        <v>B2C</v>
      </c>
    </row>
    <row r="709" spans="1:17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 s="3">
        <f t="shared" si="55"/>
        <v>16087.046181818181</v>
      </c>
      <c r="J709" t="s">
        <v>22</v>
      </c>
      <c r="K709" t="s">
        <v>23</v>
      </c>
      <c r="L709" s="2">
        <f t="shared" si="56"/>
        <v>2681.1743636363635</v>
      </c>
      <c r="M709" s="4">
        <f t="shared" si="57"/>
        <v>0.6</v>
      </c>
      <c r="N709" s="1">
        <f t="shared" si="58"/>
        <v>45782</v>
      </c>
      <c r="O709" s="3">
        <f>(Table13[[#This Row],[Units_Sold]]*Table13[[#This Row],[Unit_Price_Cleaned]]*(1-Table13[[#This Row],[Discount Cleaned]]))</f>
        <v>6434.8184727272728</v>
      </c>
      <c r="P709" t="str">
        <f t="shared" si="59"/>
        <v>Profit</v>
      </c>
      <c r="Q709" t="str" cm="1">
        <f t="array" ref="Q709">IF(K709="",INDEX($K$2:$K$2501,MATCH(MAX(COUNTIF($K$2:$K$2501,$K$2:$K$2501)),COUNTIF($K$2:$K$2501,$K$2:$K$2501),0)),K709)</f>
        <v>B2B</v>
      </c>
    </row>
    <row r="710" spans="1:17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 s="3">
        <f t="shared" si="55"/>
        <v>0</v>
      </c>
      <c r="I710" s="1">
        <v>45813</v>
      </c>
      <c r="J710" t="s">
        <v>15</v>
      </c>
      <c r="L710" s="2">
        <f t="shared" si="56"/>
        <v>2559.6667307692314</v>
      </c>
      <c r="M710" s="4">
        <f t="shared" si="57"/>
        <v>0.55000000000000004</v>
      </c>
      <c r="N710" s="1">
        <f t="shared" si="58"/>
        <v>45813</v>
      </c>
      <c r="O710" s="3">
        <f>(Table13[[#This Row],[Units_Sold]]*Table13[[#This Row],[Unit_Price_Cleaned]]*(1-Table13[[#This Row],[Discount Cleaned]]))</f>
        <v>0</v>
      </c>
      <c r="P710" t="str">
        <f t="shared" si="59"/>
        <v>Loss</v>
      </c>
      <c r="Q710" t="str" cm="1">
        <f t="array" ref="Q710">IF(K710="",INDEX($K$2:$K$2501,MATCH(MAX(COUNTIF($K$2:$K$2501,$K$2:$K$2501)),COUNTIF($K$2:$K$2501,$K$2:$K$2501),0)),K710)</f>
        <v>B2B</v>
      </c>
    </row>
    <row r="711" spans="1:17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 s="3">
        <f t="shared" si="55"/>
        <v>8588.9500000000007</v>
      </c>
      <c r="I711" s="1">
        <v>45563</v>
      </c>
      <c r="J711" t="s">
        <v>18</v>
      </c>
      <c r="K711" t="s">
        <v>23</v>
      </c>
      <c r="L711" s="2">
        <f t="shared" si="56"/>
        <v>1717.79</v>
      </c>
      <c r="M711" s="4">
        <f t="shared" si="57"/>
        <v>0.6</v>
      </c>
      <c r="N711" s="1">
        <f t="shared" si="58"/>
        <v>45563</v>
      </c>
      <c r="O711" s="3">
        <f>(Table13[[#This Row],[Units_Sold]]*Table13[[#This Row],[Unit_Price_Cleaned]]*(1-Table13[[#This Row],[Discount Cleaned]]))</f>
        <v>3435.5800000000004</v>
      </c>
      <c r="P711" t="str">
        <f t="shared" si="59"/>
        <v>Profit</v>
      </c>
      <c r="Q711" t="str" cm="1">
        <f t="array" ref="Q711">IF(K711="",INDEX($K$2:$K$2501,MATCH(MAX(COUNTIF($K$2:$K$2501,$K$2:$K$2501)),COUNTIF($K$2:$K$2501,$K$2:$K$2501),0)),K711)</f>
        <v>B2B</v>
      </c>
    </row>
    <row r="712" spans="1:17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 s="3">
        <f t="shared" si="55"/>
        <v>-2830.1325714285731</v>
      </c>
      <c r="I712" s="1">
        <v>45576</v>
      </c>
      <c r="J712" t="s">
        <v>18</v>
      </c>
      <c r="K712" t="s">
        <v>16</v>
      </c>
      <c r="L712" s="2">
        <f t="shared" si="56"/>
        <v>2830.1325714285731</v>
      </c>
      <c r="M712" s="4">
        <f t="shared" si="57"/>
        <v>0.45</v>
      </c>
      <c r="N712" s="1">
        <f t="shared" si="58"/>
        <v>45576</v>
      </c>
      <c r="O712" s="3">
        <f>(Table13[[#This Row],[Units_Sold]]*Table13[[#This Row],[Unit_Price_Cleaned]]*(1-Table13[[#This Row],[Discount Cleaned]]))</f>
        <v>-1556.5729142857153</v>
      </c>
      <c r="P712" t="str">
        <f t="shared" si="59"/>
        <v>Loss</v>
      </c>
      <c r="Q712" t="str" cm="1">
        <f t="array" ref="Q712">IF(K712="",INDEX($K$2:$K$2501,MATCH(MAX(COUNTIF($K$2:$K$2501,$K$2:$K$2501)),COUNTIF($K$2:$K$2501,$K$2:$K$2501),0)),K712)</f>
        <v>B2C</v>
      </c>
    </row>
    <row r="713" spans="1:17" x14ac:dyDescent="0.3">
      <c r="A713">
        <v>1711</v>
      </c>
      <c r="B713" t="s">
        <v>762</v>
      </c>
      <c r="C713" t="s">
        <v>29</v>
      </c>
      <c r="D713" t="s">
        <v>120</v>
      </c>
      <c r="E713">
        <v>2</v>
      </c>
      <c r="F713">
        <v>2685.92</v>
      </c>
      <c r="H713" s="3">
        <f t="shared" si="55"/>
        <v>5371.84</v>
      </c>
      <c r="I713" s="1">
        <v>45585</v>
      </c>
      <c r="J713" t="s">
        <v>46</v>
      </c>
      <c r="K713" t="s">
        <v>23</v>
      </c>
      <c r="L713" s="2">
        <f t="shared" si="56"/>
        <v>2685.92</v>
      </c>
      <c r="M713" s="4">
        <f t="shared" si="57"/>
        <v>0.6</v>
      </c>
      <c r="N713" s="1">
        <f t="shared" si="58"/>
        <v>45585</v>
      </c>
      <c r="O713" s="3">
        <f>(Table13[[#This Row],[Units_Sold]]*Table13[[#This Row],[Unit_Price_Cleaned]]*(1-Table13[[#This Row],[Discount Cleaned]]))</f>
        <v>2148.7360000000003</v>
      </c>
      <c r="P713" t="str">
        <f t="shared" si="59"/>
        <v>Profit</v>
      </c>
      <c r="Q713" t="str" cm="1">
        <f t="array" ref="Q713">IF(K713="",INDEX($K$2:$K$2501,MATCH(MAX(COUNTIF($K$2:$K$2501,$K$2:$K$2501)),COUNTIF($K$2:$K$2501,$K$2:$K$2501),0)),K713)</f>
        <v>B2B</v>
      </c>
    </row>
    <row r="714" spans="1:17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 s="3">
        <f t="shared" si="55"/>
        <v>-2386.58</v>
      </c>
      <c r="I714" s="1">
        <v>45518</v>
      </c>
      <c r="J714" t="s">
        <v>46</v>
      </c>
      <c r="K714" t="s">
        <v>23</v>
      </c>
      <c r="L714" s="2">
        <f t="shared" si="56"/>
        <v>2386.58</v>
      </c>
      <c r="M714" s="4">
        <f t="shared" si="57"/>
        <v>0.6</v>
      </c>
      <c r="N714" s="1">
        <f t="shared" si="58"/>
        <v>45518</v>
      </c>
      <c r="O714" s="3">
        <f>(Table13[[#This Row],[Units_Sold]]*Table13[[#This Row],[Unit_Price_Cleaned]]*(1-Table13[[#This Row],[Discount Cleaned]]))</f>
        <v>-954.63200000000006</v>
      </c>
      <c r="P714" t="str">
        <f t="shared" si="59"/>
        <v>Loss</v>
      </c>
      <c r="Q714" t="str" cm="1">
        <f t="array" ref="Q714">IF(K714="",INDEX($K$2:$K$2501,MATCH(MAX(COUNTIF($K$2:$K$2501,$K$2:$K$2501)),COUNTIF($K$2:$K$2501,$K$2:$K$2501),0)),K714)</f>
        <v>B2B</v>
      </c>
    </row>
    <row r="715" spans="1:17" x14ac:dyDescent="0.3">
      <c r="A715">
        <v>1713</v>
      </c>
      <c r="B715" t="s">
        <v>764</v>
      </c>
      <c r="C715" t="s">
        <v>33</v>
      </c>
      <c r="D715" t="s">
        <v>82</v>
      </c>
      <c r="E715">
        <v>2</v>
      </c>
      <c r="H715" s="3">
        <f t="shared" si="55"/>
        <v>5552.4404000000004</v>
      </c>
      <c r="I715" s="1">
        <v>45597</v>
      </c>
      <c r="J715" t="s">
        <v>46</v>
      </c>
      <c r="K715" t="s">
        <v>16</v>
      </c>
      <c r="L715" s="2">
        <f t="shared" si="56"/>
        <v>2776.2202000000002</v>
      </c>
      <c r="M715" s="4">
        <f t="shared" si="57"/>
        <v>0.6</v>
      </c>
      <c r="N715" s="1">
        <f t="shared" si="58"/>
        <v>45597</v>
      </c>
      <c r="O715" s="3">
        <f>(Table13[[#This Row],[Units_Sold]]*Table13[[#This Row],[Unit_Price_Cleaned]]*(1-Table13[[#This Row],[Discount Cleaned]]))</f>
        <v>2220.9761600000002</v>
      </c>
      <c r="P715" t="str">
        <f t="shared" si="59"/>
        <v>Profit</v>
      </c>
      <c r="Q715" t="str" cm="1">
        <f t="array" ref="Q715">IF(K715="",INDEX($K$2:$K$2501,MATCH(MAX(COUNTIF($K$2:$K$2501,$K$2:$K$2501)),COUNTIF($K$2:$K$2501,$K$2:$K$2501),0)),K715)</f>
        <v>B2C</v>
      </c>
    </row>
    <row r="716" spans="1:17" x14ac:dyDescent="0.3">
      <c r="A716">
        <v>1714</v>
      </c>
      <c r="B716" t="s">
        <v>765</v>
      </c>
      <c r="C716" t="s">
        <v>33</v>
      </c>
      <c r="D716" t="s">
        <v>82</v>
      </c>
      <c r="E716">
        <v>2</v>
      </c>
      <c r="H716" s="3">
        <f t="shared" si="55"/>
        <v>5552.4404000000004</v>
      </c>
      <c r="J716" t="s">
        <v>56</v>
      </c>
      <c r="K716" t="s">
        <v>16</v>
      </c>
      <c r="L716" s="2">
        <f t="shared" si="56"/>
        <v>2776.2202000000002</v>
      </c>
      <c r="M716" s="4">
        <f t="shared" si="57"/>
        <v>0.6</v>
      </c>
      <c r="N716" s="1">
        <f t="shared" si="58"/>
        <v>45782</v>
      </c>
      <c r="O716" s="3">
        <f>(Table13[[#This Row],[Units_Sold]]*Table13[[#This Row],[Unit_Price_Cleaned]]*(1-Table13[[#This Row],[Discount Cleaned]]))</f>
        <v>2220.9761600000002</v>
      </c>
      <c r="P716" t="str">
        <f t="shared" si="59"/>
        <v>Profit</v>
      </c>
      <c r="Q716" t="str" cm="1">
        <f t="array" ref="Q716">IF(K716="",INDEX($K$2:$K$2501,MATCH(MAX(COUNTIF($K$2:$K$2501,$K$2:$K$2501)),COUNTIF($K$2:$K$2501,$K$2:$K$2501),0)),K716)</f>
        <v>B2C</v>
      </c>
    </row>
    <row r="717" spans="1:17" x14ac:dyDescent="0.3">
      <c r="A717">
        <v>1715</v>
      </c>
      <c r="B717" t="s">
        <v>766</v>
      </c>
      <c r="C717" t="s">
        <v>29</v>
      </c>
      <c r="D717" t="s">
        <v>120</v>
      </c>
      <c r="E717">
        <v>2</v>
      </c>
      <c r="F717">
        <v>3863.51</v>
      </c>
      <c r="H717" s="3">
        <f t="shared" si="55"/>
        <v>7727.02</v>
      </c>
      <c r="I717" s="1">
        <v>45796</v>
      </c>
      <c r="J717" t="s">
        <v>22</v>
      </c>
      <c r="K717" t="s">
        <v>16</v>
      </c>
      <c r="L717" s="2">
        <f t="shared" si="56"/>
        <v>3863.51</v>
      </c>
      <c r="M717" s="4">
        <f t="shared" si="57"/>
        <v>0.6</v>
      </c>
      <c r="N717" s="1">
        <f t="shared" si="58"/>
        <v>45796</v>
      </c>
      <c r="O717" s="3">
        <f>(Table13[[#This Row],[Units_Sold]]*Table13[[#This Row],[Unit_Price_Cleaned]]*(1-Table13[[#This Row],[Discount Cleaned]]))</f>
        <v>3090.8080000000004</v>
      </c>
      <c r="P717" t="str">
        <f t="shared" si="59"/>
        <v>Profit</v>
      </c>
      <c r="Q717" t="str" cm="1">
        <f t="array" ref="Q717">IF(K717="",INDEX($K$2:$K$2501,MATCH(MAX(COUNTIF($K$2:$K$2501,$K$2:$K$2501)),COUNTIF($K$2:$K$2501,$K$2:$K$2501),0)),K717)</f>
        <v>B2C</v>
      </c>
    </row>
    <row r="718" spans="1:17" x14ac:dyDescent="0.3">
      <c r="A718">
        <v>1716</v>
      </c>
      <c r="B718" t="s">
        <v>767</v>
      </c>
      <c r="C718" t="s">
        <v>38</v>
      </c>
      <c r="D718" t="s">
        <v>39</v>
      </c>
      <c r="E718">
        <v>2</v>
      </c>
      <c r="F718">
        <v>980.17</v>
      </c>
      <c r="H718" s="3">
        <f t="shared" si="55"/>
        <v>1960.34</v>
      </c>
      <c r="I718" s="1">
        <v>45496</v>
      </c>
      <c r="J718" t="s">
        <v>22</v>
      </c>
      <c r="K718" t="s">
        <v>23</v>
      </c>
      <c r="L718" s="2">
        <f t="shared" si="56"/>
        <v>980.17</v>
      </c>
      <c r="M718" s="4">
        <f t="shared" si="57"/>
        <v>0.6</v>
      </c>
      <c r="N718" s="1">
        <f t="shared" si="58"/>
        <v>45496</v>
      </c>
      <c r="O718" s="3">
        <f>(Table13[[#This Row],[Units_Sold]]*Table13[[#This Row],[Unit_Price_Cleaned]]*(1-Table13[[#This Row],[Discount Cleaned]]))</f>
        <v>784.13599999999997</v>
      </c>
      <c r="P718" t="str">
        <f t="shared" si="59"/>
        <v>Profit</v>
      </c>
      <c r="Q718" t="str" cm="1">
        <f t="array" ref="Q718">IF(K718="",INDEX($K$2:$K$2501,MATCH(MAX(COUNTIF($K$2:$K$2501,$K$2:$K$2501)),COUNTIF($K$2:$K$2501,$K$2:$K$2501),0)),K718)</f>
        <v>B2B</v>
      </c>
    </row>
    <row r="719" spans="1:17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 s="3">
        <f t="shared" si="55"/>
        <v>5116.8</v>
      </c>
      <c r="I719" s="1">
        <v>45611</v>
      </c>
      <c r="J719" t="s">
        <v>15</v>
      </c>
      <c r="K719" t="s">
        <v>16</v>
      </c>
      <c r="L719" s="2">
        <f t="shared" si="56"/>
        <v>1279.2</v>
      </c>
      <c r="M719" s="4">
        <f t="shared" si="57"/>
        <v>0.27</v>
      </c>
      <c r="N719" s="1">
        <f t="shared" si="58"/>
        <v>45611</v>
      </c>
      <c r="O719" s="3">
        <f>(Table13[[#This Row],[Units_Sold]]*Table13[[#This Row],[Unit_Price_Cleaned]]*(1-Table13[[#This Row],[Discount Cleaned]]))</f>
        <v>3735.2640000000001</v>
      </c>
      <c r="P719" t="str">
        <f t="shared" si="59"/>
        <v>Profit</v>
      </c>
      <c r="Q719" t="str" cm="1">
        <f t="array" ref="Q719">IF(K719="",INDEX($K$2:$K$2501,MATCH(MAX(COUNTIF($K$2:$K$2501,$K$2:$K$2501)),COUNTIF($K$2:$K$2501,$K$2:$K$2501),0)),K719)</f>
        <v>B2C</v>
      </c>
    </row>
    <row r="720" spans="1:17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 s="3">
        <f t="shared" si="55"/>
        <v>19944.949999999997</v>
      </c>
      <c r="I720" s="1">
        <v>45802</v>
      </c>
      <c r="J720" t="s">
        <v>56</v>
      </c>
      <c r="K720" t="s">
        <v>16</v>
      </c>
      <c r="L720" s="2">
        <f t="shared" si="56"/>
        <v>3988.99</v>
      </c>
      <c r="M720" s="4">
        <f t="shared" si="57"/>
        <v>0.6</v>
      </c>
      <c r="N720" s="1">
        <f t="shared" si="58"/>
        <v>45802</v>
      </c>
      <c r="O720" s="3">
        <f>(Table13[[#This Row],[Units_Sold]]*Table13[[#This Row],[Unit_Price_Cleaned]]*(1-Table13[[#This Row],[Discount Cleaned]]))</f>
        <v>7977.98</v>
      </c>
      <c r="P720" t="str">
        <f t="shared" si="59"/>
        <v>Profit</v>
      </c>
      <c r="Q720" t="str" cm="1">
        <f t="array" ref="Q720">IF(K720="",INDEX($K$2:$K$2501,MATCH(MAX(COUNTIF($K$2:$K$2501,$K$2:$K$2501)),COUNTIF($K$2:$K$2501,$K$2:$K$2501),0)),K720)</f>
        <v>B2C</v>
      </c>
    </row>
    <row r="721" spans="1:17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 s="3">
        <f t="shared" si="55"/>
        <v>13223.369999999999</v>
      </c>
      <c r="I721" s="1">
        <v>45731</v>
      </c>
      <c r="J721" t="s">
        <v>15</v>
      </c>
      <c r="K721" t="s">
        <v>23</v>
      </c>
      <c r="L721" s="2">
        <f t="shared" si="56"/>
        <v>4407.79</v>
      </c>
      <c r="M721" s="4">
        <f t="shared" si="57"/>
        <v>0.64</v>
      </c>
      <c r="N721" s="1">
        <f t="shared" si="58"/>
        <v>45731</v>
      </c>
      <c r="O721" s="3">
        <f>(Table13[[#This Row],[Units_Sold]]*Table13[[#This Row],[Unit_Price_Cleaned]]*(1-Table13[[#This Row],[Discount Cleaned]]))</f>
        <v>4760.4131999999991</v>
      </c>
      <c r="P721" t="str">
        <f t="shared" si="59"/>
        <v>Profit</v>
      </c>
      <c r="Q721" t="str" cm="1">
        <f t="array" ref="Q721">IF(K721="",INDEX($K$2:$K$2501,MATCH(MAX(COUNTIF($K$2:$K$2501,$K$2:$K$2501)),COUNTIF($K$2:$K$2501,$K$2:$K$2501),0)),K721)</f>
        <v>B2B</v>
      </c>
    </row>
    <row r="722" spans="1:17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 s="3">
        <f t="shared" si="55"/>
        <v>11002.619999999999</v>
      </c>
      <c r="I722" s="1">
        <v>45138</v>
      </c>
      <c r="J722" t="s">
        <v>18</v>
      </c>
      <c r="K722" t="s">
        <v>23</v>
      </c>
      <c r="L722" s="2">
        <f t="shared" si="56"/>
        <v>3667.54</v>
      </c>
      <c r="M722" s="4">
        <f t="shared" si="57"/>
        <v>0.56999999999999995</v>
      </c>
      <c r="N722" s="1">
        <f t="shared" si="58"/>
        <v>45138</v>
      </c>
      <c r="O722" s="3">
        <f>(Table13[[#This Row],[Units_Sold]]*Table13[[#This Row],[Unit_Price_Cleaned]]*(1-Table13[[#This Row],[Discount Cleaned]]))</f>
        <v>4731.1266000000005</v>
      </c>
      <c r="P722" t="str">
        <f t="shared" si="59"/>
        <v>Profit</v>
      </c>
      <c r="Q722" t="str" cm="1">
        <f t="array" ref="Q722">IF(K722="",INDEX($K$2:$K$2501,MATCH(MAX(COUNTIF($K$2:$K$2501,$K$2:$K$2501)),COUNTIF($K$2:$K$2501,$K$2:$K$2501),0)),K722)</f>
        <v>B2B</v>
      </c>
    </row>
    <row r="723" spans="1:17" x14ac:dyDescent="0.3">
      <c r="A723">
        <v>1721</v>
      </c>
      <c r="B723" t="s">
        <v>772</v>
      </c>
      <c r="C723" t="s">
        <v>38</v>
      </c>
      <c r="D723" t="s">
        <v>63</v>
      </c>
      <c r="E723">
        <v>2</v>
      </c>
      <c r="H723" s="3">
        <f t="shared" si="55"/>
        <v>5690.4839344262318</v>
      </c>
      <c r="I723" s="1">
        <v>45575</v>
      </c>
      <c r="J723" t="s">
        <v>15</v>
      </c>
      <c r="K723" t="s">
        <v>16</v>
      </c>
      <c r="L723" s="2">
        <f t="shared" si="56"/>
        <v>2845.2419672131159</v>
      </c>
      <c r="M723" s="4">
        <f t="shared" si="57"/>
        <v>0.6</v>
      </c>
      <c r="N723" s="1">
        <f t="shared" si="58"/>
        <v>45575</v>
      </c>
      <c r="O723" s="3">
        <f>(Table13[[#This Row],[Units_Sold]]*Table13[[#This Row],[Unit_Price_Cleaned]]*(1-Table13[[#This Row],[Discount Cleaned]]))</f>
        <v>2276.193573770493</v>
      </c>
      <c r="P723" t="str">
        <f t="shared" si="59"/>
        <v>Profit</v>
      </c>
      <c r="Q723" t="str" cm="1">
        <f t="array" ref="Q723">IF(K723="",INDEX($K$2:$K$2501,MATCH(MAX(COUNTIF($K$2:$K$2501,$K$2:$K$2501)),COUNTIF($K$2:$K$2501,$K$2:$K$2501),0)),K723)</f>
        <v>B2C</v>
      </c>
    </row>
    <row r="724" spans="1:17" x14ac:dyDescent="0.3">
      <c r="A724">
        <v>1722</v>
      </c>
      <c r="B724" t="s">
        <v>773</v>
      </c>
      <c r="C724" t="s">
        <v>20</v>
      </c>
      <c r="D724" t="s">
        <v>80</v>
      </c>
      <c r="E724">
        <v>2</v>
      </c>
      <c r="G724">
        <v>0.85</v>
      </c>
      <c r="H724" s="3">
        <f t="shared" si="55"/>
        <v>4967.1688000000004</v>
      </c>
      <c r="J724" t="s">
        <v>22</v>
      </c>
      <c r="K724" t="s">
        <v>16</v>
      </c>
      <c r="L724" s="2">
        <f t="shared" si="56"/>
        <v>2483.5844000000002</v>
      </c>
      <c r="M724" s="4">
        <f t="shared" si="57"/>
        <v>0.85</v>
      </c>
      <c r="N724" s="1">
        <f t="shared" si="58"/>
        <v>45782</v>
      </c>
      <c r="O724" s="3">
        <f>(Table13[[#This Row],[Units_Sold]]*Table13[[#This Row],[Unit_Price_Cleaned]]*(1-Table13[[#This Row],[Discount Cleaned]]))</f>
        <v>745.07532000000015</v>
      </c>
      <c r="P724" t="str">
        <f t="shared" si="59"/>
        <v>Profit</v>
      </c>
      <c r="Q724" t="str" cm="1">
        <f t="array" ref="Q724">IF(K724="",INDEX($K$2:$K$2501,MATCH(MAX(COUNTIF($K$2:$K$2501,$K$2:$K$2501)),COUNTIF($K$2:$K$2501,$K$2:$K$2501),0)),K724)</f>
        <v>B2C</v>
      </c>
    </row>
    <row r="725" spans="1:17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 s="3">
        <f t="shared" si="55"/>
        <v>11475.107272727271</v>
      </c>
      <c r="I725" s="1">
        <v>45827</v>
      </c>
      <c r="J725" t="s">
        <v>18</v>
      </c>
      <c r="K725" t="s">
        <v>23</v>
      </c>
      <c r="L725" s="2">
        <f t="shared" si="56"/>
        <v>2868.7768181818178</v>
      </c>
      <c r="M725" s="4">
        <f t="shared" si="57"/>
        <v>0.2</v>
      </c>
      <c r="N725" s="1">
        <f t="shared" si="58"/>
        <v>45827</v>
      </c>
      <c r="O725" s="3">
        <f>(Table13[[#This Row],[Units_Sold]]*Table13[[#This Row],[Unit_Price_Cleaned]]*(1-Table13[[#This Row],[Discount Cleaned]]))</f>
        <v>9180.0858181818166</v>
      </c>
      <c r="P725" t="str">
        <f t="shared" si="59"/>
        <v>Profit</v>
      </c>
      <c r="Q725" t="str" cm="1">
        <f t="array" ref="Q725">IF(K725="",INDEX($K$2:$K$2501,MATCH(MAX(COUNTIF($K$2:$K$2501,$K$2:$K$2501)),COUNTIF($K$2:$K$2501,$K$2:$K$2501),0)),K725)</f>
        <v>B2B</v>
      </c>
    </row>
    <row r="726" spans="1:17" x14ac:dyDescent="0.3">
      <c r="A726">
        <v>1724</v>
      </c>
      <c r="B726" t="s">
        <v>775</v>
      </c>
      <c r="C726" t="s">
        <v>13</v>
      </c>
      <c r="D726" t="s">
        <v>102</v>
      </c>
      <c r="E726">
        <v>2</v>
      </c>
      <c r="F726">
        <v>2047.6</v>
      </c>
      <c r="G726">
        <v>0.92</v>
      </c>
      <c r="H726" s="3">
        <f t="shared" si="55"/>
        <v>4095.2</v>
      </c>
      <c r="I726" s="1">
        <v>45556</v>
      </c>
      <c r="J726" t="s">
        <v>40</v>
      </c>
      <c r="K726" t="s">
        <v>23</v>
      </c>
      <c r="L726" s="2">
        <f t="shared" si="56"/>
        <v>2047.6</v>
      </c>
      <c r="M726" s="4">
        <f t="shared" si="57"/>
        <v>0.92</v>
      </c>
      <c r="N726" s="1">
        <f t="shared" si="58"/>
        <v>45556</v>
      </c>
      <c r="O726" s="3">
        <f>(Table13[[#This Row],[Units_Sold]]*Table13[[#This Row],[Unit_Price_Cleaned]]*(1-Table13[[#This Row],[Discount Cleaned]]))</f>
        <v>327.61599999999981</v>
      </c>
      <c r="P726" t="str">
        <f t="shared" si="59"/>
        <v>Loss</v>
      </c>
      <c r="Q726" t="str" cm="1">
        <f t="array" ref="Q726">IF(K726="",INDEX($K$2:$K$2501,MATCH(MAX(COUNTIF($K$2:$K$2501,$K$2:$K$2501)),COUNTIF($K$2:$K$2501,$K$2:$K$2501),0)),K726)</f>
        <v>B2B</v>
      </c>
    </row>
    <row r="727" spans="1:17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 s="3">
        <f t="shared" si="55"/>
        <v>2014.5</v>
      </c>
      <c r="I727" s="1">
        <v>45517</v>
      </c>
      <c r="J727" t="s">
        <v>56</v>
      </c>
      <c r="K727" t="s">
        <v>23</v>
      </c>
      <c r="L727" s="2">
        <f t="shared" si="56"/>
        <v>671.5</v>
      </c>
      <c r="M727" s="4">
        <f t="shared" si="57"/>
        <v>0.6</v>
      </c>
      <c r="N727" s="1">
        <f t="shared" si="58"/>
        <v>45517</v>
      </c>
      <c r="O727" s="3">
        <f>(Table13[[#This Row],[Units_Sold]]*Table13[[#This Row],[Unit_Price_Cleaned]]*(1-Table13[[#This Row],[Discount Cleaned]]))</f>
        <v>805.80000000000007</v>
      </c>
      <c r="P727" t="str">
        <f t="shared" si="59"/>
        <v>Profit</v>
      </c>
      <c r="Q727" t="str" cm="1">
        <f t="array" ref="Q727">IF(K727="",INDEX($K$2:$K$2501,MATCH(MAX(COUNTIF($K$2:$K$2501,$K$2:$K$2501)),COUNTIF($K$2:$K$2501,$K$2:$K$2501),0)),K727)</f>
        <v>B2B</v>
      </c>
    </row>
    <row r="728" spans="1:17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 s="3">
        <f t="shared" si="55"/>
        <v>6817.55</v>
      </c>
      <c r="I728" s="1">
        <v>45691</v>
      </c>
      <c r="J728" t="s">
        <v>40</v>
      </c>
      <c r="K728" t="s">
        <v>16</v>
      </c>
      <c r="L728" s="2">
        <f t="shared" si="56"/>
        <v>1363.51</v>
      </c>
      <c r="M728" s="4">
        <f t="shared" si="57"/>
        <v>1.26</v>
      </c>
      <c r="N728" s="1">
        <f t="shared" si="58"/>
        <v>45691</v>
      </c>
      <c r="O728" s="3">
        <f>(Table13[[#This Row],[Units_Sold]]*Table13[[#This Row],[Unit_Price_Cleaned]]*(1-Table13[[#This Row],[Discount Cleaned]]))</f>
        <v>-1772.5630000000001</v>
      </c>
      <c r="P728" t="str">
        <f t="shared" si="59"/>
        <v>Loss</v>
      </c>
      <c r="Q728" t="str" cm="1">
        <f t="array" ref="Q728">IF(K728="",INDEX($K$2:$K$2501,MATCH(MAX(COUNTIF($K$2:$K$2501,$K$2:$K$2501)),COUNTIF($K$2:$K$2501,$K$2:$K$2501),0)),K728)</f>
        <v>B2C</v>
      </c>
    </row>
    <row r="729" spans="1:17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 s="3">
        <f t="shared" si="55"/>
        <v>14150.662857142866</v>
      </c>
      <c r="J729" t="s">
        <v>22</v>
      </c>
      <c r="L729" s="2">
        <f t="shared" si="56"/>
        <v>2830.1325714285731</v>
      </c>
      <c r="M729" s="4">
        <f t="shared" si="57"/>
        <v>0.76</v>
      </c>
      <c r="N729" s="1">
        <f t="shared" si="58"/>
        <v>45782</v>
      </c>
      <c r="O729" s="3">
        <f>(Table13[[#This Row],[Units_Sold]]*Table13[[#This Row],[Unit_Price_Cleaned]]*(1-Table13[[#This Row],[Discount Cleaned]]))</f>
        <v>3396.1590857142878</v>
      </c>
      <c r="P729" t="str">
        <f t="shared" si="59"/>
        <v>Profit</v>
      </c>
      <c r="Q729" t="str" cm="1">
        <f t="array" ref="Q729">IF(K729="",INDEX($K$2:$K$2501,MATCH(MAX(COUNTIF($K$2:$K$2501,$K$2:$K$2501)),COUNTIF($K$2:$K$2501,$K$2:$K$2501),0)),K729)</f>
        <v>B2B</v>
      </c>
    </row>
    <row r="730" spans="1:17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 s="3">
        <f t="shared" si="55"/>
        <v>733.15</v>
      </c>
      <c r="I730" s="1">
        <v>45682</v>
      </c>
      <c r="J730" t="s">
        <v>18</v>
      </c>
      <c r="K730" t="s">
        <v>23</v>
      </c>
      <c r="L730" s="2">
        <f t="shared" si="56"/>
        <v>733.15</v>
      </c>
      <c r="M730" s="4">
        <f t="shared" si="57"/>
        <v>0.27</v>
      </c>
      <c r="N730" s="1">
        <f t="shared" si="58"/>
        <v>45682</v>
      </c>
      <c r="O730" s="3">
        <f>(Table13[[#This Row],[Units_Sold]]*Table13[[#This Row],[Unit_Price_Cleaned]]*(1-Table13[[#This Row],[Discount Cleaned]]))</f>
        <v>535.19949999999994</v>
      </c>
      <c r="P730" t="str">
        <f t="shared" si="59"/>
        <v>Profit</v>
      </c>
      <c r="Q730" t="str" cm="1">
        <f t="array" ref="Q730">IF(K730="",INDEX($K$2:$K$2501,MATCH(MAX(COUNTIF($K$2:$K$2501,$K$2:$K$2501)),COUNTIF($K$2:$K$2501,$K$2:$K$2501),0)),K730)</f>
        <v>B2B</v>
      </c>
    </row>
    <row r="731" spans="1:17" x14ac:dyDescent="0.3">
      <c r="A731">
        <v>1729</v>
      </c>
      <c r="B731" t="s">
        <v>780</v>
      </c>
      <c r="C731" t="s">
        <v>13</v>
      </c>
      <c r="D731" t="s">
        <v>36</v>
      </c>
      <c r="E731">
        <v>2</v>
      </c>
      <c r="F731">
        <v>416.58</v>
      </c>
      <c r="H731" s="3">
        <f t="shared" si="55"/>
        <v>833.16</v>
      </c>
      <c r="J731" t="s">
        <v>40</v>
      </c>
      <c r="K731" t="s">
        <v>23</v>
      </c>
      <c r="L731" s="2">
        <f t="shared" si="56"/>
        <v>416.58</v>
      </c>
      <c r="M731" s="4">
        <f t="shared" si="57"/>
        <v>0.6</v>
      </c>
      <c r="N731" s="1">
        <f t="shared" si="58"/>
        <v>45782</v>
      </c>
      <c r="O731" s="3">
        <f>(Table13[[#This Row],[Units_Sold]]*Table13[[#This Row],[Unit_Price_Cleaned]]*(1-Table13[[#This Row],[Discount Cleaned]]))</f>
        <v>333.26400000000001</v>
      </c>
      <c r="P731" t="str">
        <f t="shared" si="59"/>
        <v>Loss</v>
      </c>
      <c r="Q731" t="str" cm="1">
        <f t="array" ref="Q731">IF(K731="",INDEX($K$2:$K$2501,MATCH(MAX(COUNTIF($K$2:$K$2501,$K$2:$K$2501)),COUNTIF($K$2:$K$2501,$K$2:$K$2501),0)),K731)</f>
        <v>B2B</v>
      </c>
    </row>
    <row r="732" spans="1:17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 s="3">
        <f t="shared" si="55"/>
        <v>0</v>
      </c>
      <c r="I732" s="1">
        <v>45666</v>
      </c>
      <c r="J732" t="s">
        <v>40</v>
      </c>
      <c r="K732" t="s">
        <v>16</v>
      </c>
      <c r="L732" s="2">
        <f t="shared" si="56"/>
        <v>3933.55</v>
      </c>
      <c r="M732" s="4">
        <f t="shared" si="57"/>
        <v>0.6</v>
      </c>
      <c r="N732" s="1">
        <f t="shared" si="58"/>
        <v>45666</v>
      </c>
      <c r="O732" s="3">
        <f>(Table13[[#This Row],[Units_Sold]]*Table13[[#This Row],[Unit_Price_Cleaned]]*(1-Table13[[#This Row],[Discount Cleaned]]))</f>
        <v>0</v>
      </c>
      <c r="P732" t="str">
        <f t="shared" si="59"/>
        <v>Loss</v>
      </c>
      <c r="Q732" t="str" cm="1">
        <f t="array" ref="Q732">IF(K732="",INDEX($K$2:$K$2501,MATCH(MAX(COUNTIF($K$2:$K$2501,$K$2:$K$2501)),COUNTIF($K$2:$K$2501,$K$2:$K$2501),0)),K732)</f>
        <v>B2C</v>
      </c>
    </row>
    <row r="733" spans="1:17" x14ac:dyDescent="0.3">
      <c r="A733">
        <v>1731</v>
      </c>
      <c r="B733" t="s">
        <v>782</v>
      </c>
      <c r="C733" t="s">
        <v>20</v>
      </c>
      <c r="D733" t="s">
        <v>122</v>
      </c>
      <c r="E733">
        <v>2</v>
      </c>
      <c r="G733">
        <v>1</v>
      </c>
      <c r="H733" s="3">
        <f t="shared" si="55"/>
        <v>5400.2526086956505</v>
      </c>
      <c r="I733" s="1">
        <v>45532</v>
      </c>
      <c r="J733" t="s">
        <v>22</v>
      </c>
      <c r="L733" s="2">
        <f t="shared" si="56"/>
        <v>2700.1263043478252</v>
      </c>
      <c r="M733" s="4">
        <f t="shared" si="57"/>
        <v>1</v>
      </c>
      <c r="N733" s="1">
        <f t="shared" si="58"/>
        <v>45532</v>
      </c>
      <c r="O733" s="3">
        <f>(Table13[[#This Row],[Units_Sold]]*Table13[[#This Row],[Unit_Price_Cleaned]]*(1-Table13[[#This Row],[Discount Cleaned]]))</f>
        <v>0</v>
      </c>
      <c r="P733" t="str">
        <f t="shared" si="59"/>
        <v>Loss</v>
      </c>
      <c r="Q733" t="str" cm="1">
        <f t="array" ref="Q733">IF(K733="",INDEX($K$2:$K$2501,MATCH(MAX(COUNTIF($K$2:$K$2501,$K$2:$K$2501)),COUNTIF($K$2:$K$2501,$K$2:$K$2501),0)),K733)</f>
        <v>B2B</v>
      </c>
    </row>
    <row r="734" spans="1:17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 s="3">
        <f t="shared" si="55"/>
        <v>24913.4</v>
      </c>
      <c r="I734" s="1">
        <v>45236</v>
      </c>
      <c r="J734" t="s">
        <v>22</v>
      </c>
      <c r="K734" t="s">
        <v>23</v>
      </c>
      <c r="L734" s="2">
        <f t="shared" si="56"/>
        <v>4982.68</v>
      </c>
      <c r="M734" s="4">
        <f t="shared" si="57"/>
        <v>0.6</v>
      </c>
      <c r="N734" s="1">
        <f t="shared" si="58"/>
        <v>45236</v>
      </c>
      <c r="O734" s="3">
        <f>(Table13[[#This Row],[Units_Sold]]*Table13[[#This Row],[Unit_Price_Cleaned]]*(1-Table13[[#This Row],[Discount Cleaned]]))</f>
        <v>9965.36</v>
      </c>
      <c r="P734" t="str">
        <f t="shared" si="59"/>
        <v>Profit</v>
      </c>
      <c r="Q734" t="str" cm="1">
        <f t="array" ref="Q734">IF(K734="",INDEX($K$2:$K$2501,MATCH(MAX(COUNTIF($K$2:$K$2501,$K$2:$K$2501)),COUNTIF($K$2:$K$2501,$K$2:$K$2501),0)),K734)</f>
        <v>B2B</v>
      </c>
    </row>
    <row r="735" spans="1:17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 s="3">
        <f t="shared" si="55"/>
        <v>-1442.5</v>
      </c>
      <c r="I735" s="1">
        <v>45686</v>
      </c>
      <c r="J735" t="s">
        <v>15</v>
      </c>
      <c r="L735" s="2">
        <f t="shared" si="56"/>
        <v>721.25</v>
      </c>
      <c r="M735" s="4">
        <f t="shared" si="57"/>
        <v>0.6</v>
      </c>
      <c r="N735" s="1">
        <f t="shared" si="58"/>
        <v>45686</v>
      </c>
      <c r="O735" s="3">
        <f>(Table13[[#This Row],[Units_Sold]]*Table13[[#This Row],[Unit_Price_Cleaned]]*(1-Table13[[#This Row],[Discount Cleaned]]))</f>
        <v>-577</v>
      </c>
      <c r="P735" t="str">
        <f t="shared" si="59"/>
        <v>Loss</v>
      </c>
      <c r="Q735" t="str" cm="1">
        <f t="array" ref="Q735">IF(K735="",INDEX($K$2:$K$2501,MATCH(MAX(COUNTIF($K$2:$K$2501,$K$2:$K$2501)),COUNTIF($K$2:$K$2501,$K$2:$K$2501),0)),K735)</f>
        <v>B2B</v>
      </c>
    </row>
    <row r="736" spans="1:17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 s="3">
        <f t="shared" si="55"/>
        <v>0</v>
      </c>
      <c r="I736" s="1">
        <v>45687</v>
      </c>
      <c r="J736" t="s">
        <v>56</v>
      </c>
      <c r="L736" s="2">
        <f t="shared" si="56"/>
        <v>2700.1263043478252</v>
      </c>
      <c r="M736" s="4">
        <f t="shared" si="57"/>
        <v>0.6</v>
      </c>
      <c r="N736" s="1">
        <f t="shared" si="58"/>
        <v>45687</v>
      </c>
      <c r="O736" s="3">
        <f>(Table13[[#This Row],[Units_Sold]]*Table13[[#This Row],[Unit_Price_Cleaned]]*(1-Table13[[#This Row],[Discount Cleaned]]))</f>
        <v>0</v>
      </c>
      <c r="P736" t="str">
        <f t="shared" si="59"/>
        <v>Loss</v>
      </c>
      <c r="Q736" t="str" cm="1">
        <f t="array" ref="Q736">IF(K736="",INDEX($K$2:$K$2501,MATCH(MAX(COUNTIF($K$2:$K$2501,$K$2:$K$2501)),COUNTIF($K$2:$K$2501,$K$2:$K$2501),0)),K736)</f>
        <v>B2B</v>
      </c>
    </row>
    <row r="737" spans="1:17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 s="3">
        <f t="shared" si="55"/>
        <v>10724.697454545454</v>
      </c>
      <c r="I737" s="1">
        <v>45654</v>
      </c>
      <c r="J737" t="s">
        <v>22</v>
      </c>
      <c r="L737" s="2">
        <f t="shared" si="56"/>
        <v>2681.1743636363635</v>
      </c>
      <c r="M737" s="4">
        <f t="shared" si="57"/>
        <v>1.06</v>
      </c>
      <c r="N737" s="1">
        <f t="shared" si="58"/>
        <v>45654</v>
      </c>
      <c r="O737" s="3">
        <f>(Table13[[#This Row],[Units_Sold]]*Table13[[#This Row],[Unit_Price_Cleaned]]*(1-Table13[[#This Row],[Discount Cleaned]]))</f>
        <v>-643.4818472727278</v>
      </c>
      <c r="P737" t="str">
        <f t="shared" si="59"/>
        <v>Loss</v>
      </c>
      <c r="Q737" t="str" cm="1">
        <f t="array" ref="Q737">IF(K737="",INDEX($K$2:$K$2501,MATCH(MAX(COUNTIF($K$2:$K$2501,$K$2:$K$2501)),COUNTIF($K$2:$K$2501,$K$2:$K$2501),0)),K737)</f>
        <v>B2B</v>
      </c>
    </row>
    <row r="738" spans="1:17" x14ac:dyDescent="0.3">
      <c r="A738">
        <v>1736</v>
      </c>
      <c r="B738" t="s">
        <v>787</v>
      </c>
      <c r="C738" t="s">
        <v>20</v>
      </c>
      <c r="D738" t="s">
        <v>21</v>
      </c>
      <c r="E738">
        <v>2</v>
      </c>
      <c r="F738">
        <v>1144.47</v>
      </c>
      <c r="G738">
        <v>0.09</v>
      </c>
      <c r="H738" s="3">
        <f t="shared" si="55"/>
        <v>2288.94</v>
      </c>
      <c r="I738" s="1">
        <v>45511</v>
      </c>
      <c r="J738" t="s">
        <v>40</v>
      </c>
      <c r="K738" t="s">
        <v>23</v>
      </c>
      <c r="L738" s="2">
        <f t="shared" si="56"/>
        <v>1144.47</v>
      </c>
      <c r="M738" s="4">
        <f t="shared" si="57"/>
        <v>0.09</v>
      </c>
      <c r="N738" s="1">
        <f t="shared" si="58"/>
        <v>45511</v>
      </c>
      <c r="O738" s="3">
        <f>(Table13[[#This Row],[Units_Sold]]*Table13[[#This Row],[Unit_Price_Cleaned]]*(1-Table13[[#This Row],[Discount Cleaned]]))</f>
        <v>2082.9354000000003</v>
      </c>
      <c r="P738" t="str">
        <f t="shared" si="59"/>
        <v>Profit</v>
      </c>
      <c r="Q738" t="str" cm="1">
        <f t="array" ref="Q738">IF(K738="",INDEX($K$2:$K$2501,MATCH(MAX(COUNTIF($K$2:$K$2501,$K$2:$K$2501)),COUNTIF($K$2:$K$2501,$K$2:$K$2501),0)),K738)</f>
        <v>B2B</v>
      </c>
    </row>
    <row r="739" spans="1:17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 s="3">
        <f t="shared" si="55"/>
        <v>11102.349999999999</v>
      </c>
      <c r="J739" t="s">
        <v>46</v>
      </c>
      <c r="K739" t="s">
        <v>16</v>
      </c>
      <c r="L739" s="2">
        <f t="shared" si="56"/>
        <v>2220.4699999999998</v>
      </c>
      <c r="M739" s="4">
        <f t="shared" si="57"/>
        <v>0.6</v>
      </c>
      <c r="N739" s="1">
        <f t="shared" si="58"/>
        <v>45782</v>
      </c>
      <c r="O739" s="3">
        <f>(Table13[[#This Row],[Units_Sold]]*Table13[[#This Row],[Unit_Price_Cleaned]]*(1-Table13[[#This Row],[Discount Cleaned]]))</f>
        <v>4440.9399999999996</v>
      </c>
      <c r="P739" t="str">
        <f t="shared" si="59"/>
        <v>Profit</v>
      </c>
      <c r="Q739" t="str" cm="1">
        <f t="array" ref="Q739">IF(K739="",INDEX($K$2:$K$2501,MATCH(MAX(COUNTIF($K$2:$K$2501,$K$2:$K$2501)),COUNTIF($K$2:$K$2501,$K$2:$K$2501),0)),K739)</f>
        <v>B2C</v>
      </c>
    </row>
    <row r="740" spans="1:17" x14ac:dyDescent="0.3">
      <c r="A740">
        <v>1738</v>
      </c>
      <c r="B740" t="s">
        <v>789</v>
      </c>
      <c r="C740" t="s">
        <v>33</v>
      </c>
      <c r="D740" t="s">
        <v>72</v>
      </c>
      <c r="E740">
        <v>2</v>
      </c>
      <c r="F740">
        <v>1171.19</v>
      </c>
      <c r="H740" s="3">
        <f t="shared" si="55"/>
        <v>2342.38</v>
      </c>
      <c r="I740" s="1">
        <v>45698</v>
      </c>
      <c r="J740" t="s">
        <v>18</v>
      </c>
      <c r="K740" t="s">
        <v>16</v>
      </c>
      <c r="L740" s="2">
        <f t="shared" si="56"/>
        <v>1171.19</v>
      </c>
      <c r="M740" s="4">
        <f t="shared" si="57"/>
        <v>0.6</v>
      </c>
      <c r="N740" s="1">
        <f t="shared" si="58"/>
        <v>45698</v>
      </c>
      <c r="O740" s="3">
        <f>(Table13[[#This Row],[Units_Sold]]*Table13[[#This Row],[Unit_Price_Cleaned]]*(1-Table13[[#This Row],[Discount Cleaned]]))</f>
        <v>936.95200000000011</v>
      </c>
      <c r="P740" t="str">
        <f t="shared" si="59"/>
        <v>Profit</v>
      </c>
      <c r="Q740" t="str" cm="1">
        <f t="array" ref="Q740">IF(K740="",INDEX($K$2:$K$2501,MATCH(MAX(COUNTIF($K$2:$K$2501,$K$2:$K$2501)),COUNTIF($K$2:$K$2501,$K$2:$K$2501),0)),K740)</f>
        <v>B2C</v>
      </c>
    </row>
    <row r="741" spans="1:17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 s="3">
        <f t="shared" si="55"/>
        <v>2889.54</v>
      </c>
      <c r="I741" s="1">
        <v>45658</v>
      </c>
      <c r="J741" t="s">
        <v>22</v>
      </c>
      <c r="K741" t="s">
        <v>23</v>
      </c>
      <c r="L741" s="2">
        <f t="shared" si="56"/>
        <v>963.18</v>
      </c>
      <c r="M741" s="4">
        <f t="shared" si="57"/>
        <v>0.6</v>
      </c>
      <c r="N741" s="1">
        <f t="shared" si="58"/>
        <v>45658</v>
      </c>
      <c r="O741" s="3">
        <f>(Table13[[#This Row],[Units_Sold]]*Table13[[#This Row],[Unit_Price_Cleaned]]*(1-Table13[[#This Row],[Discount Cleaned]]))</f>
        <v>1155.816</v>
      </c>
      <c r="P741" t="str">
        <f t="shared" si="59"/>
        <v>Profit</v>
      </c>
      <c r="Q741" t="str" cm="1">
        <f t="array" ref="Q741">IF(K741="",INDEX($K$2:$K$2501,MATCH(MAX(COUNTIF($K$2:$K$2501,$K$2:$K$2501)),COUNTIF($K$2:$K$2501,$K$2:$K$2501),0)),K741)</f>
        <v>B2B</v>
      </c>
    </row>
    <row r="742" spans="1:17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 s="3">
        <f t="shared" si="55"/>
        <v>4762.5355172413792</v>
      </c>
      <c r="I742" s="1">
        <v>45832</v>
      </c>
      <c r="J742" t="s">
        <v>18</v>
      </c>
      <c r="K742" t="s">
        <v>23</v>
      </c>
      <c r="L742" s="2">
        <f t="shared" si="56"/>
        <v>2381.2677586206896</v>
      </c>
      <c r="M742" s="4">
        <f t="shared" si="57"/>
        <v>0.6</v>
      </c>
      <c r="N742" s="1">
        <f t="shared" si="58"/>
        <v>45832</v>
      </c>
      <c r="O742" s="3">
        <f>(Table13[[#This Row],[Units_Sold]]*Table13[[#This Row],[Unit_Price_Cleaned]]*(1-Table13[[#This Row],[Discount Cleaned]]))</f>
        <v>1905.0142068965517</v>
      </c>
      <c r="P742" t="str">
        <f t="shared" si="59"/>
        <v>Profit</v>
      </c>
      <c r="Q742" t="str" cm="1">
        <f t="array" ref="Q742">IF(K742="",INDEX($K$2:$K$2501,MATCH(MAX(COUNTIF($K$2:$K$2501,$K$2:$K$2501)),COUNTIF($K$2:$K$2501,$K$2:$K$2501),0)),K742)</f>
        <v>B2B</v>
      </c>
    </row>
    <row r="743" spans="1:17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 s="3">
        <f t="shared" si="55"/>
        <v>1762.56</v>
      </c>
      <c r="I743" s="1">
        <v>45304</v>
      </c>
      <c r="J743" t="s">
        <v>18</v>
      </c>
      <c r="K743" t="s">
        <v>23</v>
      </c>
      <c r="L743" s="2">
        <f t="shared" si="56"/>
        <v>1762.56</v>
      </c>
      <c r="M743" s="4">
        <f t="shared" si="57"/>
        <v>0.98</v>
      </c>
      <c r="N743" s="1">
        <f t="shared" si="58"/>
        <v>45304</v>
      </c>
      <c r="O743" s="3">
        <f>(Table13[[#This Row],[Units_Sold]]*Table13[[#This Row],[Unit_Price_Cleaned]]*(1-Table13[[#This Row],[Discount Cleaned]]))</f>
        <v>35.251200000000033</v>
      </c>
      <c r="P743" t="str">
        <f t="shared" si="59"/>
        <v>Loss</v>
      </c>
      <c r="Q743" t="str" cm="1">
        <f t="array" ref="Q743">IF(K743="",INDEX($K$2:$K$2501,MATCH(MAX(COUNTIF($K$2:$K$2501,$K$2:$K$2501)),COUNTIF($K$2:$K$2501,$K$2:$K$2501),0)),K743)</f>
        <v>B2B</v>
      </c>
    </row>
    <row r="744" spans="1:17" x14ac:dyDescent="0.3">
      <c r="A744">
        <v>1742</v>
      </c>
      <c r="B744" t="s">
        <v>793</v>
      </c>
      <c r="C744" t="s">
        <v>13</v>
      </c>
      <c r="D744" t="s">
        <v>102</v>
      </c>
      <c r="E744">
        <v>2</v>
      </c>
      <c r="G744">
        <v>0.03</v>
      </c>
      <c r="H744" s="3">
        <f t="shared" si="55"/>
        <v>5152.6113793103432</v>
      </c>
      <c r="J744" t="s">
        <v>40</v>
      </c>
      <c r="K744" t="s">
        <v>16</v>
      </c>
      <c r="L744" s="2">
        <f t="shared" si="56"/>
        <v>2576.3056896551716</v>
      </c>
      <c r="M744" s="4">
        <f t="shared" si="57"/>
        <v>0.03</v>
      </c>
      <c r="N744" s="1">
        <f t="shared" si="58"/>
        <v>45782</v>
      </c>
      <c r="O744" s="3">
        <f>(Table13[[#This Row],[Units_Sold]]*Table13[[#This Row],[Unit_Price_Cleaned]]*(1-Table13[[#This Row],[Discount Cleaned]]))</f>
        <v>4998.0330379310326</v>
      </c>
      <c r="P744" t="str">
        <f t="shared" si="59"/>
        <v>Profit</v>
      </c>
      <c r="Q744" t="str" cm="1">
        <f t="array" ref="Q744">IF(K744="",INDEX($K$2:$K$2501,MATCH(MAX(COUNTIF($K$2:$K$2501,$K$2:$K$2501)),COUNTIF($K$2:$K$2501,$K$2:$K$2501),0)),K744)</f>
        <v>B2C</v>
      </c>
    </row>
    <row r="745" spans="1:17" x14ac:dyDescent="0.3">
      <c r="A745">
        <v>1743</v>
      </c>
      <c r="B745" t="s">
        <v>794</v>
      </c>
      <c r="C745" t="s">
        <v>33</v>
      </c>
      <c r="D745" t="s">
        <v>34</v>
      </c>
      <c r="E745">
        <v>2</v>
      </c>
      <c r="H745" s="3">
        <f t="shared" si="55"/>
        <v>4974.07923076923</v>
      </c>
      <c r="I745" s="1">
        <v>45782</v>
      </c>
      <c r="J745" t="s">
        <v>46</v>
      </c>
      <c r="K745" t="s">
        <v>16</v>
      </c>
      <c r="L745" s="2">
        <f t="shared" si="56"/>
        <v>2487.039615384615</v>
      </c>
      <c r="M745" s="4">
        <f t="shared" si="57"/>
        <v>0.6</v>
      </c>
      <c r="N745" s="1">
        <f t="shared" si="58"/>
        <v>45782</v>
      </c>
      <c r="O745" s="3">
        <f>(Table13[[#This Row],[Units_Sold]]*Table13[[#This Row],[Unit_Price_Cleaned]]*(1-Table13[[#This Row],[Discount Cleaned]]))</f>
        <v>1989.631692307692</v>
      </c>
      <c r="P745" t="str">
        <f t="shared" si="59"/>
        <v>Profit</v>
      </c>
      <c r="Q745" t="str" cm="1">
        <f t="array" ref="Q745">IF(K745="",INDEX($K$2:$K$2501,MATCH(MAX(COUNTIF($K$2:$K$2501,$K$2:$K$2501)),COUNTIF($K$2:$K$2501,$K$2:$K$2501),0)),K745)</f>
        <v>B2C</v>
      </c>
    </row>
    <row r="746" spans="1:17" x14ac:dyDescent="0.3">
      <c r="A746">
        <v>1744</v>
      </c>
      <c r="B746" t="s">
        <v>795</v>
      </c>
      <c r="C746" t="s">
        <v>25</v>
      </c>
      <c r="D746" t="s">
        <v>86</v>
      </c>
      <c r="E746">
        <v>2</v>
      </c>
      <c r="H746" s="3">
        <f t="shared" si="55"/>
        <v>5003.0619999999999</v>
      </c>
      <c r="I746" s="1">
        <v>45389</v>
      </c>
      <c r="J746" t="s">
        <v>22</v>
      </c>
      <c r="K746" t="s">
        <v>16</v>
      </c>
      <c r="L746" s="2">
        <f t="shared" si="56"/>
        <v>2501.5309999999999</v>
      </c>
      <c r="M746" s="4">
        <f t="shared" si="57"/>
        <v>0.6</v>
      </c>
      <c r="N746" s="1">
        <f t="shared" si="58"/>
        <v>45389</v>
      </c>
      <c r="O746" s="3">
        <f>(Table13[[#This Row],[Units_Sold]]*Table13[[#This Row],[Unit_Price_Cleaned]]*(1-Table13[[#This Row],[Discount Cleaned]]))</f>
        <v>2001.2248</v>
      </c>
      <c r="P746" t="str">
        <f t="shared" si="59"/>
        <v>Profit</v>
      </c>
      <c r="Q746" t="str" cm="1">
        <f t="array" ref="Q746">IF(K746="",INDEX($K$2:$K$2501,MATCH(MAX(COUNTIF($K$2:$K$2501,$K$2:$K$2501)),COUNTIF($K$2:$K$2501,$K$2:$K$2501),0)),K746)</f>
        <v>B2C</v>
      </c>
    </row>
    <row r="747" spans="1:17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 s="3">
        <f t="shared" si="55"/>
        <v>11104.880800000001</v>
      </c>
      <c r="I747" s="1">
        <v>45490</v>
      </c>
      <c r="J747" t="s">
        <v>40</v>
      </c>
      <c r="L747" s="2">
        <f t="shared" si="56"/>
        <v>2776.2202000000002</v>
      </c>
      <c r="M747" s="4">
        <f t="shared" si="57"/>
        <v>0.43</v>
      </c>
      <c r="N747" s="1">
        <f t="shared" si="58"/>
        <v>45490</v>
      </c>
      <c r="O747" s="3">
        <f>(Table13[[#This Row],[Units_Sold]]*Table13[[#This Row],[Unit_Price_Cleaned]]*(1-Table13[[#This Row],[Discount Cleaned]]))</f>
        <v>6329.7820560000009</v>
      </c>
      <c r="P747" t="str">
        <f t="shared" si="59"/>
        <v>Profit</v>
      </c>
      <c r="Q747" t="str" cm="1">
        <f t="array" ref="Q747">IF(K747="",INDEX($K$2:$K$2501,MATCH(MAX(COUNTIF($K$2:$K$2501,$K$2:$K$2501)),COUNTIF($K$2:$K$2501,$K$2:$K$2501),0)),K747)</f>
        <v>B2B</v>
      </c>
    </row>
    <row r="748" spans="1:17" x14ac:dyDescent="0.3">
      <c r="A748">
        <v>1746</v>
      </c>
      <c r="B748" t="s">
        <v>797</v>
      </c>
      <c r="C748" t="s">
        <v>13</v>
      </c>
      <c r="D748" t="s">
        <v>14</v>
      </c>
      <c r="E748">
        <v>2</v>
      </c>
      <c r="G748">
        <v>0.37</v>
      </c>
      <c r="H748" s="3">
        <f t="shared" si="55"/>
        <v>4762.5355172413792</v>
      </c>
      <c r="I748" s="1">
        <v>45176</v>
      </c>
      <c r="J748" t="s">
        <v>40</v>
      </c>
      <c r="L748" s="2">
        <f t="shared" si="56"/>
        <v>2381.2677586206896</v>
      </c>
      <c r="M748" s="4">
        <f t="shared" si="57"/>
        <v>0.37</v>
      </c>
      <c r="N748" s="1">
        <f t="shared" si="58"/>
        <v>45176</v>
      </c>
      <c r="O748" s="3">
        <f>(Table13[[#This Row],[Units_Sold]]*Table13[[#This Row],[Unit_Price_Cleaned]]*(1-Table13[[#This Row],[Discount Cleaned]]))</f>
        <v>3000.3973758620691</v>
      </c>
      <c r="P748" t="str">
        <f t="shared" si="59"/>
        <v>Profit</v>
      </c>
      <c r="Q748" t="str" cm="1">
        <f t="array" ref="Q748">IF(K748="",INDEX($K$2:$K$2501,MATCH(MAX(COUNTIF($K$2:$K$2501,$K$2:$K$2501)),COUNTIF($K$2:$K$2501,$K$2:$K$2501),0)),K748)</f>
        <v>B2B</v>
      </c>
    </row>
    <row r="749" spans="1:17" x14ac:dyDescent="0.3">
      <c r="A749">
        <v>1747</v>
      </c>
      <c r="B749" t="s">
        <v>798</v>
      </c>
      <c r="C749" t="s">
        <v>33</v>
      </c>
      <c r="D749" t="s">
        <v>44</v>
      </c>
      <c r="E749">
        <v>2</v>
      </c>
      <c r="F749">
        <v>405.37</v>
      </c>
      <c r="H749" s="3">
        <f t="shared" si="55"/>
        <v>810.74</v>
      </c>
      <c r="J749" t="s">
        <v>46</v>
      </c>
      <c r="K749" t="s">
        <v>16</v>
      </c>
      <c r="L749" s="2">
        <f t="shared" si="56"/>
        <v>405.37</v>
      </c>
      <c r="M749" s="4">
        <f t="shared" si="57"/>
        <v>0.6</v>
      </c>
      <c r="N749" s="1">
        <f t="shared" si="58"/>
        <v>45782</v>
      </c>
      <c r="O749" s="3">
        <f>(Table13[[#This Row],[Units_Sold]]*Table13[[#This Row],[Unit_Price_Cleaned]]*(1-Table13[[#This Row],[Discount Cleaned]]))</f>
        <v>324.29600000000005</v>
      </c>
      <c r="P749" t="str">
        <f t="shared" si="59"/>
        <v>Loss</v>
      </c>
      <c r="Q749" t="str" cm="1">
        <f t="array" ref="Q749">IF(K749="",INDEX($K$2:$K$2501,MATCH(MAX(COUNTIF($K$2:$K$2501,$K$2:$K$2501)),COUNTIF($K$2:$K$2501,$K$2:$K$2501),0)),K749)</f>
        <v>B2C</v>
      </c>
    </row>
    <row r="750" spans="1:17" x14ac:dyDescent="0.3">
      <c r="A750">
        <v>1748</v>
      </c>
      <c r="B750" t="s">
        <v>799</v>
      </c>
      <c r="C750" t="s">
        <v>38</v>
      </c>
      <c r="D750" t="s">
        <v>63</v>
      </c>
      <c r="E750">
        <v>2</v>
      </c>
      <c r="H750" s="3">
        <f t="shared" si="55"/>
        <v>5690.4839344262318</v>
      </c>
      <c r="I750" s="1">
        <v>45547</v>
      </c>
      <c r="J750" t="s">
        <v>18</v>
      </c>
      <c r="K750" t="s">
        <v>23</v>
      </c>
      <c r="L750" s="2">
        <f t="shared" si="56"/>
        <v>2845.2419672131159</v>
      </c>
      <c r="M750" s="4">
        <f t="shared" si="57"/>
        <v>0.6</v>
      </c>
      <c r="N750" s="1">
        <f t="shared" si="58"/>
        <v>45547</v>
      </c>
      <c r="O750" s="3">
        <f>(Table13[[#This Row],[Units_Sold]]*Table13[[#This Row],[Unit_Price_Cleaned]]*(1-Table13[[#This Row],[Discount Cleaned]]))</f>
        <v>2276.193573770493</v>
      </c>
      <c r="P750" t="str">
        <f t="shared" si="59"/>
        <v>Profit</v>
      </c>
      <c r="Q750" t="str" cm="1">
        <f t="array" ref="Q750">IF(K750="",INDEX($K$2:$K$2501,MATCH(MAX(COUNTIF($K$2:$K$2501,$K$2:$K$2501)),COUNTIF($K$2:$K$2501,$K$2:$K$2501),0)),K750)</f>
        <v>B2B</v>
      </c>
    </row>
    <row r="751" spans="1:17" x14ac:dyDescent="0.3">
      <c r="A751">
        <v>1749</v>
      </c>
      <c r="B751" t="s">
        <v>232</v>
      </c>
      <c r="C751" t="s">
        <v>25</v>
      </c>
      <c r="D751" t="s">
        <v>26</v>
      </c>
      <c r="E751">
        <v>2</v>
      </c>
      <c r="F751">
        <v>4499.3900000000003</v>
      </c>
      <c r="H751" s="3">
        <f t="shared" si="55"/>
        <v>8998.7800000000007</v>
      </c>
      <c r="I751" s="1">
        <v>45743</v>
      </c>
      <c r="J751" t="s">
        <v>15</v>
      </c>
      <c r="K751" t="s">
        <v>16</v>
      </c>
      <c r="L751" s="2">
        <f t="shared" si="56"/>
        <v>4499.3900000000003</v>
      </c>
      <c r="M751" s="4">
        <f t="shared" si="57"/>
        <v>0.6</v>
      </c>
      <c r="N751" s="1">
        <f t="shared" si="58"/>
        <v>45743</v>
      </c>
      <c r="O751" s="3">
        <f>(Table13[[#This Row],[Units_Sold]]*Table13[[#This Row],[Unit_Price_Cleaned]]*(1-Table13[[#This Row],[Discount Cleaned]]))</f>
        <v>3599.5120000000006</v>
      </c>
      <c r="P751" t="str">
        <f t="shared" si="59"/>
        <v>Profit</v>
      </c>
      <c r="Q751" t="str" cm="1">
        <f t="array" ref="Q751">IF(K751="",INDEX($K$2:$K$2501,MATCH(MAX(COUNTIF($K$2:$K$2501,$K$2:$K$2501)),COUNTIF($K$2:$K$2501,$K$2:$K$2501),0)),K751)</f>
        <v>B2C</v>
      </c>
    </row>
    <row r="752" spans="1:17" x14ac:dyDescent="0.3">
      <c r="A752">
        <v>1750</v>
      </c>
      <c r="B752" t="s">
        <v>800</v>
      </c>
      <c r="C752" t="s">
        <v>38</v>
      </c>
      <c r="D752" t="s">
        <v>59</v>
      </c>
      <c r="E752">
        <v>2</v>
      </c>
      <c r="F752">
        <v>2653.9</v>
      </c>
      <c r="G752">
        <v>0.56000000000000005</v>
      </c>
      <c r="H752" s="3">
        <f t="shared" si="55"/>
        <v>5307.8</v>
      </c>
      <c r="I752" s="1">
        <v>45853</v>
      </c>
      <c r="J752" t="s">
        <v>40</v>
      </c>
      <c r="K752" t="s">
        <v>23</v>
      </c>
      <c r="L752" s="2">
        <f t="shared" si="56"/>
        <v>2653.9</v>
      </c>
      <c r="M752" s="4">
        <f t="shared" si="57"/>
        <v>0.56000000000000005</v>
      </c>
      <c r="N752" s="1">
        <f t="shared" si="58"/>
        <v>45853</v>
      </c>
      <c r="O752" s="3">
        <f>(Table13[[#This Row],[Units_Sold]]*Table13[[#This Row],[Unit_Price_Cleaned]]*(1-Table13[[#This Row],[Discount Cleaned]]))</f>
        <v>2335.4319999999998</v>
      </c>
      <c r="P752" t="str">
        <f t="shared" si="59"/>
        <v>Profit</v>
      </c>
      <c r="Q752" t="str" cm="1">
        <f t="array" ref="Q752">IF(K752="",INDEX($K$2:$K$2501,MATCH(MAX(COUNTIF($K$2:$K$2501,$K$2:$K$2501)),COUNTIF($K$2:$K$2501,$K$2:$K$2501),0)),K752)</f>
        <v>B2B</v>
      </c>
    </row>
    <row r="753" spans="1:17" x14ac:dyDescent="0.3">
      <c r="A753">
        <v>1751</v>
      </c>
      <c r="B753" t="s">
        <v>801</v>
      </c>
      <c r="C753" t="s">
        <v>20</v>
      </c>
      <c r="D753" t="s">
        <v>21</v>
      </c>
      <c r="E753">
        <v>2</v>
      </c>
      <c r="H753" s="3">
        <f t="shared" si="55"/>
        <v>5362.348727272727</v>
      </c>
      <c r="J753" t="s">
        <v>46</v>
      </c>
      <c r="L753" s="2">
        <f t="shared" si="56"/>
        <v>2681.1743636363635</v>
      </c>
      <c r="M753" s="4">
        <f t="shared" si="57"/>
        <v>0.6</v>
      </c>
      <c r="N753" s="1">
        <f t="shared" si="58"/>
        <v>45782</v>
      </c>
      <c r="O753" s="3">
        <f>(Table13[[#This Row],[Units_Sold]]*Table13[[#This Row],[Unit_Price_Cleaned]]*(1-Table13[[#This Row],[Discount Cleaned]]))</f>
        <v>2144.9394909090911</v>
      </c>
      <c r="P753" t="str">
        <f t="shared" si="59"/>
        <v>Profit</v>
      </c>
      <c r="Q753" t="str" cm="1">
        <f t="array" ref="Q753">IF(K753="",INDEX($K$2:$K$2501,MATCH(MAX(COUNTIF($K$2:$K$2501,$K$2:$K$2501)),COUNTIF($K$2:$K$2501,$K$2:$K$2501),0)),K753)</f>
        <v>B2B</v>
      </c>
    </row>
    <row r="754" spans="1:17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 s="3">
        <f t="shared" si="55"/>
        <v>10886</v>
      </c>
      <c r="J754" t="s">
        <v>46</v>
      </c>
      <c r="K754" t="s">
        <v>23</v>
      </c>
      <c r="L754" s="2">
        <f t="shared" si="56"/>
        <v>2177.1999999999998</v>
      </c>
      <c r="M754" s="4">
        <f t="shared" si="57"/>
        <v>0.6</v>
      </c>
      <c r="N754" s="1">
        <f t="shared" si="58"/>
        <v>45782</v>
      </c>
      <c r="O754" s="3">
        <f>(Table13[[#This Row],[Units_Sold]]*Table13[[#This Row],[Unit_Price_Cleaned]]*(1-Table13[[#This Row],[Discount Cleaned]]))</f>
        <v>4354.4000000000005</v>
      </c>
      <c r="P754" t="str">
        <f t="shared" si="59"/>
        <v>Profit</v>
      </c>
      <c r="Q754" t="str" cm="1">
        <f t="array" ref="Q754">IF(K754="",INDEX($K$2:$K$2501,MATCH(MAX(COUNTIF($K$2:$K$2501,$K$2:$K$2501)),COUNTIF($K$2:$K$2501,$K$2:$K$2501),0)),K754)</f>
        <v>B2B</v>
      </c>
    </row>
    <row r="755" spans="1:17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 s="3">
        <f t="shared" si="55"/>
        <v>-5362.348727272727</v>
      </c>
      <c r="I755" s="1">
        <v>45137</v>
      </c>
      <c r="J755" t="s">
        <v>18</v>
      </c>
      <c r="L755" s="2">
        <f t="shared" si="56"/>
        <v>2681.1743636363635</v>
      </c>
      <c r="M755" s="4">
        <f t="shared" si="57"/>
        <v>0.6</v>
      </c>
      <c r="N755" s="1">
        <f t="shared" si="58"/>
        <v>45137</v>
      </c>
      <c r="O755" s="3">
        <f>(Table13[[#This Row],[Units_Sold]]*Table13[[#This Row],[Unit_Price_Cleaned]]*(1-Table13[[#This Row],[Discount Cleaned]]))</f>
        <v>-2144.9394909090911</v>
      </c>
      <c r="P755" t="str">
        <f t="shared" si="59"/>
        <v>Loss</v>
      </c>
      <c r="Q755" t="str" cm="1">
        <f t="array" ref="Q755">IF(K755="",INDEX($K$2:$K$2501,MATCH(MAX(COUNTIF($K$2:$K$2501,$K$2:$K$2501)),COUNTIF($K$2:$K$2501,$K$2:$K$2501),0)),K755)</f>
        <v>B2B</v>
      </c>
    </row>
    <row r="756" spans="1:17" x14ac:dyDescent="0.3">
      <c r="A756">
        <v>1754</v>
      </c>
      <c r="B756" t="s">
        <v>479</v>
      </c>
      <c r="C756" t="s">
        <v>29</v>
      </c>
      <c r="D756" t="s">
        <v>141</v>
      </c>
      <c r="E756">
        <v>2</v>
      </c>
      <c r="G756">
        <v>0.56999999999999995</v>
      </c>
      <c r="H756" s="3">
        <f t="shared" si="55"/>
        <v>4925.58</v>
      </c>
      <c r="I756" s="1">
        <v>45727</v>
      </c>
      <c r="J756" t="s">
        <v>15</v>
      </c>
      <c r="L756" s="2">
        <f t="shared" si="56"/>
        <v>2462.79</v>
      </c>
      <c r="M756" s="4">
        <f t="shared" si="57"/>
        <v>0.56999999999999995</v>
      </c>
      <c r="N756" s="1">
        <f t="shared" si="58"/>
        <v>45727</v>
      </c>
      <c r="O756" s="3">
        <f>(Table13[[#This Row],[Units_Sold]]*Table13[[#This Row],[Unit_Price_Cleaned]]*(1-Table13[[#This Row],[Discount Cleaned]]))</f>
        <v>2117.9994000000002</v>
      </c>
      <c r="P756" t="str">
        <f t="shared" si="59"/>
        <v>Profit</v>
      </c>
      <c r="Q756" t="str" cm="1">
        <f t="array" ref="Q756">IF(K756="",INDEX($K$2:$K$2501,MATCH(MAX(COUNTIF($K$2:$K$2501,$K$2:$K$2501)),COUNTIF($K$2:$K$2501,$K$2:$K$2501),0)),K756)</f>
        <v>B2B</v>
      </c>
    </row>
    <row r="757" spans="1:17" x14ac:dyDescent="0.3">
      <c r="A757">
        <v>1755</v>
      </c>
      <c r="B757" t="s">
        <v>804</v>
      </c>
      <c r="C757" t="s">
        <v>25</v>
      </c>
      <c r="D757" t="s">
        <v>54</v>
      </c>
      <c r="E757">
        <v>2</v>
      </c>
      <c r="G757">
        <v>0.76</v>
      </c>
      <c r="H757" s="3">
        <f t="shared" si="55"/>
        <v>5060.7673076923093</v>
      </c>
      <c r="J757" t="s">
        <v>56</v>
      </c>
      <c r="K757" t="s">
        <v>23</v>
      </c>
      <c r="L757" s="2">
        <f t="shared" si="56"/>
        <v>2530.3836538461546</v>
      </c>
      <c r="M757" s="4">
        <f t="shared" si="57"/>
        <v>0.76</v>
      </c>
      <c r="N757" s="1">
        <f t="shared" si="58"/>
        <v>45782</v>
      </c>
      <c r="O757" s="3">
        <f>(Table13[[#This Row],[Units_Sold]]*Table13[[#This Row],[Unit_Price_Cleaned]]*(1-Table13[[#This Row],[Discount Cleaned]]))</f>
        <v>1214.5841538461541</v>
      </c>
      <c r="P757" t="str">
        <f t="shared" si="59"/>
        <v>Profit</v>
      </c>
      <c r="Q757" t="str" cm="1">
        <f t="array" ref="Q757">IF(K757="",INDEX($K$2:$K$2501,MATCH(MAX(COUNTIF($K$2:$K$2501,$K$2:$K$2501)),COUNTIF($K$2:$K$2501,$K$2:$K$2501),0)),K757)</f>
        <v>B2B</v>
      </c>
    </row>
    <row r="758" spans="1:17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 s="3">
        <f t="shared" si="55"/>
        <v>14444.357142857143</v>
      </c>
      <c r="I758" s="1">
        <v>45672</v>
      </c>
      <c r="J758" t="s">
        <v>22</v>
      </c>
      <c r="K758" t="s">
        <v>16</v>
      </c>
      <c r="L758" s="2">
        <f t="shared" si="56"/>
        <v>2888.8714285714286</v>
      </c>
      <c r="M758" s="4">
        <f t="shared" si="57"/>
        <v>0.6</v>
      </c>
      <c r="N758" s="1">
        <f t="shared" si="58"/>
        <v>45672</v>
      </c>
      <c r="O758" s="3">
        <f>(Table13[[#This Row],[Units_Sold]]*Table13[[#This Row],[Unit_Price_Cleaned]]*(1-Table13[[#This Row],[Discount Cleaned]]))</f>
        <v>5777.7428571428572</v>
      </c>
      <c r="P758" t="str">
        <f t="shared" si="59"/>
        <v>Profit</v>
      </c>
      <c r="Q758" t="str" cm="1">
        <f t="array" ref="Q758">IF(K758="",INDEX($K$2:$K$2501,MATCH(MAX(COUNTIF($K$2:$K$2501,$K$2:$K$2501)),COUNTIF($K$2:$K$2501,$K$2:$K$2501),0)),K758)</f>
        <v>B2C</v>
      </c>
    </row>
    <row r="759" spans="1:17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 s="3">
        <f t="shared" si="55"/>
        <v>6810.26</v>
      </c>
      <c r="J759" t="s">
        <v>40</v>
      </c>
      <c r="L759" s="2">
        <f t="shared" si="56"/>
        <v>3405.13</v>
      </c>
      <c r="M759" s="4">
        <f t="shared" si="57"/>
        <v>0.91</v>
      </c>
      <c r="N759" s="1">
        <f t="shared" si="58"/>
        <v>45782</v>
      </c>
      <c r="O759" s="3">
        <f>(Table13[[#This Row],[Units_Sold]]*Table13[[#This Row],[Unit_Price_Cleaned]]*(1-Table13[[#This Row],[Discount Cleaned]]))</f>
        <v>612.92339999999979</v>
      </c>
      <c r="P759" t="str">
        <f t="shared" si="59"/>
        <v>Profit</v>
      </c>
      <c r="Q759" t="str" cm="1">
        <f t="array" ref="Q759">IF(K759="",INDEX($K$2:$K$2501,MATCH(MAX(COUNTIF($K$2:$K$2501,$K$2:$K$2501)),COUNTIF($K$2:$K$2501,$K$2:$K$2501),0)),K759)</f>
        <v>B2B</v>
      </c>
    </row>
    <row r="760" spans="1:17" x14ac:dyDescent="0.3">
      <c r="A760">
        <v>1758</v>
      </c>
      <c r="B760" t="s">
        <v>807</v>
      </c>
      <c r="C760" t="s">
        <v>25</v>
      </c>
      <c r="D760" t="s">
        <v>54</v>
      </c>
      <c r="E760">
        <v>2</v>
      </c>
      <c r="F760">
        <v>1307.6400000000001</v>
      </c>
      <c r="G760">
        <v>0.18</v>
      </c>
      <c r="H760" s="3">
        <f t="shared" si="55"/>
        <v>2615.2800000000002</v>
      </c>
      <c r="I760" s="1">
        <v>45722</v>
      </c>
      <c r="J760" t="s">
        <v>22</v>
      </c>
      <c r="K760" t="s">
        <v>23</v>
      </c>
      <c r="L760" s="2">
        <f t="shared" si="56"/>
        <v>1307.6400000000001</v>
      </c>
      <c r="M760" s="4">
        <f t="shared" si="57"/>
        <v>0.18</v>
      </c>
      <c r="N760" s="1">
        <f t="shared" si="58"/>
        <v>45722</v>
      </c>
      <c r="O760" s="3">
        <f>(Table13[[#This Row],[Units_Sold]]*Table13[[#This Row],[Unit_Price_Cleaned]]*(1-Table13[[#This Row],[Discount Cleaned]]))</f>
        <v>2144.5296000000003</v>
      </c>
      <c r="P760" t="str">
        <f t="shared" si="59"/>
        <v>Profit</v>
      </c>
      <c r="Q760" t="str" cm="1">
        <f t="array" ref="Q760">IF(K760="",INDEX($K$2:$K$2501,MATCH(MAX(COUNTIF($K$2:$K$2501,$K$2:$K$2501)),COUNTIF($K$2:$K$2501,$K$2:$K$2501),0)),K760)</f>
        <v>B2B</v>
      </c>
    </row>
    <row r="761" spans="1:17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 s="3">
        <f t="shared" si="55"/>
        <v>0</v>
      </c>
      <c r="I761" s="1">
        <v>45654</v>
      </c>
      <c r="J761" t="s">
        <v>18</v>
      </c>
      <c r="L761" s="2">
        <f t="shared" si="56"/>
        <v>2487.039615384615</v>
      </c>
      <c r="M761" s="4">
        <f t="shared" si="57"/>
        <v>0.6</v>
      </c>
      <c r="N761" s="1">
        <f t="shared" si="58"/>
        <v>45654</v>
      </c>
      <c r="O761" s="3">
        <f>(Table13[[#This Row],[Units_Sold]]*Table13[[#This Row],[Unit_Price_Cleaned]]*(1-Table13[[#This Row],[Discount Cleaned]]))</f>
        <v>0</v>
      </c>
      <c r="P761" t="str">
        <f t="shared" si="59"/>
        <v>Loss</v>
      </c>
      <c r="Q761" t="str" cm="1">
        <f t="array" ref="Q761">IF(K761="",INDEX($K$2:$K$2501,MATCH(MAX(COUNTIF($K$2:$K$2501,$K$2:$K$2501)),COUNTIF($K$2:$K$2501,$K$2:$K$2501),0)),K761)</f>
        <v>B2B</v>
      </c>
    </row>
    <row r="762" spans="1:17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 s="3">
        <f t="shared" si="55"/>
        <v>12979.800000000001</v>
      </c>
      <c r="I762" s="1">
        <v>45663</v>
      </c>
      <c r="J762" t="s">
        <v>18</v>
      </c>
      <c r="K762" t="s">
        <v>23</v>
      </c>
      <c r="L762" s="2">
        <f t="shared" si="56"/>
        <v>4326.6000000000004</v>
      </c>
      <c r="M762" s="4">
        <f t="shared" si="57"/>
        <v>0.6</v>
      </c>
      <c r="N762" s="1">
        <f t="shared" si="58"/>
        <v>45663</v>
      </c>
      <c r="O762" s="3">
        <f>(Table13[[#This Row],[Units_Sold]]*Table13[[#This Row],[Unit_Price_Cleaned]]*(1-Table13[[#This Row],[Discount Cleaned]]))</f>
        <v>5191.920000000001</v>
      </c>
      <c r="P762" t="str">
        <f t="shared" si="59"/>
        <v>Profit</v>
      </c>
      <c r="Q762" t="str" cm="1">
        <f t="array" ref="Q762">IF(K762="",INDEX($K$2:$K$2501,MATCH(MAX(COUNTIF($K$2:$K$2501,$K$2:$K$2501)),COUNTIF($K$2:$K$2501,$K$2:$K$2501),0)),K762)</f>
        <v>B2B</v>
      </c>
    </row>
    <row r="763" spans="1:17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 s="3">
        <f t="shared" si="55"/>
        <v>8100.3789130434761</v>
      </c>
      <c r="I763" s="1">
        <v>45540</v>
      </c>
      <c r="J763" t="s">
        <v>22</v>
      </c>
      <c r="K763" t="s">
        <v>23</v>
      </c>
      <c r="L763" s="2">
        <f t="shared" si="56"/>
        <v>2700.1263043478252</v>
      </c>
      <c r="M763" s="4">
        <f t="shared" si="57"/>
        <v>0.37</v>
      </c>
      <c r="N763" s="1">
        <f t="shared" si="58"/>
        <v>45540</v>
      </c>
      <c r="O763" s="3">
        <f>(Table13[[#This Row],[Units_Sold]]*Table13[[#This Row],[Unit_Price_Cleaned]]*(1-Table13[[#This Row],[Discount Cleaned]]))</f>
        <v>5103.2387152173897</v>
      </c>
      <c r="P763" t="str">
        <f t="shared" si="59"/>
        <v>Profit</v>
      </c>
      <c r="Q763" t="str" cm="1">
        <f t="array" ref="Q763">IF(K763="",INDEX($K$2:$K$2501,MATCH(MAX(COUNTIF($K$2:$K$2501,$K$2:$K$2501)),COUNTIF($K$2:$K$2501,$K$2:$K$2501),0)),K763)</f>
        <v>B2B</v>
      </c>
    </row>
    <row r="764" spans="1:17" x14ac:dyDescent="0.3">
      <c r="A764">
        <v>1762</v>
      </c>
      <c r="B764" t="s">
        <v>811</v>
      </c>
      <c r="C764" t="s">
        <v>20</v>
      </c>
      <c r="D764" t="s">
        <v>21</v>
      </c>
      <c r="E764">
        <v>2</v>
      </c>
      <c r="F764">
        <v>1364.9</v>
      </c>
      <c r="G764">
        <v>0.17</v>
      </c>
      <c r="H764" s="3">
        <f t="shared" si="55"/>
        <v>2729.8</v>
      </c>
      <c r="I764" s="1">
        <v>45604</v>
      </c>
      <c r="J764" t="s">
        <v>15</v>
      </c>
      <c r="L764" s="2">
        <f t="shared" si="56"/>
        <v>1364.9</v>
      </c>
      <c r="M764" s="4">
        <f t="shared" si="57"/>
        <v>0.17</v>
      </c>
      <c r="N764" s="1">
        <f t="shared" si="58"/>
        <v>45604</v>
      </c>
      <c r="O764" s="3">
        <f>(Table13[[#This Row],[Units_Sold]]*Table13[[#This Row],[Unit_Price_Cleaned]]*(1-Table13[[#This Row],[Discount Cleaned]]))</f>
        <v>2265.7339999999999</v>
      </c>
      <c r="P764" t="str">
        <f t="shared" si="59"/>
        <v>Profit</v>
      </c>
      <c r="Q764" t="str" cm="1">
        <f t="array" ref="Q764">IF(K764="",INDEX($K$2:$K$2501,MATCH(MAX(COUNTIF($K$2:$K$2501,$K$2:$K$2501)),COUNTIF($K$2:$K$2501,$K$2:$K$2501),0)),K764)</f>
        <v>B2B</v>
      </c>
    </row>
    <row r="765" spans="1:17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 s="3">
        <f t="shared" si="55"/>
        <v>3749.12</v>
      </c>
      <c r="J765" t="s">
        <v>46</v>
      </c>
      <c r="L765" s="2">
        <f t="shared" si="56"/>
        <v>1874.56</v>
      </c>
      <c r="M765" s="4">
        <f t="shared" si="57"/>
        <v>0.6</v>
      </c>
      <c r="N765" s="1">
        <f t="shared" si="58"/>
        <v>45782</v>
      </c>
      <c r="O765" s="3">
        <f>(Table13[[#This Row],[Units_Sold]]*Table13[[#This Row],[Unit_Price_Cleaned]]*(1-Table13[[#This Row],[Discount Cleaned]]))</f>
        <v>1499.6480000000001</v>
      </c>
      <c r="P765" t="str">
        <f t="shared" si="59"/>
        <v>Profit</v>
      </c>
      <c r="Q765" t="str" cm="1">
        <f t="array" ref="Q765">IF(K765="",INDEX($K$2:$K$2501,MATCH(MAX(COUNTIF($K$2:$K$2501,$K$2:$K$2501)),COUNTIF($K$2:$K$2501,$K$2:$K$2501),0)),K765)</f>
        <v>B2B</v>
      </c>
    </row>
    <row r="766" spans="1:17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 s="3">
        <f t="shared" si="55"/>
        <v>13029.36</v>
      </c>
      <c r="I766" s="1">
        <v>45825</v>
      </c>
      <c r="J766" t="s">
        <v>56</v>
      </c>
      <c r="K766" t="s">
        <v>16</v>
      </c>
      <c r="L766" s="2">
        <f t="shared" si="56"/>
        <v>4343.12</v>
      </c>
      <c r="M766" s="4">
        <f t="shared" si="57"/>
        <v>0.6</v>
      </c>
      <c r="N766" s="1">
        <f t="shared" si="58"/>
        <v>45825</v>
      </c>
      <c r="O766" s="3">
        <f>(Table13[[#This Row],[Units_Sold]]*Table13[[#This Row],[Unit_Price_Cleaned]]*(1-Table13[[#This Row],[Discount Cleaned]]))</f>
        <v>5211.7440000000006</v>
      </c>
      <c r="P766" t="str">
        <f t="shared" si="59"/>
        <v>Profit</v>
      </c>
      <c r="Q766" t="str" cm="1">
        <f t="array" ref="Q766">IF(K766="",INDEX($K$2:$K$2501,MATCH(MAX(COUNTIF($K$2:$K$2501,$K$2:$K$2501)),COUNTIF($K$2:$K$2501,$K$2:$K$2501),0)),K766)</f>
        <v>B2C</v>
      </c>
    </row>
    <row r="767" spans="1:17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 s="3">
        <f t="shared" si="55"/>
        <v>6099</v>
      </c>
      <c r="I767" s="1">
        <v>45709</v>
      </c>
      <c r="J767" t="s">
        <v>22</v>
      </c>
      <c r="K767" t="s">
        <v>16</v>
      </c>
      <c r="L767" s="2">
        <f t="shared" si="56"/>
        <v>1016.5</v>
      </c>
      <c r="M767" s="4">
        <f t="shared" si="57"/>
        <v>0.6</v>
      </c>
      <c r="N767" s="1">
        <f t="shared" si="58"/>
        <v>45709</v>
      </c>
      <c r="O767" s="3">
        <f>(Table13[[#This Row],[Units_Sold]]*Table13[[#This Row],[Unit_Price_Cleaned]]*(1-Table13[[#This Row],[Discount Cleaned]]))</f>
        <v>2439.6</v>
      </c>
      <c r="P767" t="str">
        <f t="shared" si="59"/>
        <v>Profit</v>
      </c>
      <c r="Q767" t="str" cm="1">
        <f t="array" ref="Q767">IF(K767="",INDEX($K$2:$K$2501,MATCH(MAX(COUNTIF($K$2:$K$2501,$K$2:$K$2501)),COUNTIF($K$2:$K$2501,$K$2:$K$2501),0)),K767)</f>
        <v>B2C</v>
      </c>
    </row>
    <row r="768" spans="1:17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 s="3">
        <f t="shared" si="55"/>
        <v>0</v>
      </c>
      <c r="I768" s="1">
        <v>45838</v>
      </c>
      <c r="J768" t="s">
        <v>22</v>
      </c>
      <c r="L768" s="2">
        <f t="shared" si="56"/>
        <v>3589.19</v>
      </c>
      <c r="M768" s="4">
        <f t="shared" si="57"/>
        <v>0.6</v>
      </c>
      <c r="N768" s="1">
        <f t="shared" si="58"/>
        <v>45838</v>
      </c>
      <c r="O768" s="3">
        <f>(Table13[[#This Row],[Units_Sold]]*Table13[[#This Row],[Unit_Price_Cleaned]]*(1-Table13[[#This Row],[Discount Cleaned]]))</f>
        <v>0</v>
      </c>
      <c r="P768" t="str">
        <f t="shared" si="59"/>
        <v>Loss</v>
      </c>
      <c r="Q768" t="str" cm="1">
        <f t="array" ref="Q768">IF(K768="",INDEX($K$2:$K$2501,MATCH(MAX(COUNTIF($K$2:$K$2501,$K$2:$K$2501)),COUNTIF($K$2:$K$2501,$K$2:$K$2501),0)),K768)</f>
        <v>B2B</v>
      </c>
    </row>
    <row r="769" spans="1:17" x14ac:dyDescent="0.3">
      <c r="A769">
        <v>1767</v>
      </c>
      <c r="B769" t="s">
        <v>816</v>
      </c>
      <c r="C769" t="s">
        <v>38</v>
      </c>
      <c r="D769" t="s">
        <v>59</v>
      </c>
      <c r="E769">
        <v>2</v>
      </c>
      <c r="F769">
        <v>2151.92</v>
      </c>
      <c r="H769" s="3">
        <f t="shared" si="55"/>
        <v>4303.84</v>
      </c>
      <c r="I769" s="1">
        <v>45850</v>
      </c>
      <c r="J769" t="s">
        <v>22</v>
      </c>
      <c r="K769" t="s">
        <v>23</v>
      </c>
      <c r="L769" s="2">
        <f t="shared" si="56"/>
        <v>2151.92</v>
      </c>
      <c r="M769" s="4">
        <f t="shared" si="57"/>
        <v>0.6</v>
      </c>
      <c r="N769" s="1">
        <f t="shared" si="58"/>
        <v>45850</v>
      </c>
      <c r="O769" s="3">
        <f>(Table13[[#This Row],[Units_Sold]]*Table13[[#This Row],[Unit_Price_Cleaned]]*(1-Table13[[#This Row],[Discount Cleaned]]))</f>
        <v>1721.5360000000001</v>
      </c>
      <c r="P769" t="str">
        <f t="shared" si="59"/>
        <v>Profit</v>
      </c>
      <c r="Q769" t="str" cm="1">
        <f t="array" ref="Q769">IF(K769="",INDEX($K$2:$K$2501,MATCH(MAX(COUNTIF($K$2:$K$2501,$K$2:$K$2501)),COUNTIF($K$2:$K$2501,$K$2:$K$2501),0)),K769)</f>
        <v>B2B</v>
      </c>
    </row>
    <row r="770" spans="1:17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 s="3">
        <f t="shared" ref="H770:H833" si="60">(L770*E770)</f>
        <v>17741.099999999999</v>
      </c>
      <c r="I770" s="1">
        <v>45133</v>
      </c>
      <c r="J770" t="s">
        <v>22</v>
      </c>
      <c r="K770" t="s">
        <v>23</v>
      </c>
      <c r="L770" s="2">
        <f t="shared" ref="L770:L833" si="61">IF(F770="",AVERAGEIF($D$2:$D$2501,D770,$F$2:$F$2501),F770)</f>
        <v>3548.22</v>
      </c>
      <c r="M770" s="4">
        <f t="shared" ref="M770:M833" si="62">IF(G770="",MEDIAN($G$2,$G$2501),G770)</f>
        <v>0.6</v>
      </c>
      <c r="N770" s="1">
        <f t="shared" ref="N770:N833" si="63">IF(I770="",MODE($I$32:$I$2501),I770)</f>
        <v>45133</v>
      </c>
      <c r="O770" s="3">
        <f>(Table13[[#This Row],[Units_Sold]]*Table13[[#This Row],[Unit_Price_Cleaned]]*(1-Table13[[#This Row],[Discount Cleaned]]))</f>
        <v>7096.44</v>
      </c>
      <c r="P770" t="str">
        <f t="shared" ref="P770:P833" si="64">IF(O770&gt;500,"Profit","Loss")</f>
        <v>Profit</v>
      </c>
      <c r="Q770" t="str" cm="1">
        <f t="array" ref="Q770">IF(K770="",INDEX($K$2:$K$2501,MATCH(MAX(COUNTIF($K$2:$K$2501,$K$2:$K$2501)),COUNTIF($K$2:$K$2501,$K$2:$K$2501),0)),K770)</f>
        <v>B2B</v>
      </c>
    </row>
    <row r="771" spans="1:17" x14ac:dyDescent="0.3">
      <c r="A771">
        <v>1769</v>
      </c>
      <c r="B771" t="s">
        <v>818</v>
      </c>
      <c r="C771" t="s">
        <v>20</v>
      </c>
      <c r="D771" t="s">
        <v>122</v>
      </c>
      <c r="E771">
        <v>2</v>
      </c>
      <c r="G771">
        <v>1</v>
      </c>
      <c r="H771" s="3">
        <f t="shared" si="60"/>
        <v>5400.2526086956505</v>
      </c>
      <c r="I771" s="1">
        <v>45626</v>
      </c>
      <c r="J771" t="s">
        <v>15</v>
      </c>
      <c r="K771" t="s">
        <v>16</v>
      </c>
      <c r="L771" s="2">
        <f t="shared" si="61"/>
        <v>2700.1263043478252</v>
      </c>
      <c r="M771" s="4">
        <f t="shared" si="62"/>
        <v>1</v>
      </c>
      <c r="N771" s="1">
        <f t="shared" si="63"/>
        <v>45626</v>
      </c>
      <c r="O771" s="3">
        <f>(Table13[[#This Row],[Units_Sold]]*Table13[[#This Row],[Unit_Price_Cleaned]]*(1-Table13[[#This Row],[Discount Cleaned]]))</f>
        <v>0</v>
      </c>
      <c r="P771" t="str">
        <f t="shared" si="64"/>
        <v>Loss</v>
      </c>
      <c r="Q771" t="str" cm="1">
        <f t="array" ref="Q771">IF(K771="",INDEX($K$2:$K$2501,MATCH(MAX(COUNTIF($K$2:$K$2501,$K$2:$K$2501)),COUNTIF($K$2:$K$2501,$K$2:$K$2501),0)),K771)</f>
        <v>B2C</v>
      </c>
    </row>
    <row r="772" spans="1:17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 s="3">
        <f t="shared" si="60"/>
        <v>0</v>
      </c>
      <c r="I772" s="1">
        <v>45197</v>
      </c>
      <c r="J772" t="s">
        <v>46</v>
      </c>
      <c r="L772" s="2">
        <f t="shared" si="61"/>
        <v>2804.2651923076919</v>
      </c>
      <c r="M772" s="4">
        <f t="shared" si="62"/>
        <v>0.6</v>
      </c>
      <c r="N772" s="1">
        <f t="shared" si="63"/>
        <v>45197</v>
      </c>
      <c r="O772" s="3">
        <f>(Table13[[#This Row],[Units_Sold]]*Table13[[#This Row],[Unit_Price_Cleaned]]*(1-Table13[[#This Row],[Discount Cleaned]]))</f>
        <v>0</v>
      </c>
      <c r="P772" t="str">
        <f t="shared" si="64"/>
        <v>Loss</v>
      </c>
      <c r="Q772" t="str" cm="1">
        <f t="array" ref="Q772">IF(K772="",INDEX($K$2:$K$2501,MATCH(MAX(COUNTIF($K$2:$K$2501,$K$2:$K$2501)),COUNTIF($K$2:$K$2501,$K$2:$K$2501),0)),K772)</f>
        <v>B2B</v>
      </c>
    </row>
    <row r="773" spans="1:17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 s="3">
        <f t="shared" si="60"/>
        <v>-730.48</v>
      </c>
      <c r="I773" s="1">
        <v>45664</v>
      </c>
      <c r="J773" t="s">
        <v>56</v>
      </c>
      <c r="K773" t="s">
        <v>16</v>
      </c>
      <c r="L773" s="2">
        <f t="shared" si="61"/>
        <v>730.48</v>
      </c>
      <c r="M773" s="4">
        <f t="shared" si="62"/>
        <v>0.6</v>
      </c>
      <c r="N773" s="1">
        <f t="shared" si="63"/>
        <v>45664</v>
      </c>
      <c r="O773" s="3">
        <f>(Table13[[#This Row],[Units_Sold]]*Table13[[#This Row],[Unit_Price_Cleaned]]*(1-Table13[[#This Row],[Discount Cleaned]]))</f>
        <v>-292.19200000000001</v>
      </c>
      <c r="P773" t="str">
        <f t="shared" si="64"/>
        <v>Loss</v>
      </c>
      <c r="Q773" t="str" cm="1">
        <f t="array" ref="Q773">IF(K773="",INDEX($K$2:$K$2501,MATCH(MAX(COUNTIF($K$2:$K$2501,$K$2:$K$2501)),COUNTIF($K$2:$K$2501,$K$2:$K$2501),0)),K773)</f>
        <v>B2C</v>
      </c>
    </row>
    <row r="774" spans="1:17" x14ac:dyDescent="0.3">
      <c r="A774">
        <v>1772</v>
      </c>
      <c r="B774" t="s">
        <v>821</v>
      </c>
      <c r="C774" t="s">
        <v>13</v>
      </c>
      <c r="D774" t="s">
        <v>36</v>
      </c>
      <c r="E774">
        <v>2</v>
      </c>
      <c r="G774">
        <v>0.38</v>
      </c>
      <c r="H774" s="3">
        <f t="shared" si="60"/>
        <v>5765.0093103448271</v>
      </c>
      <c r="I774" s="1">
        <v>45816</v>
      </c>
      <c r="J774" t="s">
        <v>18</v>
      </c>
      <c r="K774" t="s">
        <v>16</v>
      </c>
      <c r="L774" s="2">
        <f t="shared" si="61"/>
        <v>2882.5046551724135</v>
      </c>
      <c r="M774" s="4">
        <f t="shared" si="62"/>
        <v>0.38</v>
      </c>
      <c r="N774" s="1">
        <f t="shared" si="63"/>
        <v>45816</v>
      </c>
      <c r="O774" s="3">
        <f>(Table13[[#This Row],[Units_Sold]]*Table13[[#This Row],[Unit_Price_Cleaned]]*(1-Table13[[#This Row],[Discount Cleaned]]))</f>
        <v>3574.305772413793</v>
      </c>
      <c r="P774" t="str">
        <f t="shared" si="64"/>
        <v>Profit</v>
      </c>
      <c r="Q774" t="str" cm="1">
        <f t="array" ref="Q774">IF(K774="",INDEX($K$2:$K$2501,MATCH(MAX(COUNTIF($K$2:$K$2501,$K$2:$K$2501)),COUNTIF($K$2:$K$2501,$K$2:$K$2501),0)),K774)</f>
        <v>B2C</v>
      </c>
    </row>
    <row r="775" spans="1:17" x14ac:dyDescent="0.3">
      <c r="A775">
        <v>1773</v>
      </c>
      <c r="B775" t="s">
        <v>822</v>
      </c>
      <c r="C775" t="s">
        <v>29</v>
      </c>
      <c r="D775" t="s">
        <v>120</v>
      </c>
      <c r="E775">
        <v>2</v>
      </c>
      <c r="F775">
        <v>444.82</v>
      </c>
      <c r="G775">
        <v>0.51</v>
      </c>
      <c r="H775" s="3">
        <f t="shared" si="60"/>
        <v>889.64</v>
      </c>
      <c r="J775" t="s">
        <v>56</v>
      </c>
      <c r="K775" t="s">
        <v>16</v>
      </c>
      <c r="L775" s="2">
        <f t="shared" si="61"/>
        <v>444.82</v>
      </c>
      <c r="M775" s="4">
        <f t="shared" si="62"/>
        <v>0.51</v>
      </c>
      <c r="N775" s="1">
        <f t="shared" si="63"/>
        <v>45782</v>
      </c>
      <c r="O775" s="3">
        <f>(Table13[[#This Row],[Units_Sold]]*Table13[[#This Row],[Unit_Price_Cleaned]]*(1-Table13[[#This Row],[Discount Cleaned]]))</f>
        <v>435.92359999999996</v>
      </c>
      <c r="P775" t="str">
        <f t="shared" si="64"/>
        <v>Loss</v>
      </c>
      <c r="Q775" t="str" cm="1">
        <f t="array" ref="Q775">IF(K775="",INDEX($K$2:$K$2501,MATCH(MAX(COUNTIF($K$2:$K$2501,$K$2:$K$2501)),COUNTIF($K$2:$K$2501,$K$2:$K$2501),0)),K775)</f>
        <v>B2C</v>
      </c>
    </row>
    <row r="776" spans="1:17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 s="3">
        <f t="shared" si="60"/>
        <v>12412.29</v>
      </c>
      <c r="I776" s="1">
        <v>45777</v>
      </c>
      <c r="J776" t="s">
        <v>18</v>
      </c>
      <c r="K776" t="s">
        <v>16</v>
      </c>
      <c r="L776" s="2">
        <f t="shared" si="61"/>
        <v>4137.43</v>
      </c>
      <c r="M776" s="4">
        <f t="shared" si="62"/>
        <v>0.6</v>
      </c>
      <c r="N776" s="1">
        <f t="shared" si="63"/>
        <v>45777</v>
      </c>
      <c r="O776" s="3">
        <f>(Table13[[#This Row],[Units_Sold]]*Table13[[#This Row],[Unit_Price_Cleaned]]*(1-Table13[[#This Row],[Discount Cleaned]]))</f>
        <v>4964.9160000000011</v>
      </c>
      <c r="P776" t="str">
        <f t="shared" si="64"/>
        <v>Profit</v>
      </c>
      <c r="Q776" t="str" cm="1">
        <f t="array" ref="Q776">IF(K776="",INDEX($K$2:$K$2501,MATCH(MAX(COUNTIF($K$2:$K$2501,$K$2:$K$2501)),COUNTIF($K$2:$K$2501,$K$2:$K$2501),0)),K776)</f>
        <v>B2C</v>
      </c>
    </row>
    <row r="777" spans="1:17" x14ac:dyDescent="0.3">
      <c r="A777">
        <v>1775</v>
      </c>
      <c r="B777" t="s">
        <v>824</v>
      </c>
      <c r="C777" t="s">
        <v>33</v>
      </c>
      <c r="D777" t="s">
        <v>82</v>
      </c>
      <c r="E777">
        <v>2</v>
      </c>
      <c r="G777">
        <v>1.01</v>
      </c>
      <c r="H777" s="3">
        <f t="shared" si="60"/>
        <v>5552.4404000000004</v>
      </c>
      <c r="J777" t="s">
        <v>18</v>
      </c>
      <c r="L777" s="2">
        <f t="shared" si="61"/>
        <v>2776.2202000000002</v>
      </c>
      <c r="M777" s="4">
        <f t="shared" si="62"/>
        <v>1.01</v>
      </c>
      <c r="N777" s="1">
        <f t="shared" si="63"/>
        <v>45782</v>
      </c>
      <c r="O777" s="3">
        <f>(Table13[[#This Row],[Units_Sold]]*Table13[[#This Row],[Unit_Price_Cleaned]]*(1-Table13[[#This Row],[Discount Cleaned]]))</f>
        <v>-55.524404000000054</v>
      </c>
      <c r="P777" t="str">
        <f t="shared" si="64"/>
        <v>Loss</v>
      </c>
      <c r="Q777" t="str" cm="1">
        <f t="array" ref="Q777">IF(K777="",INDEX($K$2:$K$2501,MATCH(MAX(COUNTIF($K$2:$K$2501,$K$2:$K$2501)),COUNTIF($K$2:$K$2501,$K$2:$K$2501),0)),K777)</f>
        <v>B2B</v>
      </c>
    </row>
    <row r="778" spans="1:17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 s="3">
        <f t="shared" si="60"/>
        <v>18739.919999999998</v>
      </c>
      <c r="J778" t="s">
        <v>46</v>
      </c>
      <c r="K778" t="s">
        <v>16</v>
      </c>
      <c r="L778" s="2">
        <f t="shared" si="61"/>
        <v>4684.9799999999996</v>
      </c>
      <c r="M778" s="4">
        <f t="shared" si="62"/>
        <v>0.6</v>
      </c>
      <c r="N778" s="1">
        <f t="shared" si="63"/>
        <v>45782</v>
      </c>
      <c r="O778" s="3">
        <f>(Table13[[#This Row],[Units_Sold]]*Table13[[#This Row],[Unit_Price_Cleaned]]*(1-Table13[[#This Row],[Discount Cleaned]]))</f>
        <v>7495.9679999999998</v>
      </c>
      <c r="P778" t="str">
        <f t="shared" si="64"/>
        <v>Profit</v>
      </c>
      <c r="Q778" t="str" cm="1">
        <f t="array" ref="Q778">IF(K778="",INDEX($K$2:$K$2501,MATCH(MAX(COUNTIF($K$2:$K$2501,$K$2:$K$2501)),COUNTIF($K$2:$K$2501,$K$2:$K$2501),0)),K778)</f>
        <v>B2C</v>
      </c>
    </row>
    <row r="779" spans="1:17" x14ac:dyDescent="0.3">
      <c r="A779">
        <v>1777</v>
      </c>
      <c r="B779" t="s">
        <v>826</v>
      </c>
      <c r="C779" t="s">
        <v>38</v>
      </c>
      <c r="D779" t="s">
        <v>63</v>
      </c>
      <c r="E779">
        <v>2</v>
      </c>
      <c r="H779" s="3">
        <f t="shared" si="60"/>
        <v>5690.4839344262318</v>
      </c>
      <c r="I779" s="1">
        <v>45401</v>
      </c>
      <c r="J779" t="s">
        <v>15</v>
      </c>
      <c r="K779" t="s">
        <v>23</v>
      </c>
      <c r="L779" s="2">
        <f t="shared" si="61"/>
        <v>2845.2419672131159</v>
      </c>
      <c r="M779" s="4">
        <f t="shared" si="62"/>
        <v>0.6</v>
      </c>
      <c r="N779" s="1">
        <f t="shared" si="63"/>
        <v>45401</v>
      </c>
      <c r="O779" s="3">
        <f>(Table13[[#This Row],[Units_Sold]]*Table13[[#This Row],[Unit_Price_Cleaned]]*(1-Table13[[#This Row],[Discount Cleaned]]))</f>
        <v>2276.193573770493</v>
      </c>
      <c r="P779" t="str">
        <f t="shared" si="64"/>
        <v>Profit</v>
      </c>
      <c r="Q779" t="str" cm="1">
        <f t="array" ref="Q779">IF(K779="",INDEX($K$2:$K$2501,MATCH(MAX(COUNTIF($K$2:$K$2501,$K$2:$K$2501)),COUNTIF($K$2:$K$2501,$K$2:$K$2501),0)),K779)</f>
        <v>B2B</v>
      </c>
    </row>
    <row r="780" spans="1:17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 s="3">
        <f t="shared" si="60"/>
        <v>13582.85</v>
      </c>
      <c r="I780" s="1">
        <v>45569</v>
      </c>
      <c r="J780" t="s">
        <v>22</v>
      </c>
      <c r="K780" t="s">
        <v>16</v>
      </c>
      <c r="L780" s="2">
        <f t="shared" si="61"/>
        <v>2716.57</v>
      </c>
      <c r="M780" s="4">
        <f t="shared" si="62"/>
        <v>0.6</v>
      </c>
      <c r="N780" s="1">
        <f t="shared" si="63"/>
        <v>45569</v>
      </c>
      <c r="O780" s="3">
        <f>(Table13[[#This Row],[Units_Sold]]*Table13[[#This Row],[Unit_Price_Cleaned]]*(1-Table13[[#This Row],[Discount Cleaned]]))</f>
        <v>5433.14</v>
      </c>
      <c r="P780" t="str">
        <f t="shared" si="64"/>
        <v>Profit</v>
      </c>
      <c r="Q780" t="str" cm="1">
        <f t="array" ref="Q780">IF(K780="",INDEX($K$2:$K$2501,MATCH(MAX(COUNTIF($K$2:$K$2501,$K$2:$K$2501)),COUNTIF($K$2:$K$2501,$K$2:$K$2501),0)),K780)</f>
        <v>B2C</v>
      </c>
    </row>
    <row r="781" spans="1:17" x14ac:dyDescent="0.3">
      <c r="A781">
        <v>1779</v>
      </c>
      <c r="B781" t="s">
        <v>90</v>
      </c>
      <c r="C781" t="s">
        <v>13</v>
      </c>
      <c r="D781" t="s">
        <v>36</v>
      </c>
      <c r="E781">
        <v>2</v>
      </c>
      <c r="H781" s="3">
        <f t="shared" si="60"/>
        <v>5765.0093103448271</v>
      </c>
      <c r="I781" s="1">
        <v>45568</v>
      </c>
      <c r="J781" t="s">
        <v>56</v>
      </c>
      <c r="L781" s="2">
        <f t="shared" si="61"/>
        <v>2882.5046551724135</v>
      </c>
      <c r="M781" s="4">
        <f t="shared" si="62"/>
        <v>0.6</v>
      </c>
      <c r="N781" s="1">
        <f t="shared" si="63"/>
        <v>45568</v>
      </c>
      <c r="O781" s="3">
        <f>(Table13[[#This Row],[Units_Sold]]*Table13[[#This Row],[Unit_Price_Cleaned]]*(1-Table13[[#This Row],[Discount Cleaned]]))</f>
        <v>2306.0037241379309</v>
      </c>
      <c r="P781" t="str">
        <f t="shared" si="64"/>
        <v>Profit</v>
      </c>
      <c r="Q781" t="str" cm="1">
        <f t="array" ref="Q781">IF(K781="",INDEX($K$2:$K$2501,MATCH(MAX(COUNTIF($K$2:$K$2501,$K$2:$K$2501)),COUNTIF($K$2:$K$2501,$K$2:$K$2501),0)),K781)</f>
        <v>B2B</v>
      </c>
    </row>
    <row r="782" spans="1:17" x14ac:dyDescent="0.3">
      <c r="A782">
        <v>1780</v>
      </c>
      <c r="B782" t="s">
        <v>828</v>
      </c>
      <c r="C782" t="s">
        <v>20</v>
      </c>
      <c r="D782" t="s">
        <v>122</v>
      </c>
      <c r="E782">
        <v>2</v>
      </c>
      <c r="H782" s="3">
        <f t="shared" si="60"/>
        <v>5400.2526086956505</v>
      </c>
      <c r="I782" s="1">
        <v>45829</v>
      </c>
      <c r="J782" t="s">
        <v>15</v>
      </c>
      <c r="K782" t="s">
        <v>23</v>
      </c>
      <c r="L782" s="2">
        <f t="shared" si="61"/>
        <v>2700.1263043478252</v>
      </c>
      <c r="M782" s="4">
        <f t="shared" si="62"/>
        <v>0.6</v>
      </c>
      <c r="N782" s="1">
        <f t="shared" si="63"/>
        <v>45829</v>
      </c>
      <c r="O782" s="3">
        <f>(Table13[[#This Row],[Units_Sold]]*Table13[[#This Row],[Unit_Price_Cleaned]]*(1-Table13[[#This Row],[Discount Cleaned]]))</f>
        <v>2160.1010434782602</v>
      </c>
      <c r="P782" t="str">
        <f t="shared" si="64"/>
        <v>Profit</v>
      </c>
      <c r="Q782" t="str" cm="1">
        <f t="array" ref="Q782">IF(K782="",INDEX($K$2:$K$2501,MATCH(MAX(COUNTIF($K$2:$K$2501,$K$2:$K$2501)),COUNTIF($K$2:$K$2501,$K$2:$K$2501),0)),K782)</f>
        <v>B2B</v>
      </c>
    </row>
    <row r="783" spans="1:17" x14ac:dyDescent="0.3">
      <c r="A783">
        <v>1781</v>
      </c>
      <c r="B783" t="s">
        <v>829</v>
      </c>
      <c r="C783" t="s">
        <v>38</v>
      </c>
      <c r="D783" t="s">
        <v>39</v>
      </c>
      <c r="E783">
        <v>2</v>
      </c>
      <c r="H783" s="3">
        <f t="shared" si="60"/>
        <v>6016.7688888888888</v>
      </c>
      <c r="I783" s="1">
        <v>45710</v>
      </c>
      <c r="J783" t="s">
        <v>22</v>
      </c>
      <c r="L783" s="2">
        <f t="shared" si="61"/>
        <v>3008.3844444444444</v>
      </c>
      <c r="M783" s="4">
        <f t="shared" si="62"/>
        <v>0.6</v>
      </c>
      <c r="N783" s="1">
        <f t="shared" si="63"/>
        <v>45710</v>
      </c>
      <c r="O783" s="3">
        <f>(Table13[[#This Row],[Units_Sold]]*Table13[[#This Row],[Unit_Price_Cleaned]]*(1-Table13[[#This Row],[Discount Cleaned]]))</f>
        <v>2406.7075555555557</v>
      </c>
      <c r="P783" t="str">
        <f t="shared" si="64"/>
        <v>Profit</v>
      </c>
      <c r="Q783" t="str" cm="1">
        <f t="array" ref="Q783">IF(K783="",INDEX($K$2:$K$2501,MATCH(MAX(COUNTIF($K$2:$K$2501,$K$2:$K$2501)),COUNTIF($K$2:$K$2501,$K$2:$K$2501),0)),K783)</f>
        <v>B2B</v>
      </c>
    </row>
    <row r="784" spans="1:17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 s="3">
        <f t="shared" si="60"/>
        <v>16355.134285714288</v>
      </c>
      <c r="I784" s="1">
        <v>45350</v>
      </c>
      <c r="J784" t="s">
        <v>22</v>
      </c>
      <c r="K784" t="s">
        <v>23</v>
      </c>
      <c r="L784" s="2">
        <f t="shared" si="61"/>
        <v>2725.8557142857148</v>
      </c>
      <c r="M784" s="4">
        <f t="shared" si="62"/>
        <v>0.6</v>
      </c>
      <c r="N784" s="1">
        <f t="shared" si="63"/>
        <v>45350</v>
      </c>
      <c r="O784" s="3">
        <f>(Table13[[#This Row],[Units_Sold]]*Table13[[#This Row],[Unit_Price_Cleaned]]*(1-Table13[[#This Row],[Discount Cleaned]]))</f>
        <v>6542.0537142857156</v>
      </c>
      <c r="P784" t="str">
        <f t="shared" si="64"/>
        <v>Profit</v>
      </c>
      <c r="Q784" t="str" cm="1">
        <f t="array" ref="Q784">IF(K784="",INDEX($K$2:$K$2501,MATCH(MAX(COUNTIF($K$2:$K$2501,$K$2:$K$2501)),COUNTIF($K$2:$K$2501,$K$2:$K$2501),0)),K784)</f>
        <v>B2B</v>
      </c>
    </row>
    <row r="785" spans="1:17" x14ac:dyDescent="0.3">
      <c r="A785">
        <v>1783</v>
      </c>
      <c r="B785" t="s">
        <v>831</v>
      </c>
      <c r="C785" t="s">
        <v>20</v>
      </c>
      <c r="D785" t="s">
        <v>88</v>
      </c>
      <c r="E785">
        <v>2</v>
      </c>
      <c r="G785">
        <v>0.93</v>
      </c>
      <c r="H785" s="3">
        <f t="shared" si="60"/>
        <v>5451.7114285714297</v>
      </c>
      <c r="I785" s="1">
        <v>45505</v>
      </c>
      <c r="J785" t="s">
        <v>56</v>
      </c>
      <c r="L785" s="2">
        <f t="shared" si="61"/>
        <v>2725.8557142857148</v>
      </c>
      <c r="M785" s="4">
        <f t="shared" si="62"/>
        <v>0.93</v>
      </c>
      <c r="N785" s="1">
        <f t="shared" si="63"/>
        <v>45505</v>
      </c>
      <c r="O785" s="3">
        <f>(Table13[[#This Row],[Units_Sold]]*Table13[[#This Row],[Unit_Price_Cleaned]]*(1-Table13[[#This Row],[Discount Cleaned]]))</f>
        <v>381.61979999999983</v>
      </c>
      <c r="P785" t="str">
        <f t="shared" si="64"/>
        <v>Loss</v>
      </c>
      <c r="Q785" t="str" cm="1">
        <f t="array" ref="Q785">IF(K785="",INDEX($K$2:$K$2501,MATCH(MAX(COUNTIF($K$2:$K$2501,$K$2:$K$2501)),COUNTIF($K$2:$K$2501,$K$2:$K$2501),0)),K785)</f>
        <v>B2B</v>
      </c>
    </row>
    <row r="786" spans="1:17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 s="3">
        <f t="shared" si="60"/>
        <v>8272.2000000000007</v>
      </c>
      <c r="I786" s="1">
        <v>45573</v>
      </c>
      <c r="J786" t="s">
        <v>22</v>
      </c>
      <c r="K786" t="s">
        <v>16</v>
      </c>
      <c r="L786" s="2">
        <f t="shared" si="61"/>
        <v>2068.0500000000002</v>
      </c>
      <c r="M786" s="4">
        <f t="shared" si="62"/>
        <v>0.6</v>
      </c>
      <c r="N786" s="1">
        <f t="shared" si="63"/>
        <v>45573</v>
      </c>
      <c r="O786" s="3">
        <f>(Table13[[#This Row],[Units_Sold]]*Table13[[#This Row],[Unit_Price_Cleaned]]*(1-Table13[[#This Row],[Discount Cleaned]]))</f>
        <v>3308.8800000000006</v>
      </c>
      <c r="P786" t="str">
        <f t="shared" si="64"/>
        <v>Profit</v>
      </c>
      <c r="Q786" t="str" cm="1">
        <f t="array" ref="Q786">IF(K786="",INDEX($K$2:$K$2501,MATCH(MAX(COUNTIF($K$2:$K$2501,$K$2:$K$2501)),COUNTIF($K$2:$K$2501,$K$2:$K$2501),0)),K786)</f>
        <v>B2C</v>
      </c>
    </row>
    <row r="787" spans="1:17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 s="3">
        <f t="shared" si="60"/>
        <v>12309</v>
      </c>
      <c r="I787" s="1">
        <v>45804</v>
      </c>
      <c r="J787" t="s">
        <v>56</v>
      </c>
      <c r="K787" t="s">
        <v>16</v>
      </c>
      <c r="L787" s="2">
        <f t="shared" si="61"/>
        <v>4103</v>
      </c>
      <c r="M787" s="4">
        <f t="shared" si="62"/>
        <v>0.6</v>
      </c>
      <c r="N787" s="1">
        <f t="shared" si="63"/>
        <v>45804</v>
      </c>
      <c r="O787" s="3">
        <f>(Table13[[#This Row],[Units_Sold]]*Table13[[#This Row],[Unit_Price_Cleaned]]*(1-Table13[[#This Row],[Discount Cleaned]]))</f>
        <v>4923.6000000000004</v>
      </c>
      <c r="P787" t="str">
        <f t="shared" si="64"/>
        <v>Profit</v>
      </c>
      <c r="Q787" t="str" cm="1">
        <f t="array" ref="Q787">IF(K787="",INDEX($K$2:$K$2501,MATCH(MAX(COUNTIF($K$2:$K$2501,$K$2:$K$2501)),COUNTIF($K$2:$K$2501,$K$2:$K$2501),0)),K787)</f>
        <v>B2C</v>
      </c>
    </row>
    <row r="788" spans="1:17" x14ac:dyDescent="0.3">
      <c r="A788">
        <v>1786</v>
      </c>
      <c r="B788" t="s">
        <v>834</v>
      </c>
      <c r="C788" t="s">
        <v>25</v>
      </c>
      <c r="D788" t="s">
        <v>54</v>
      </c>
      <c r="E788">
        <v>2</v>
      </c>
      <c r="G788">
        <v>1.1100000000000001</v>
      </c>
      <c r="H788" s="3">
        <f t="shared" si="60"/>
        <v>5060.7673076923093</v>
      </c>
      <c r="I788" s="1">
        <v>45743</v>
      </c>
      <c r="J788" t="s">
        <v>46</v>
      </c>
      <c r="L788" s="2">
        <f t="shared" si="61"/>
        <v>2530.3836538461546</v>
      </c>
      <c r="M788" s="4">
        <f t="shared" si="62"/>
        <v>1.1100000000000001</v>
      </c>
      <c r="N788" s="1">
        <f t="shared" si="63"/>
        <v>45743</v>
      </c>
      <c r="O788" s="3">
        <f>(Table13[[#This Row],[Units_Sold]]*Table13[[#This Row],[Unit_Price_Cleaned]]*(1-Table13[[#This Row],[Discount Cleaned]]))</f>
        <v>-556.68440384615451</v>
      </c>
      <c r="P788" t="str">
        <f t="shared" si="64"/>
        <v>Loss</v>
      </c>
      <c r="Q788" t="str" cm="1">
        <f t="array" ref="Q788">IF(K788="",INDEX($K$2:$K$2501,MATCH(MAX(COUNTIF($K$2:$K$2501,$K$2:$K$2501)),COUNTIF($K$2:$K$2501,$K$2:$K$2501),0)),K788)</f>
        <v>B2B</v>
      </c>
    </row>
    <row r="789" spans="1:17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 s="3">
        <f t="shared" si="60"/>
        <v>14776.74</v>
      </c>
      <c r="I789" s="1">
        <v>45612</v>
      </c>
      <c r="J789" t="s">
        <v>15</v>
      </c>
      <c r="K789" t="s">
        <v>16</v>
      </c>
      <c r="L789" s="2">
        <f t="shared" si="61"/>
        <v>2462.79</v>
      </c>
      <c r="M789" s="4">
        <f t="shared" si="62"/>
        <v>0.6</v>
      </c>
      <c r="N789" s="1">
        <f t="shared" si="63"/>
        <v>45612</v>
      </c>
      <c r="O789" s="3">
        <f>(Table13[[#This Row],[Units_Sold]]*Table13[[#This Row],[Unit_Price_Cleaned]]*(1-Table13[[#This Row],[Discount Cleaned]]))</f>
        <v>5910.6959999999999</v>
      </c>
      <c r="P789" t="str">
        <f t="shared" si="64"/>
        <v>Profit</v>
      </c>
      <c r="Q789" t="str" cm="1">
        <f t="array" ref="Q789">IF(K789="",INDEX($K$2:$K$2501,MATCH(MAX(COUNTIF($K$2:$K$2501,$K$2:$K$2501)),COUNTIF($K$2:$K$2501,$K$2:$K$2501),0)),K789)</f>
        <v>B2C</v>
      </c>
    </row>
    <row r="790" spans="1:17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 s="3">
        <f t="shared" si="60"/>
        <v>14757</v>
      </c>
      <c r="I790" s="1">
        <v>45609</v>
      </c>
      <c r="J790" t="s">
        <v>15</v>
      </c>
      <c r="L790" s="2">
        <f t="shared" si="61"/>
        <v>2951.4</v>
      </c>
      <c r="M790" s="4">
        <f t="shared" si="62"/>
        <v>0.6</v>
      </c>
      <c r="N790" s="1">
        <f t="shared" si="63"/>
        <v>45609</v>
      </c>
      <c r="O790" s="3">
        <f>(Table13[[#This Row],[Units_Sold]]*Table13[[#This Row],[Unit_Price_Cleaned]]*(1-Table13[[#This Row],[Discount Cleaned]]))</f>
        <v>5902.8</v>
      </c>
      <c r="P790" t="str">
        <f t="shared" si="64"/>
        <v>Profit</v>
      </c>
      <c r="Q790" t="str" cm="1">
        <f t="array" ref="Q790">IF(K790="",INDEX($K$2:$K$2501,MATCH(MAX(COUNTIF($K$2:$K$2501,$K$2:$K$2501)),COUNTIF($K$2:$K$2501,$K$2:$K$2501),0)),K790)</f>
        <v>B2B</v>
      </c>
    </row>
    <row r="791" spans="1:17" x14ac:dyDescent="0.3">
      <c r="A791">
        <v>1789</v>
      </c>
      <c r="B791" t="s">
        <v>837</v>
      </c>
      <c r="C791" t="s">
        <v>20</v>
      </c>
      <c r="D791" t="s">
        <v>80</v>
      </c>
      <c r="E791">
        <v>2</v>
      </c>
      <c r="F791">
        <v>1433.92</v>
      </c>
      <c r="G791">
        <v>0.11</v>
      </c>
      <c r="H791" s="3">
        <f t="shared" si="60"/>
        <v>2867.84</v>
      </c>
      <c r="I791" s="1">
        <v>45771</v>
      </c>
      <c r="J791" t="s">
        <v>56</v>
      </c>
      <c r="K791" t="s">
        <v>16</v>
      </c>
      <c r="L791" s="2">
        <f t="shared" si="61"/>
        <v>1433.92</v>
      </c>
      <c r="M791" s="4">
        <f t="shared" si="62"/>
        <v>0.11</v>
      </c>
      <c r="N791" s="1">
        <f t="shared" si="63"/>
        <v>45771</v>
      </c>
      <c r="O791" s="3">
        <f>(Table13[[#This Row],[Units_Sold]]*Table13[[#This Row],[Unit_Price_Cleaned]]*(1-Table13[[#This Row],[Discount Cleaned]]))</f>
        <v>2552.3776000000003</v>
      </c>
      <c r="P791" t="str">
        <f t="shared" si="64"/>
        <v>Profit</v>
      </c>
      <c r="Q791" t="str" cm="1">
        <f t="array" ref="Q791">IF(K791="",INDEX($K$2:$K$2501,MATCH(MAX(COUNTIF($K$2:$K$2501,$K$2:$K$2501)),COUNTIF($K$2:$K$2501,$K$2:$K$2501),0)),K791)</f>
        <v>B2C</v>
      </c>
    </row>
    <row r="792" spans="1:17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 s="3">
        <f t="shared" si="60"/>
        <v>3268.42</v>
      </c>
      <c r="I792" s="1">
        <v>45793</v>
      </c>
      <c r="J792" t="s">
        <v>15</v>
      </c>
      <c r="K792" t="s">
        <v>16</v>
      </c>
      <c r="L792" s="2">
        <f t="shared" si="61"/>
        <v>3268.42</v>
      </c>
      <c r="M792" s="4">
        <f t="shared" si="62"/>
        <v>0.6</v>
      </c>
      <c r="N792" s="1">
        <f t="shared" si="63"/>
        <v>45793</v>
      </c>
      <c r="O792" s="3">
        <f>(Table13[[#This Row],[Units_Sold]]*Table13[[#This Row],[Unit_Price_Cleaned]]*(1-Table13[[#This Row],[Discount Cleaned]]))</f>
        <v>1307.3680000000002</v>
      </c>
      <c r="P792" t="str">
        <f t="shared" si="64"/>
        <v>Profit</v>
      </c>
      <c r="Q792" t="str" cm="1">
        <f t="array" ref="Q792">IF(K792="",INDEX($K$2:$K$2501,MATCH(MAX(COUNTIF($K$2:$K$2501,$K$2:$K$2501)),COUNTIF($K$2:$K$2501,$K$2:$K$2501),0)),K792)</f>
        <v>B2C</v>
      </c>
    </row>
    <row r="793" spans="1:17" x14ac:dyDescent="0.3">
      <c r="A793">
        <v>1791</v>
      </c>
      <c r="B793" t="s">
        <v>839</v>
      </c>
      <c r="C793" t="s">
        <v>38</v>
      </c>
      <c r="D793" t="s">
        <v>39</v>
      </c>
      <c r="E793">
        <v>2</v>
      </c>
      <c r="F793">
        <v>2123.69</v>
      </c>
      <c r="G793">
        <v>0.69</v>
      </c>
      <c r="H793" s="3">
        <f t="shared" si="60"/>
        <v>4247.38</v>
      </c>
      <c r="I793" s="1">
        <v>45655</v>
      </c>
      <c r="J793" t="s">
        <v>40</v>
      </c>
      <c r="K793" t="s">
        <v>16</v>
      </c>
      <c r="L793" s="2">
        <f t="shared" si="61"/>
        <v>2123.69</v>
      </c>
      <c r="M793" s="4">
        <f t="shared" si="62"/>
        <v>0.69</v>
      </c>
      <c r="N793" s="1">
        <f t="shared" si="63"/>
        <v>45655</v>
      </c>
      <c r="O793" s="3">
        <f>(Table13[[#This Row],[Units_Sold]]*Table13[[#This Row],[Unit_Price_Cleaned]]*(1-Table13[[#This Row],[Discount Cleaned]]))</f>
        <v>1316.6878000000002</v>
      </c>
      <c r="P793" t="str">
        <f t="shared" si="64"/>
        <v>Profit</v>
      </c>
      <c r="Q793" t="str" cm="1">
        <f t="array" ref="Q793">IF(K793="",INDEX($K$2:$K$2501,MATCH(MAX(COUNTIF($K$2:$K$2501,$K$2:$K$2501)),COUNTIF($K$2:$K$2501,$K$2:$K$2501),0)),K793)</f>
        <v>B2C</v>
      </c>
    </row>
    <row r="794" spans="1:17" x14ac:dyDescent="0.3">
      <c r="A794">
        <v>1792</v>
      </c>
      <c r="B794" t="s">
        <v>840</v>
      </c>
      <c r="C794" t="s">
        <v>13</v>
      </c>
      <c r="D794" t="s">
        <v>36</v>
      </c>
      <c r="E794">
        <v>2</v>
      </c>
      <c r="G794">
        <v>0.83</v>
      </c>
      <c r="H794" s="3">
        <f t="shared" si="60"/>
        <v>5765.0093103448271</v>
      </c>
      <c r="I794" s="1">
        <v>45696</v>
      </c>
      <c r="J794" t="s">
        <v>22</v>
      </c>
      <c r="K794" t="s">
        <v>23</v>
      </c>
      <c r="L794" s="2">
        <f t="shared" si="61"/>
        <v>2882.5046551724135</v>
      </c>
      <c r="M794" s="4">
        <f t="shared" si="62"/>
        <v>0.83</v>
      </c>
      <c r="N794" s="1">
        <f t="shared" si="63"/>
        <v>45696</v>
      </c>
      <c r="O794" s="3">
        <f>(Table13[[#This Row],[Units_Sold]]*Table13[[#This Row],[Unit_Price_Cleaned]]*(1-Table13[[#This Row],[Discount Cleaned]]))</f>
        <v>980.05158275862084</v>
      </c>
      <c r="P794" t="str">
        <f t="shared" si="64"/>
        <v>Profit</v>
      </c>
      <c r="Q794" t="str" cm="1">
        <f t="array" ref="Q794">IF(K794="",INDEX($K$2:$K$2501,MATCH(MAX(COUNTIF($K$2:$K$2501,$K$2:$K$2501)),COUNTIF($K$2:$K$2501,$K$2:$K$2501),0)),K794)</f>
        <v>B2B</v>
      </c>
    </row>
    <row r="795" spans="1:17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 s="3">
        <f t="shared" si="60"/>
        <v>9439.1999999999989</v>
      </c>
      <c r="I795" s="1">
        <v>45525</v>
      </c>
      <c r="J795" t="s">
        <v>18</v>
      </c>
      <c r="K795" t="s">
        <v>16</v>
      </c>
      <c r="L795" s="2">
        <f t="shared" si="61"/>
        <v>1887.84</v>
      </c>
      <c r="M795" s="4">
        <f t="shared" si="62"/>
        <v>0.6</v>
      </c>
      <c r="N795" s="1">
        <f t="shared" si="63"/>
        <v>45525</v>
      </c>
      <c r="O795" s="3">
        <f>(Table13[[#This Row],[Units_Sold]]*Table13[[#This Row],[Unit_Price_Cleaned]]*(1-Table13[[#This Row],[Discount Cleaned]]))</f>
        <v>3775.68</v>
      </c>
      <c r="P795" t="str">
        <f t="shared" si="64"/>
        <v>Profit</v>
      </c>
      <c r="Q795" t="str" cm="1">
        <f t="array" ref="Q795">IF(K795="",INDEX($K$2:$K$2501,MATCH(MAX(COUNTIF($K$2:$K$2501,$K$2:$K$2501)),COUNTIF($K$2:$K$2501,$K$2:$K$2501),0)),K795)</f>
        <v>B2C</v>
      </c>
    </row>
    <row r="796" spans="1:17" x14ac:dyDescent="0.3">
      <c r="A796">
        <v>1794</v>
      </c>
      <c r="B796" t="s">
        <v>842</v>
      </c>
      <c r="C796" t="s">
        <v>20</v>
      </c>
      <c r="D796" t="s">
        <v>88</v>
      </c>
      <c r="E796">
        <v>2</v>
      </c>
      <c r="H796" s="3">
        <f t="shared" si="60"/>
        <v>5451.7114285714297</v>
      </c>
      <c r="I796" s="1">
        <v>45818</v>
      </c>
      <c r="J796" t="s">
        <v>40</v>
      </c>
      <c r="K796" t="s">
        <v>23</v>
      </c>
      <c r="L796" s="2">
        <f t="shared" si="61"/>
        <v>2725.8557142857148</v>
      </c>
      <c r="M796" s="4">
        <f t="shared" si="62"/>
        <v>0.6</v>
      </c>
      <c r="N796" s="1">
        <f t="shared" si="63"/>
        <v>45818</v>
      </c>
      <c r="O796" s="3">
        <f>(Table13[[#This Row],[Units_Sold]]*Table13[[#This Row],[Unit_Price_Cleaned]]*(1-Table13[[#This Row],[Discount Cleaned]]))</f>
        <v>2180.6845714285719</v>
      </c>
      <c r="P796" t="str">
        <f t="shared" si="64"/>
        <v>Profit</v>
      </c>
      <c r="Q796" t="str" cm="1">
        <f t="array" ref="Q796">IF(K796="",INDEX($K$2:$K$2501,MATCH(MAX(COUNTIF($K$2:$K$2501,$K$2:$K$2501)),COUNTIF($K$2:$K$2501,$K$2:$K$2501),0)),K796)</f>
        <v>B2B</v>
      </c>
    </row>
    <row r="797" spans="1:17" x14ac:dyDescent="0.3">
      <c r="A797">
        <v>1795</v>
      </c>
      <c r="B797" t="s">
        <v>843</v>
      </c>
      <c r="C797" t="s">
        <v>29</v>
      </c>
      <c r="D797" t="s">
        <v>141</v>
      </c>
      <c r="E797">
        <v>2</v>
      </c>
      <c r="H797" s="3">
        <f t="shared" si="60"/>
        <v>4925.58</v>
      </c>
      <c r="I797" s="1">
        <v>45769</v>
      </c>
      <c r="J797" t="s">
        <v>56</v>
      </c>
      <c r="K797" t="s">
        <v>16</v>
      </c>
      <c r="L797" s="2">
        <f t="shared" si="61"/>
        <v>2462.79</v>
      </c>
      <c r="M797" s="4">
        <f t="shared" si="62"/>
        <v>0.6</v>
      </c>
      <c r="N797" s="1">
        <f t="shared" si="63"/>
        <v>45769</v>
      </c>
      <c r="O797" s="3">
        <f>(Table13[[#This Row],[Units_Sold]]*Table13[[#This Row],[Unit_Price_Cleaned]]*(1-Table13[[#This Row],[Discount Cleaned]]))</f>
        <v>1970.232</v>
      </c>
      <c r="P797" t="str">
        <f t="shared" si="64"/>
        <v>Profit</v>
      </c>
      <c r="Q797" t="str" cm="1">
        <f t="array" ref="Q797">IF(K797="",INDEX($K$2:$K$2501,MATCH(MAX(COUNTIF($K$2:$K$2501,$K$2:$K$2501)),COUNTIF($K$2:$K$2501,$K$2:$K$2501),0)),K797)</f>
        <v>B2C</v>
      </c>
    </row>
    <row r="798" spans="1:17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 s="3">
        <f t="shared" si="60"/>
        <v>-2804.2651923076919</v>
      </c>
      <c r="J798" t="s">
        <v>46</v>
      </c>
      <c r="L798" s="2">
        <f t="shared" si="61"/>
        <v>2804.2651923076919</v>
      </c>
      <c r="M798" s="4">
        <f t="shared" si="62"/>
        <v>0.94</v>
      </c>
      <c r="N798" s="1">
        <f t="shared" si="63"/>
        <v>45782</v>
      </c>
      <c r="O798" s="3">
        <f>(Table13[[#This Row],[Units_Sold]]*Table13[[#This Row],[Unit_Price_Cleaned]]*(1-Table13[[#This Row],[Discount Cleaned]]))</f>
        <v>-168.25591153846167</v>
      </c>
      <c r="P798" t="str">
        <f t="shared" si="64"/>
        <v>Loss</v>
      </c>
      <c r="Q798" t="str" cm="1">
        <f t="array" ref="Q798">IF(K798="",INDEX($K$2:$K$2501,MATCH(MAX(COUNTIF($K$2:$K$2501,$K$2:$K$2501)),COUNTIF($K$2:$K$2501,$K$2:$K$2501),0)),K798)</f>
        <v>B2B</v>
      </c>
    </row>
    <row r="799" spans="1:17" x14ac:dyDescent="0.3">
      <c r="A799">
        <v>1797</v>
      </c>
      <c r="B799" t="s">
        <v>845</v>
      </c>
      <c r="C799" t="s">
        <v>38</v>
      </c>
      <c r="D799" t="s">
        <v>39</v>
      </c>
      <c r="E799">
        <v>2</v>
      </c>
      <c r="F799">
        <v>4305.0200000000004</v>
      </c>
      <c r="H799" s="3">
        <f t="shared" si="60"/>
        <v>8610.0400000000009</v>
      </c>
      <c r="I799" s="1">
        <v>45663</v>
      </c>
      <c r="J799" t="s">
        <v>18</v>
      </c>
      <c r="L799" s="2">
        <f t="shared" si="61"/>
        <v>4305.0200000000004</v>
      </c>
      <c r="M799" s="4">
        <f t="shared" si="62"/>
        <v>0.6</v>
      </c>
      <c r="N799" s="1">
        <f t="shared" si="63"/>
        <v>45663</v>
      </c>
      <c r="O799" s="3">
        <f>(Table13[[#This Row],[Units_Sold]]*Table13[[#This Row],[Unit_Price_Cleaned]]*(1-Table13[[#This Row],[Discount Cleaned]]))</f>
        <v>3444.0160000000005</v>
      </c>
      <c r="P799" t="str">
        <f t="shared" si="64"/>
        <v>Profit</v>
      </c>
      <c r="Q799" t="str" cm="1">
        <f t="array" ref="Q799">IF(K799="",INDEX($K$2:$K$2501,MATCH(MAX(COUNTIF($K$2:$K$2501,$K$2:$K$2501)),COUNTIF($K$2:$K$2501,$K$2:$K$2501),0)),K799)</f>
        <v>B2B</v>
      </c>
    </row>
    <row r="800" spans="1:17" x14ac:dyDescent="0.3">
      <c r="A800">
        <v>1798</v>
      </c>
      <c r="B800" t="s">
        <v>846</v>
      </c>
      <c r="C800" t="s">
        <v>25</v>
      </c>
      <c r="D800" t="s">
        <v>86</v>
      </c>
      <c r="E800">
        <v>2</v>
      </c>
      <c r="F800">
        <v>2490.16</v>
      </c>
      <c r="H800" s="3">
        <f t="shared" si="60"/>
        <v>4980.32</v>
      </c>
      <c r="I800" s="1">
        <v>45859</v>
      </c>
      <c r="J800" t="s">
        <v>22</v>
      </c>
      <c r="L800" s="2">
        <f t="shared" si="61"/>
        <v>2490.16</v>
      </c>
      <c r="M800" s="4">
        <f t="shared" si="62"/>
        <v>0.6</v>
      </c>
      <c r="N800" s="1">
        <f t="shared" si="63"/>
        <v>45859</v>
      </c>
      <c r="O800" s="3">
        <f>(Table13[[#This Row],[Units_Sold]]*Table13[[#This Row],[Unit_Price_Cleaned]]*(1-Table13[[#This Row],[Discount Cleaned]]))</f>
        <v>1992.1279999999999</v>
      </c>
      <c r="P800" t="str">
        <f t="shared" si="64"/>
        <v>Profit</v>
      </c>
      <c r="Q800" t="str" cm="1">
        <f t="array" ref="Q800">IF(K800="",INDEX($K$2:$K$2501,MATCH(MAX(COUNTIF($K$2:$K$2501,$K$2:$K$2501)),COUNTIF($K$2:$K$2501,$K$2:$K$2501),0)),K800)</f>
        <v>B2B</v>
      </c>
    </row>
    <row r="801" spans="1:17" x14ac:dyDescent="0.3">
      <c r="A801">
        <v>1799</v>
      </c>
      <c r="B801" t="s">
        <v>847</v>
      </c>
      <c r="C801" t="s">
        <v>25</v>
      </c>
      <c r="D801" t="s">
        <v>86</v>
      </c>
      <c r="E801">
        <v>2</v>
      </c>
      <c r="F801">
        <v>1101.5</v>
      </c>
      <c r="G801">
        <v>0.81</v>
      </c>
      <c r="H801" s="3">
        <f t="shared" si="60"/>
        <v>2203</v>
      </c>
      <c r="J801" t="s">
        <v>22</v>
      </c>
      <c r="L801" s="2">
        <f t="shared" si="61"/>
        <v>1101.5</v>
      </c>
      <c r="M801" s="4">
        <f t="shared" si="62"/>
        <v>0.81</v>
      </c>
      <c r="N801" s="1">
        <f t="shared" si="63"/>
        <v>45782</v>
      </c>
      <c r="O801" s="3">
        <f>(Table13[[#This Row],[Units_Sold]]*Table13[[#This Row],[Unit_Price_Cleaned]]*(1-Table13[[#This Row],[Discount Cleaned]]))</f>
        <v>418.56999999999988</v>
      </c>
      <c r="P801" t="str">
        <f t="shared" si="64"/>
        <v>Loss</v>
      </c>
      <c r="Q801" t="str" cm="1">
        <f t="array" ref="Q801">IF(K801="",INDEX($K$2:$K$2501,MATCH(MAX(COUNTIF($K$2:$K$2501,$K$2:$K$2501)),COUNTIF($K$2:$K$2501,$K$2:$K$2501),0)),K801)</f>
        <v>B2B</v>
      </c>
    </row>
    <row r="802" spans="1:17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 s="3">
        <f t="shared" si="60"/>
        <v>16087.046181818181</v>
      </c>
      <c r="I802" s="1">
        <v>45680</v>
      </c>
      <c r="J802" t="s">
        <v>22</v>
      </c>
      <c r="K802" t="s">
        <v>23</v>
      </c>
      <c r="L802" s="2">
        <f t="shared" si="61"/>
        <v>2681.1743636363635</v>
      </c>
      <c r="M802" s="4">
        <f t="shared" si="62"/>
        <v>0.93</v>
      </c>
      <c r="N802" s="1">
        <f t="shared" si="63"/>
        <v>45680</v>
      </c>
      <c r="O802" s="3">
        <f>(Table13[[#This Row],[Units_Sold]]*Table13[[#This Row],[Unit_Price_Cleaned]]*(1-Table13[[#This Row],[Discount Cleaned]]))</f>
        <v>1126.0932327272719</v>
      </c>
      <c r="P802" t="str">
        <f t="shared" si="64"/>
        <v>Profit</v>
      </c>
      <c r="Q802" t="str" cm="1">
        <f t="array" ref="Q802">IF(K802="",INDEX($K$2:$K$2501,MATCH(MAX(COUNTIF($K$2:$K$2501,$K$2:$K$2501)),COUNTIF($K$2:$K$2501,$K$2:$K$2501),0)),K802)</f>
        <v>B2B</v>
      </c>
    </row>
    <row r="803" spans="1:17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 s="3">
        <f t="shared" si="60"/>
        <v>-5060.7673076923093</v>
      </c>
      <c r="I803" s="1">
        <v>45770</v>
      </c>
      <c r="J803" t="s">
        <v>40</v>
      </c>
      <c r="K803" t="s">
        <v>16</v>
      </c>
      <c r="L803" s="2">
        <f t="shared" si="61"/>
        <v>2530.3836538461546</v>
      </c>
      <c r="M803" s="4">
        <f t="shared" si="62"/>
        <v>0.6</v>
      </c>
      <c r="N803" s="1">
        <f t="shared" si="63"/>
        <v>45770</v>
      </c>
      <c r="O803" s="3">
        <f>(Table13[[#This Row],[Units_Sold]]*Table13[[#This Row],[Unit_Price_Cleaned]]*(1-Table13[[#This Row],[Discount Cleaned]]))</f>
        <v>-2024.3069230769238</v>
      </c>
      <c r="P803" t="str">
        <f t="shared" si="64"/>
        <v>Loss</v>
      </c>
      <c r="Q803" t="str" cm="1">
        <f t="array" ref="Q803">IF(K803="",INDEX($K$2:$K$2501,MATCH(MAX(COUNTIF($K$2:$K$2501,$K$2:$K$2501)),COUNTIF($K$2:$K$2501,$K$2:$K$2501),0)),K803)</f>
        <v>B2C</v>
      </c>
    </row>
    <row r="804" spans="1:17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 s="3">
        <f t="shared" si="60"/>
        <v>-2572.7764000000006</v>
      </c>
      <c r="I804" s="1">
        <v>45708</v>
      </c>
      <c r="J804" t="s">
        <v>15</v>
      </c>
      <c r="L804" s="2">
        <f t="shared" si="61"/>
        <v>2572.7764000000006</v>
      </c>
      <c r="M804" s="4">
        <f t="shared" si="62"/>
        <v>0.6</v>
      </c>
      <c r="N804" s="1">
        <f t="shared" si="63"/>
        <v>45708</v>
      </c>
      <c r="O804" s="3">
        <f>(Table13[[#This Row],[Units_Sold]]*Table13[[#This Row],[Unit_Price_Cleaned]]*(1-Table13[[#This Row],[Discount Cleaned]]))</f>
        <v>-1029.1105600000003</v>
      </c>
      <c r="P804" t="str">
        <f t="shared" si="64"/>
        <v>Loss</v>
      </c>
      <c r="Q804" t="str" cm="1">
        <f t="array" ref="Q804">IF(K804="",INDEX($K$2:$K$2501,MATCH(MAX(COUNTIF($K$2:$K$2501,$K$2:$K$2501)),COUNTIF($K$2:$K$2501,$K$2:$K$2501),0)),K804)</f>
        <v>B2B</v>
      </c>
    </row>
    <row r="805" spans="1:17" x14ac:dyDescent="0.3">
      <c r="A805">
        <v>1803</v>
      </c>
      <c r="B805" t="s">
        <v>851</v>
      </c>
      <c r="C805" t="s">
        <v>29</v>
      </c>
      <c r="D805" t="s">
        <v>42</v>
      </c>
      <c r="E805">
        <v>2</v>
      </c>
      <c r="H805" s="3">
        <f t="shared" si="60"/>
        <v>5119.3334615384629</v>
      </c>
      <c r="J805" t="s">
        <v>22</v>
      </c>
      <c r="L805" s="2">
        <f t="shared" si="61"/>
        <v>2559.6667307692314</v>
      </c>
      <c r="M805" s="4">
        <f t="shared" si="62"/>
        <v>0.6</v>
      </c>
      <c r="N805" s="1">
        <f t="shared" si="63"/>
        <v>45782</v>
      </c>
      <c r="O805" s="3">
        <f>(Table13[[#This Row],[Units_Sold]]*Table13[[#This Row],[Unit_Price_Cleaned]]*(1-Table13[[#This Row],[Discount Cleaned]]))</f>
        <v>2047.7333846153851</v>
      </c>
      <c r="P805" t="str">
        <f t="shared" si="64"/>
        <v>Profit</v>
      </c>
      <c r="Q805" t="str" cm="1">
        <f t="array" ref="Q805">IF(K805="",INDEX($K$2:$K$2501,MATCH(MAX(COUNTIF($K$2:$K$2501,$K$2:$K$2501)),COUNTIF($K$2:$K$2501,$K$2:$K$2501),0)),K805)</f>
        <v>B2B</v>
      </c>
    </row>
    <row r="806" spans="1:17" x14ac:dyDescent="0.3">
      <c r="A806">
        <v>1804</v>
      </c>
      <c r="B806" t="s">
        <v>852</v>
      </c>
      <c r="C806" t="s">
        <v>38</v>
      </c>
      <c r="D806" t="s">
        <v>59</v>
      </c>
      <c r="E806">
        <v>2</v>
      </c>
      <c r="H806" s="3">
        <f t="shared" si="60"/>
        <v>5608.5303846153838</v>
      </c>
      <c r="I806" s="1">
        <v>45779</v>
      </c>
      <c r="J806" t="s">
        <v>22</v>
      </c>
      <c r="L806" s="2">
        <f t="shared" si="61"/>
        <v>2804.2651923076919</v>
      </c>
      <c r="M806" s="4">
        <f t="shared" si="62"/>
        <v>0.6</v>
      </c>
      <c r="N806" s="1">
        <f t="shared" si="63"/>
        <v>45779</v>
      </c>
      <c r="O806" s="3">
        <f>(Table13[[#This Row],[Units_Sold]]*Table13[[#This Row],[Unit_Price_Cleaned]]*(1-Table13[[#This Row],[Discount Cleaned]]))</f>
        <v>2243.4121538461536</v>
      </c>
      <c r="P806" t="str">
        <f t="shared" si="64"/>
        <v>Profit</v>
      </c>
      <c r="Q806" t="str" cm="1">
        <f t="array" ref="Q806">IF(K806="",INDEX($K$2:$K$2501,MATCH(MAX(COUNTIF($K$2:$K$2501,$K$2:$K$2501)),COUNTIF($K$2:$K$2501,$K$2:$K$2501),0)),K806)</f>
        <v>B2B</v>
      </c>
    </row>
    <row r="807" spans="1:17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 s="3">
        <f t="shared" si="60"/>
        <v>1534.98</v>
      </c>
      <c r="I807" s="1">
        <v>45505</v>
      </c>
      <c r="J807" t="s">
        <v>40</v>
      </c>
      <c r="K807" t="s">
        <v>23</v>
      </c>
      <c r="L807" s="2">
        <f t="shared" si="61"/>
        <v>1534.98</v>
      </c>
      <c r="M807" s="4">
        <f t="shared" si="62"/>
        <v>0.6</v>
      </c>
      <c r="N807" s="1">
        <f t="shared" si="63"/>
        <v>45505</v>
      </c>
      <c r="O807" s="3">
        <f>(Table13[[#This Row],[Units_Sold]]*Table13[[#This Row],[Unit_Price_Cleaned]]*(1-Table13[[#This Row],[Discount Cleaned]]))</f>
        <v>613.99200000000008</v>
      </c>
      <c r="P807" t="str">
        <f t="shared" si="64"/>
        <v>Profit</v>
      </c>
      <c r="Q807" t="str" cm="1">
        <f t="array" ref="Q807">IF(K807="",INDEX($K$2:$K$2501,MATCH(MAX(COUNTIF($K$2:$K$2501,$K$2:$K$2501)),COUNTIF($K$2:$K$2501,$K$2:$K$2501),0)),K807)</f>
        <v>B2B</v>
      </c>
    </row>
    <row r="808" spans="1:17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 s="3">
        <f t="shared" si="60"/>
        <v>2804.2651923076919</v>
      </c>
      <c r="I808" s="1">
        <v>45695</v>
      </c>
      <c r="J808" t="s">
        <v>46</v>
      </c>
      <c r="K808" t="s">
        <v>16</v>
      </c>
      <c r="L808" s="2">
        <f t="shared" si="61"/>
        <v>2804.2651923076919</v>
      </c>
      <c r="M808" s="4">
        <f t="shared" si="62"/>
        <v>0.6</v>
      </c>
      <c r="N808" s="1">
        <f t="shared" si="63"/>
        <v>45695</v>
      </c>
      <c r="O808" s="3">
        <f>(Table13[[#This Row],[Units_Sold]]*Table13[[#This Row],[Unit_Price_Cleaned]]*(1-Table13[[#This Row],[Discount Cleaned]]))</f>
        <v>1121.7060769230768</v>
      </c>
      <c r="P808" t="str">
        <f t="shared" si="64"/>
        <v>Profit</v>
      </c>
      <c r="Q808" t="str" cm="1">
        <f t="array" ref="Q808">IF(K808="",INDEX($K$2:$K$2501,MATCH(MAX(COUNTIF($K$2:$K$2501,$K$2:$K$2501)),COUNTIF($K$2:$K$2501,$K$2:$K$2501),0)),K808)</f>
        <v>B2C</v>
      </c>
    </row>
    <row r="809" spans="1:17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 s="3">
        <f t="shared" si="60"/>
        <v>9232.48</v>
      </c>
      <c r="I809" s="1">
        <v>45811</v>
      </c>
      <c r="J809" t="s">
        <v>40</v>
      </c>
      <c r="K809" t="s">
        <v>16</v>
      </c>
      <c r="L809" s="2">
        <f t="shared" si="61"/>
        <v>2308.12</v>
      </c>
      <c r="M809" s="4">
        <f t="shared" si="62"/>
        <v>0.6</v>
      </c>
      <c r="N809" s="1">
        <f t="shared" si="63"/>
        <v>45811</v>
      </c>
      <c r="O809" s="3">
        <f>(Table13[[#This Row],[Units_Sold]]*Table13[[#This Row],[Unit_Price_Cleaned]]*(1-Table13[[#This Row],[Discount Cleaned]]))</f>
        <v>3692.9920000000002</v>
      </c>
      <c r="P809" t="str">
        <f t="shared" si="64"/>
        <v>Profit</v>
      </c>
      <c r="Q809" t="str" cm="1">
        <f t="array" ref="Q809">IF(K809="",INDEX($K$2:$K$2501,MATCH(MAX(COUNTIF($K$2:$K$2501,$K$2:$K$2501)),COUNTIF($K$2:$K$2501,$K$2:$K$2501),0)),K809)</f>
        <v>B2C</v>
      </c>
    </row>
    <row r="810" spans="1:17" x14ac:dyDescent="0.3">
      <c r="A810">
        <v>1808</v>
      </c>
      <c r="B810" t="s">
        <v>475</v>
      </c>
      <c r="C810" t="s">
        <v>33</v>
      </c>
      <c r="D810" t="s">
        <v>44</v>
      </c>
      <c r="E810">
        <v>2</v>
      </c>
      <c r="F810">
        <v>4582.21</v>
      </c>
      <c r="G810">
        <v>0.7</v>
      </c>
      <c r="H810" s="3">
        <f t="shared" si="60"/>
        <v>9164.42</v>
      </c>
      <c r="J810" t="s">
        <v>40</v>
      </c>
      <c r="K810" t="s">
        <v>23</v>
      </c>
      <c r="L810" s="2">
        <f t="shared" si="61"/>
        <v>4582.21</v>
      </c>
      <c r="M810" s="4">
        <f t="shared" si="62"/>
        <v>0.7</v>
      </c>
      <c r="N810" s="1">
        <f t="shared" si="63"/>
        <v>45782</v>
      </c>
      <c r="O810" s="3">
        <f>(Table13[[#This Row],[Units_Sold]]*Table13[[#This Row],[Unit_Price_Cleaned]]*(1-Table13[[#This Row],[Discount Cleaned]]))</f>
        <v>2749.3260000000005</v>
      </c>
      <c r="P810" t="str">
        <f t="shared" si="64"/>
        <v>Profit</v>
      </c>
      <c r="Q810" t="str" cm="1">
        <f t="array" ref="Q810">IF(K810="",INDEX($K$2:$K$2501,MATCH(MAX(COUNTIF($K$2:$K$2501,$K$2:$K$2501)),COUNTIF($K$2:$K$2501,$K$2:$K$2501),0)),K810)</f>
        <v>B2B</v>
      </c>
    </row>
    <row r="811" spans="1:17" x14ac:dyDescent="0.3">
      <c r="A811">
        <v>1809</v>
      </c>
      <c r="B811" t="s">
        <v>856</v>
      </c>
      <c r="C811" t="s">
        <v>38</v>
      </c>
      <c r="D811" t="s">
        <v>63</v>
      </c>
      <c r="E811">
        <v>2</v>
      </c>
      <c r="F811">
        <v>3799.39</v>
      </c>
      <c r="G811">
        <v>0.76</v>
      </c>
      <c r="H811" s="3">
        <f t="shared" si="60"/>
        <v>7598.78</v>
      </c>
      <c r="I811" s="1">
        <v>45602</v>
      </c>
      <c r="J811" t="s">
        <v>40</v>
      </c>
      <c r="L811" s="2">
        <f t="shared" si="61"/>
        <v>3799.39</v>
      </c>
      <c r="M811" s="4">
        <f t="shared" si="62"/>
        <v>0.76</v>
      </c>
      <c r="N811" s="1">
        <f t="shared" si="63"/>
        <v>45602</v>
      </c>
      <c r="O811" s="3">
        <f>(Table13[[#This Row],[Units_Sold]]*Table13[[#This Row],[Unit_Price_Cleaned]]*(1-Table13[[#This Row],[Discount Cleaned]]))</f>
        <v>1823.7071999999998</v>
      </c>
      <c r="P811" t="str">
        <f t="shared" si="64"/>
        <v>Profit</v>
      </c>
      <c r="Q811" t="str" cm="1">
        <f t="array" ref="Q811">IF(K811="",INDEX($K$2:$K$2501,MATCH(MAX(COUNTIF($K$2:$K$2501,$K$2:$K$2501)),COUNTIF($K$2:$K$2501,$K$2:$K$2501),0)),K811)</f>
        <v>B2B</v>
      </c>
    </row>
    <row r="812" spans="1:17" x14ac:dyDescent="0.3">
      <c r="A812">
        <v>1810</v>
      </c>
      <c r="B812" t="s">
        <v>857</v>
      </c>
      <c r="C812" t="s">
        <v>29</v>
      </c>
      <c r="D812" t="s">
        <v>42</v>
      </c>
      <c r="E812">
        <v>2</v>
      </c>
      <c r="G812">
        <v>0.39</v>
      </c>
      <c r="H812" s="3">
        <f t="shared" si="60"/>
        <v>5119.3334615384629</v>
      </c>
      <c r="I812" s="1">
        <v>45776</v>
      </c>
      <c r="J812" t="s">
        <v>22</v>
      </c>
      <c r="K812" t="s">
        <v>23</v>
      </c>
      <c r="L812" s="2">
        <f t="shared" si="61"/>
        <v>2559.6667307692314</v>
      </c>
      <c r="M812" s="4">
        <f t="shared" si="62"/>
        <v>0.39</v>
      </c>
      <c r="N812" s="1">
        <f t="shared" si="63"/>
        <v>45776</v>
      </c>
      <c r="O812" s="3">
        <f>(Table13[[#This Row],[Units_Sold]]*Table13[[#This Row],[Unit_Price_Cleaned]]*(1-Table13[[#This Row],[Discount Cleaned]]))</f>
        <v>3122.7934115384624</v>
      </c>
      <c r="P812" t="str">
        <f t="shared" si="64"/>
        <v>Profit</v>
      </c>
      <c r="Q812" t="str" cm="1">
        <f t="array" ref="Q812">IF(K812="",INDEX($K$2:$K$2501,MATCH(MAX(COUNTIF($K$2:$K$2501,$K$2:$K$2501)),COUNTIF($K$2:$K$2501,$K$2:$K$2501),0)),K812)</f>
        <v>B2B</v>
      </c>
    </row>
    <row r="813" spans="1:17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 s="3">
        <f t="shared" si="60"/>
        <v>5003.0619999999999</v>
      </c>
      <c r="I813" s="1">
        <v>45492</v>
      </c>
      <c r="J813" t="s">
        <v>40</v>
      </c>
      <c r="L813" s="2">
        <f t="shared" si="61"/>
        <v>2501.5309999999999</v>
      </c>
      <c r="M813" s="4">
        <f t="shared" si="62"/>
        <v>0.99</v>
      </c>
      <c r="N813" s="1">
        <f t="shared" si="63"/>
        <v>45492</v>
      </c>
      <c r="O813" s="3">
        <f>(Table13[[#This Row],[Units_Sold]]*Table13[[#This Row],[Unit_Price_Cleaned]]*(1-Table13[[#This Row],[Discount Cleaned]]))</f>
        <v>50.030620000000042</v>
      </c>
      <c r="P813" t="str">
        <f t="shared" si="64"/>
        <v>Loss</v>
      </c>
      <c r="Q813" t="str" cm="1">
        <f t="array" ref="Q813">IF(K813="",INDEX($K$2:$K$2501,MATCH(MAX(COUNTIF($K$2:$K$2501,$K$2:$K$2501)),COUNTIF($K$2:$K$2501,$K$2:$K$2501),0)),K813)</f>
        <v>B2B</v>
      </c>
    </row>
    <row r="814" spans="1:17" x14ac:dyDescent="0.3">
      <c r="A814">
        <v>1812</v>
      </c>
      <c r="B814" t="s">
        <v>859</v>
      </c>
      <c r="C814" t="s">
        <v>20</v>
      </c>
      <c r="D814" t="s">
        <v>88</v>
      </c>
      <c r="E814">
        <v>2</v>
      </c>
      <c r="H814" s="3">
        <f t="shared" si="60"/>
        <v>5451.7114285714297</v>
      </c>
      <c r="I814" s="1">
        <v>45683</v>
      </c>
      <c r="J814" t="s">
        <v>15</v>
      </c>
      <c r="K814" t="s">
        <v>23</v>
      </c>
      <c r="L814" s="2">
        <f t="shared" si="61"/>
        <v>2725.8557142857148</v>
      </c>
      <c r="M814" s="4">
        <f t="shared" si="62"/>
        <v>0.6</v>
      </c>
      <c r="N814" s="1">
        <f t="shared" si="63"/>
        <v>45683</v>
      </c>
      <c r="O814" s="3">
        <f>(Table13[[#This Row],[Units_Sold]]*Table13[[#This Row],[Unit_Price_Cleaned]]*(1-Table13[[#This Row],[Discount Cleaned]]))</f>
        <v>2180.6845714285719</v>
      </c>
      <c r="P814" t="str">
        <f t="shared" si="64"/>
        <v>Profit</v>
      </c>
      <c r="Q814" t="str" cm="1">
        <f t="array" ref="Q814">IF(K814="",INDEX($K$2:$K$2501,MATCH(MAX(COUNTIF($K$2:$K$2501,$K$2:$K$2501)),COUNTIF($K$2:$K$2501,$K$2:$K$2501),0)),K814)</f>
        <v>B2B</v>
      </c>
    </row>
    <row r="815" spans="1:17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 s="3">
        <f t="shared" si="60"/>
        <v>0</v>
      </c>
      <c r="I815" s="1">
        <v>45851</v>
      </c>
      <c r="J815" t="s">
        <v>18</v>
      </c>
      <c r="K815" t="s">
        <v>23</v>
      </c>
      <c r="L815" s="2">
        <f t="shared" si="61"/>
        <v>2700.1263043478252</v>
      </c>
      <c r="M815" s="4">
        <f t="shared" si="62"/>
        <v>0.6</v>
      </c>
      <c r="N815" s="1">
        <f t="shared" si="63"/>
        <v>45851</v>
      </c>
      <c r="O815" s="3">
        <f>(Table13[[#This Row],[Units_Sold]]*Table13[[#This Row],[Unit_Price_Cleaned]]*(1-Table13[[#This Row],[Discount Cleaned]]))</f>
        <v>0</v>
      </c>
      <c r="P815" t="str">
        <f t="shared" si="64"/>
        <v>Loss</v>
      </c>
      <c r="Q815" t="str" cm="1">
        <f t="array" ref="Q815">IF(K815="",INDEX($K$2:$K$2501,MATCH(MAX(COUNTIF($K$2:$K$2501,$K$2:$K$2501)),COUNTIF($K$2:$K$2501,$K$2:$K$2501),0)),K815)</f>
        <v>B2B</v>
      </c>
    </row>
    <row r="816" spans="1:17" x14ac:dyDescent="0.3">
      <c r="A816">
        <v>1814</v>
      </c>
      <c r="B816" t="s">
        <v>861</v>
      </c>
      <c r="C816" t="s">
        <v>33</v>
      </c>
      <c r="D816" t="s">
        <v>44</v>
      </c>
      <c r="E816">
        <v>2</v>
      </c>
      <c r="H816" s="3">
        <f t="shared" si="60"/>
        <v>5683.5261224489814</v>
      </c>
      <c r="I816" s="1">
        <v>45655</v>
      </c>
      <c r="J816" t="s">
        <v>15</v>
      </c>
      <c r="K816" t="s">
        <v>23</v>
      </c>
      <c r="L816" s="2">
        <f t="shared" si="61"/>
        <v>2841.7630612244907</v>
      </c>
      <c r="M816" s="4">
        <f t="shared" si="62"/>
        <v>0.6</v>
      </c>
      <c r="N816" s="1">
        <f t="shared" si="63"/>
        <v>45655</v>
      </c>
      <c r="O816" s="3">
        <f>(Table13[[#This Row],[Units_Sold]]*Table13[[#This Row],[Unit_Price_Cleaned]]*(1-Table13[[#This Row],[Discount Cleaned]]))</f>
        <v>2273.4104489795927</v>
      </c>
      <c r="P816" t="str">
        <f t="shared" si="64"/>
        <v>Profit</v>
      </c>
      <c r="Q816" t="str" cm="1">
        <f t="array" ref="Q816">IF(K816="",INDEX($K$2:$K$2501,MATCH(MAX(COUNTIF($K$2:$K$2501,$K$2:$K$2501)),COUNTIF($K$2:$K$2501,$K$2:$K$2501),0)),K816)</f>
        <v>B2B</v>
      </c>
    </row>
    <row r="817" spans="1:17" x14ac:dyDescent="0.3">
      <c r="A817">
        <v>1815</v>
      </c>
      <c r="B817" t="s">
        <v>862</v>
      </c>
      <c r="C817" t="s">
        <v>38</v>
      </c>
      <c r="D817" t="s">
        <v>39</v>
      </c>
      <c r="E817">
        <v>2</v>
      </c>
      <c r="H817" s="3">
        <f t="shared" si="60"/>
        <v>6016.7688888888888</v>
      </c>
      <c r="I817" s="1">
        <v>45806</v>
      </c>
      <c r="J817" t="s">
        <v>40</v>
      </c>
      <c r="L817" s="2">
        <f t="shared" si="61"/>
        <v>3008.3844444444444</v>
      </c>
      <c r="M817" s="4">
        <f t="shared" si="62"/>
        <v>0.6</v>
      </c>
      <c r="N817" s="1">
        <f t="shared" si="63"/>
        <v>45806</v>
      </c>
      <c r="O817" s="3">
        <f>(Table13[[#This Row],[Units_Sold]]*Table13[[#This Row],[Unit_Price_Cleaned]]*(1-Table13[[#This Row],[Discount Cleaned]]))</f>
        <v>2406.7075555555557</v>
      </c>
      <c r="P817" t="str">
        <f t="shared" si="64"/>
        <v>Profit</v>
      </c>
      <c r="Q817" t="str" cm="1">
        <f t="array" ref="Q817">IF(K817="",INDEX($K$2:$K$2501,MATCH(MAX(COUNTIF($K$2:$K$2501,$K$2:$K$2501)),COUNTIF($K$2:$K$2501,$K$2:$K$2501),0)),K817)</f>
        <v>B2B</v>
      </c>
    </row>
    <row r="818" spans="1:17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 s="3">
        <f t="shared" si="60"/>
        <v>1130.83</v>
      </c>
      <c r="I818" s="1">
        <v>45135</v>
      </c>
      <c r="J818" t="s">
        <v>56</v>
      </c>
      <c r="L818" s="2">
        <f t="shared" si="61"/>
        <v>1130.83</v>
      </c>
      <c r="M818" s="4">
        <f t="shared" si="62"/>
        <v>0.84</v>
      </c>
      <c r="N818" s="1">
        <f t="shared" si="63"/>
        <v>45135</v>
      </c>
      <c r="O818" s="3">
        <f>(Table13[[#This Row],[Units_Sold]]*Table13[[#This Row],[Unit_Price_Cleaned]]*(1-Table13[[#This Row],[Discount Cleaned]]))</f>
        <v>180.93280000000001</v>
      </c>
      <c r="P818" t="str">
        <f t="shared" si="64"/>
        <v>Loss</v>
      </c>
      <c r="Q818" t="str" cm="1">
        <f t="array" ref="Q818">IF(K818="",INDEX($K$2:$K$2501,MATCH(MAX(COUNTIF($K$2:$K$2501,$K$2:$K$2501)),COUNTIF($K$2:$K$2501,$K$2:$K$2501),0)),K818)</f>
        <v>B2B</v>
      </c>
    </row>
    <row r="819" spans="1:17" x14ac:dyDescent="0.3">
      <c r="A819">
        <v>1817</v>
      </c>
      <c r="B819" t="s">
        <v>864</v>
      </c>
      <c r="C819" t="s">
        <v>25</v>
      </c>
      <c r="D819" t="s">
        <v>66</v>
      </c>
      <c r="E819">
        <v>2</v>
      </c>
      <c r="F819">
        <v>2964.88</v>
      </c>
      <c r="G819">
        <v>1.28</v>
      </c>
      <c r="H819" s="3">
        <f t="shared" si="60"/>
        <v>5929.76</v>
      </c>
      <c r="I819" s="1">
        <v>45521</v>
      </c>
      <c r="J819" t="s">
        <v>22</v>
      </c>
      <c r="L819" s="2">
        <f t="shared" si="61"/>
        <v>2964.88</v>
      </c>
      <c r="M819" s="4">
        <f t="shared" si="62"/>
        <v>1.28</v>
      </c>
      <c r="N819" s="1">
        <f t="shared" si="63"/>
        <v>45521</v>
      </c>
      <c r="O819" s="3">
        <f>(Table13[[#This Row],[Units_Sold]]*Table13[[#This Row],[Unit_Price_Cleaned]]*(1-Table13[[#This Row],[Discount Cleaned]]))</f>
        <v>-1660.3328000000001</v>
      </c>
      <c r="P819" t="str">
        <f t="shared" si="64"/>
        <v>Loss</v>
      </c>
      <c r="Q819" t="str" cm="1">
        <f t="array" ref="Q819">IF(K819="",INDEX($K$2:$K$2501,MATCH(MAX(COUNTIF($K$2:$K$2501,$K$2:$K$2501)),COUNTIF($K$2:$K$2501,$K$2:$K$2501),0)),K819)</f>
        <v>B2B</v>
      </c>
    </row>
    <row r="820" spans="1:17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 s="3">
        <f t="shared" si="60"/>
        <v>-3449.33</v>
      </c>
      <c r="J820" t="s">
        <v>15</v>
      </c>
      <c r="K820" t="s">
        <v>16</v>
      </c>
      <c r="L820" s="2">
        <f t="shared" si="61"/>
        <v>3449.33</v>
      </c>
      <c r="M820" s="4">
        <f t="shared" si="62"/>
        <v>0.43</v>
      </c>
      <c r="N820" s="1">
        <f t="shared" si="63"/>
        <v>45782</v>
      </c>
      <c r="O820" s="3">
        <f>(Table13[[#This Row],[Units_Sold]]*Table13[[#This Row],[Unit_Price_Cleaned]]*(1-Table13[[#This Row],[Discount Cleaned]]))</f>
        <v>-1966.1181000000001</v>
      </c>
      <c r="P820" t="str">
        <f t="shared" si="64"/>
        <v>Loss</v>
      </c>
      <c r="Q820" t="str" cm="1">
        <f t="array" ref="Q820">IF(K820="",INDEX($K$2:$K$2501,MATCH(MAX(COUNTIF($K$2:$K$2501,$K$2:$K$2501)),COUNTIF($K$2:$K$2501,$K$2:$K$2501),0)),K820)</f>
        <v>B2C</v>
      </c>
    </row>
    <row r="821" spans="1:17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 s="3">
        <f t="shared" si="60"/>
        <v>10567.08</v>
      </c>
      <c r="J821" t="s">
        <v>22</v>
      </c>
      <c r="K821" t="s">
        <v>23</v>
      </c>
      <c r="L821" s="2">
        <f t="shared" si="61"/>
        <v>1761.18</v>
      </c>
      <c r="M821" s="4">
        <f t="shared" si="62"/>
        <v>0.6</v>
      </c>
      <c r="N821" s="1">
        <f t="shared" si="63"/>
        <v>45782</v>
      </c>
      <c r="O821" s="3">
        <f>(Table13[[#This Row],[Units_Sold]]*Table13[[#This Row],[Unit_Price_Cleaned]]*(1-Table13[[#This Row],[Discount Cleaned]]))</f>
        <v>4226.8320000000003</v>
      </c>
      <c r="P821" t="str">
        <f t="shared" si="64"/>
        <v>Profit</v>
      </c>
      <c r="Q821" t="str" cm="1">
        <f t="array" ref="Q821">IF(K821="",INDEX($K$2:$K$2501,MATCH(MAX(COUNTIF($K$2:$K$2501,$K$2:$K$2501)),COUNTIF($K$2:$K$2501,$K$2:$K$2501),0)),K821)</f>
        <v>B2B</v>
      </c>
    </row>
    <row r="822" spans="1:17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 s="3">
        <f t="shared" si="60"/>
        <v>9825.2000000000007</v>
      </c>
      <c r="I822" s="1">
        <v>45132</v>
      </c>
      <c r="J822" t="s">
        <v>46</v>
      </c>
      <c r="L822" s="2">
        <f t="shared" si="61"/>
        <v>1965.04</v>
      </c>
      <c r="M822" s="4">
        <f t="shared" si="62"/>
        <v>0.6</v>
      </c>
      <c r="N822" s="1">
        <f t="shared" si="63"/>
        <v>45132</v>
      </c>
      <c r="O822" s="3">
        <f>(Table13[[#This Row],[Units_Sold]]*Table13[[#This Row],[Unit_Price_Cleaned]]*(1-Table13[[#This Row],[Discount Cleaned]]))</f>
        <v>3930.0800000000004</v>
      </c>
      <c r="P822" t="str">
        <f t="shared" si="64"/>
        <v>Profit</v>
      </c>
      <c r="Q822" t="str" cm="1">
        <f t="array" ref="Q822">IF(K822="",INDEX($K$2:$K$2501,MATCH(MAX(COUNTIF($K$2:$K$2501,$K$2:$K$2501)),COUNTIF($K$2:$K$2501,$K$2:$K$2501),0)),K822)</f>
        <v>B2B</v>
      </c>
    </row>
    <row r="823" spans="1:17" x14ac:dyDescent="0.3">
      <c r="A823">
        <v>1821</v>
      </c>
      <c r="B823" t="s">
        <v>867</v>
      </c>
      <c r="C823" t="s">
        <v>20</v>
      </c>
      <c r="D823" t="s">
        <v>122</v>
      </c>
      <c r="E823">
        <v>2</v>
      </c>
      <c r="G823">
        <v>0.65</v>
      </c>
      <c r="H823" s="3">
        <f t="shared" si="60"/>
        <v>5400.2526086956505</v>
      </c>
      <c r="J823" t="s">
        <v>18</v>
      </c>
      <c r="K823" t="s">
        <v>16</v>
      </c>
      <c r="L823" s="2">
        <f t="shared" si="61"/>
        <v>2700.1263043478252</v>
      </c>
      <c r="M823" s="4">
        <f t="shared" si="62"/>
        <v>0.65</v>
      </c>
      <c r="N823" s="1">
        <f t="shared" si="63"/>
        <v>45782</v>
      </c>
      <c r="O823" s="3">
        <f>(Table13[[#This Row],[Units_Sold]]*Table13[[#This Row],[Unit_Price_Cleaned]]*(1-Table13[[#This Row],[Discount Cleaned]]))</f>
        <v>1890.0884130434774</v>
      </c>
      <c r="P823" t="str">
        <f t="shared" si="64"/>
        <v>Profit</v>
      </c>
      <c r="Q823" t="str" cm="1">
        <f t="array" ref="Q823">IF(K823="",INDEX($K$2:$K$2501,MATCH(MAX(COUNTIF($K$2:$K$2501,$K$2:$K$2501)),COUNTIF($K$2:$K$2501,$K$2:$K$2501),0)),K823)</f>
        <v>B2C</v>
      </c>
    </row>
    <row r="824" spans="1:17" x14ac:dyDescent="0.3">
      <c r="A824">
        <v>1822</v>
      </c>
      <c r="B824" t="s">
        <v>868</v>
      </c>
      <c r="C824" t="s">
        <v>20</v>
      </c>
      <c r="D824" t="s">
        <v>80</v>
      </c>
      <c r="E824">
        <v>2</v>
      </c>
      <c r="F824">
        <v>938.86</v>
      </c>
      <c r="G824">
        <v>0.05</v>
      </c>
      <c r="H824" s="3">
        <f t="shared" si="60"/>
        <v>1877.72</v>
      </c>
      <c r="I824" s="1">
        <v>45479</v>
      </c>
      <c r="J824" t="s">
        <v>56</v>
      </c>
      <c r="K824" t="s">
        <v>16</v>
      </c>
      <c r="L824" s="2">
        <f t="shared" si="61"/>
        <v>938.86</v>
      </c>
      <c r="M824" s="4">
        <f t="shared" si="62"/>
        <v>0.05</v>
      </c>
      <c r="N824" s="1">
        <f t="shared" si="63"/>
        <v>45479</v>
      </c>
      <c r="O824" s="3">
        <f>(Table13[[#This Row],[Units_Sold]]*Table13[[#This Row],[Unit_Price_Cleaned]]*(1-Table13[[#This Row],[Discount Cleaned]]))</f>
        <v>1783.8339999999998</v>
      </c>
      <c r="P824" t="str">
        <f t="shared" si="64"/>
        <v>Profit</v>
      </c>
      <c r="Q824" t="str" cm="1">
        <f t="array" ref="Q824">IF(K824="",INDEX($K$2:$K$2501,MATCH(MAX(COUNTIF($K$2:$K$2501,$K$2:$K$2501)),COUNTIF($K$2:$K$2501,$K$2:$K$2501),0)),K824)</f>
        <v>B2C</v>
      </c>
    </row>
    <row r="825" spans="1:17" x14ac:dyDescent="0.3">
      <c r="A825">
        <v>1823</v>
      </c>
      <c r="B825" t="s">
        <v>869</v>
      </c>
      <c r="C825" t="s">
        <v>33</v>
      </c>
      <c r="D825" t="s">
        <v>44</v>
      </c>
      <c r="E825">
        <v>2</v>
      </c>
      <c r="F825">
        <v>3887.15</v>
      </c>
      <c r="H825" s="3">
        <f t="shared" si="60"/>
        <v>7774.3</v>
      </c>
      <c r="I825" s="1">
        <v>45835</v>
      </c>
      <c r="J825" t="s">
        <v>18</v>
      </c>
      <c r="K825" t="s">
        <v>16</v>
      </c>
      <c r="L825" s="2">
        <f t="shared" si="61"/>
        <v>3887.15</v>
      </c>
      <c r="M825" s="4">
        <f t="shared" si="62"/>
        <v>0.6</v>
      </c>
      <c r="N825" s="1">
        <f t="shared" si="63"/>
        <v>45835</v>
      </c>
      <c r="O825" s="3">
        <f>(Table13[[#This Row],[Units_Sold]]*Table13[[#This Row],[Unit_Price_Cleaned]]*(1-Table13[[#This Row],[Discount Cleaned]]))</f>
        <v>3109.7200000000003</v>
      </c>
      <c r="P825" t="str">
        <f t="shared" si="64"/>
        <v>Profit</v>
      </c>
      <c r="Q825" t="str" cm="1">
        <f t="array" ref="Q825">IF(K825="",INDEX($K$2:$K$2501,MATCH(MAX(COUNTIF($K$2:$K$2501,$K$2:$K$2501)),COUNTIF($K$2:$K$2501,$K$2:$K$2501),0)),K825)</f>
        <v>B2C</v>
      </c>
    </row>
    <row r="826" spans="1:17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 s="3">
        <f t="shared" si="60"/>
        <v>0</v>
      </c>
      <c r="I826" s="1">
        <v>45346</v>
      </c>
      <c r="J826" t="s">
        <v>56</v>
      </c>
      <c r="K826" t="s">
        <v>23</v>
      </c>
      <c r="L826" s="2">
        <f t="shared" si="61"/>
        <v>4146.2700000000004</v>
      </c>
      <c r="M826" s="4">
        <f t="shared" si="62"/>
        <v>1.29</v>
      </c>
      <c r="N826" s="1">
        <f t="shared" si="63"/>
        <v>45346</v>
      </c>
      <c r="O826" s="3">
        <f>(Table13[[#This Row],[Units_Sold]]*Table13[[#This Row],[Unit_Price_Cleaned]]*(1-Table13[[#This Row],[Discount Cleaned]]))</f>
        <v>0</v>
      </c>
      <c r="P826" t="str">
        <f t="shared" si="64"/>
        <v>Loss</v>
      </c>
      <c r="Q826" t="str" cm="1">
        <f t="array" ref="Q826">IF(K826="",INDEX($K$2:$K$2501,MATCH(MAX(COUNTIF($K$2:$K$2501,$K$2:$K$2501)),COUNTIF($K$2:$K$2501,$K$2:$K$2501),0)),K826)</f>
        <v>B2B</v>
      </c>
    </row>
    <row r="827" spans="1:17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 s="3">
        <f t="shared" si="60"/>
        <v>5895.9</v>
      </c>
      <c r="J827" t="s">
        <v>22</v>
      </c>
      <c r="K827" t="s">
        <v>23</v>
      </c>
      <c r="L827" s="2">
        <f t="shared" si="61"/>
        <v>982.65</v>
      </c>
      <c r="M827" s="4">
        <f t="shared" si="62"/>
        <v>0.6</v>
      </c>
      <c r="N827" s="1">
        <f t="shared" si="63"/>
        <v>45782</v>
      </c>
      <c r="O827" s="3">
        <f>(Table13[[#This Row],[Units_Sold]]*Table13[[#This Row],[Unit_Price_Cleaned]]*(1-Table13[[#This Row],[Discount Cleaned]]))</f>
        <v>2358.36</v>
      </c>
      <c r="P827" t="str">
        <f t="shared" si="64"/>
        <v>Profit</v>
      </c>
      <c r="Q827" t="str" cm="1">
        <f t="array" ref="Q827">IF(K827="",INDEX($K$2:$K$2501,MATCH(MAX(COUNTIF($K$2:$K$2501,$K$2:$K$2501)),COUNTIF($K$2:$K$2501,$K$2:$K$2501),0)),K827)</f>
        <v>B2B</v>
      </c>
    </row>
    <row r="828" spans="1:17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 s="3">
        <f t="shared" si="60"/>
        <v>14922.23769230769</v>
      </c>
      <c r="I828" s="1">
        <v>45623</v>
      </c>
      <c r="J828" t="s">
        <v>15</v>
      </c>
      <c r="K828" t="s">
        <v>23</v>
      </c>
      <c r="L828" s="2">
        <f t="shared" si="61"/>
        <v>2487.039615384615</v>
      </c>
      <c r="M828" s="4">
        <f t="shared" si="62"/>
        <v>0.6</v>
      </c>
      <c r="N828" s="1">
        <f t="shared" si="63"/>
        <v>45623</v>
      </c>
      <c r="O828" s="3">
        <f>(Table13[[#This Row],[Units_Sold]]*Table13[[#This Row],[Unit_Price_Cleaned]]*(1-Table13[[#This Row],[Discount Cleaned]]))</f>
        <v>5968.895076923076</v>
      </c>
      <c r="P828" t="str">
        <f t="shared" si="64"/>
        <v>Profit</v>
      </c>
      <c r="Q828" t="str" cm="1">
        <f t="array" ref="Q828">IF(K828="",INDEX($K$2:$K$2501,MATCH(MAX(COUNTIF($K$2:$K$2501,$K$2:$K$2501)),COUNTIF($K$2:$K$2501,$K$2:$K$2501),0)),K828)</f>
        <v>B2B</v>
      </c>
    </row>
    <row r="829" spans="1:17" x14ac:dyDescent="0.3">
      <c r="A829">
        <v>1827</v>
      </c>
      <c r="B829" t="s">
        <v>873</v>
      </c>
      <c r="C829" t="s">
        <v>13</v>
      </c>
      <c r="D829" t="s">
        <v>49</v>
      </c>
      <c r="E829">
        <v>2</v>
      </c>
      <c r="F829">
        <v>3109.74</v>
      </c>
      <c r="H829" s="3">
        <f t="shared" si="60"/>
        <v>6219.48</v>
      </c>
      <c r="J829" t="s">
        <v>22</v>
      </c>
      <c r="L829" s="2">
        <f t="shared" si="61"/>
        <v>3109.74</v>
      </c>
      <c r="M829" s="4">
        <f t="shared" si="62"/>
        <v>0.6</v>
      </c>
      <c r="N829" s="1">
        <f t="shared" si="63"/>
        <v>45782</v>
      </c>
      <c r="O829" s="3">
        <f>(Table13[[#This Row],[Units_Sold]]*Table13[[#This Row],[Unit_Price_Cleaned]]*(1-Table13[[#This Row],[Discount Cleaned]]))</f>
        <v>2487.7919999999999</v>
      </c>
      <c r="P829" t="str">
        <f t="shared" si="64"/>
        <v>Profit</v>
      </c>
      <c r="Q829" t="str" cm="1">
        <f t="array" ref="Q829">IF(K829="",INDEX($K$2:$K$2501,MATCH(MAX(COUNTIF($K$2:$K$2501,$K$2:$K$2501)),COUNTIF($K$2:$K$2501,$K$2:$K$2501),0)),K829)</f>
        <v>B2B</v>
      </c>
    </row>
    <row r="830" spans="1:17" x14ac:dyDescent="0.3">
      <c r="A830">
        <v>1828</v>
      </c>
      <c r="B830" t="s">
        <v>874</v>
      </c>
      <c r="C830" t="s">
        <v>38</v>
      </c>
      <c r="D830" t="s">
        <v>59</v>
      </c>
      <c r="E830">
        <v>2</v>
      </c>
      <c r="F830">
        <v>4427.9399999999996</v>
      </c>
      <c r="G830">
        <v>0.25</v>
      </c>
      <c r="H830" s="3">
        <f t="shared" si="60"/>
        <v>8855.8799999999992</v>
      </c>
      <c r="I830" s="1">
        <v>45526</v>
      </c>
      <c r="J830" t="s">
        <v>22</v>
      </c>
      <c r="L830" s="2">
        <f t="shared" si="61"/>
        <v>4427.9399999999996</v>
      </c>
      <c r="M830" s="4">
        <f t="shared" si="62"/>
        <v>0.25</v>
      </c>
      <c r="N830" s="1">
        <f t="shared" si="63"/>
        <v>45526</v>
      </c>
      <c r="O830" s="3">
        <f>(Table13[[#This Row],[Units_Sold]]*Table13[[#This Row],[Unit_Price_Cleaned]]*(1-Table13[[#This Row],[Discount Cleaned]]))</f>
        <v>6641.91</v>
      </c>
      <c r="P830" t="str">
        <f t="shared" si="64"/>
        <v>Profit</v>
      </c>
      <c r="Q830" t="str" cm="1">
        <f t="array" ref="Q830">IF(K830="",INDEX($K$2:$K$2501,MATCH(MAX(COUNTIF($K$2:$K$2501,$K$2:$K$2501)),COUNTIF($K$2:$K$2501,$K$2:$K$2501),0)),K830)</f>
        <v>B2B</v>
      </c>
    </row>
    <row r="831" spans="1:17" x14ac:dyDescent="0.3">
      <c r="A831">
        <v>1829</v>
      </c>
      <c r="B831" t="s">
        <v>875</v>
      </c>
      <c r="C831" t="s">
        <v>25</v>
      </c>
      <c r="D831" t="s">
        <v>54</v>
      </c>
      <c r="E831">
        <v>2</v>
      </c>
      <c r="H831" s="3">
        <f t="shared" si="60"/>
        <v>5060.7673076923093</v>
      </c>
      <c r="I831" s="1">
        <v>45351</v>
      </c>
      <c r="J831" t="s">
        <v>15</v>
      </c>
      <c r="K831" t="s">
        <v>23</v>
      </c>
      <c r="L831" s="2">
        <f t="shared" si="61"/>
        <v>2530.3836538461546</v>
      </c>
      <c r="M831" s="4">
        <f t="shared" si="62"/>
        <v>0.6</v>
      </c>
      <c r="N831" s="1">
        <f t="shared" si="63"/>
        <v>45351</v>
      </c>
      <c r="O831" s="3">
        <f>(Table13[[#This Row],[Units_Sold]]*Table13[[#This Row],[Unit_Price_Cleaned]]*(1-Table13[[#This Row],[Discount Cleaned]]))</f>
        <v>2024.3069230769238</v>
      </c>
      <c r="P831" t="str">
        <f t="shared" si="64"/>
        <v>Profit</v>
      </c>
      <c r="Q831" t="str" cm="1">
        <f t="array" ref="Q831">IF(K831="",INDEX($K$2:$K$2501,MATCH(MAX(COUNTIF($K$2:$K$2501,$K$2:$K$2501)),COUNTIF($K$2:$K$2501,$K$2:$K$2501),0)),K831)</f>
        <v>B2B</v>
      </c>
    </row>
    <row r="832" spans="1:17" x14ac:dyDescent="0.3">
      <c r="A832">
        <v>1830</v>
      </c>
      <c r="B832" t="s">
        <v>876</v>
      </c>
      <c r="C832" t="s">
        <v>38</v>
      </c>
      <c r="D832" t="s">
        <v>39</v>
      </c>
      <c r="E832">
        <v>2</v>
      </c>
      <c r="H832" s="3">
        <f t="shared" si="60"/>
        <v>6016.7688888888888</v>
      </c>
      <c r="I832" s="1">
        <v>45521</v>
      </c>
      <c r="J832" t="s">
        <v>46</v>
      </c>
      <c r="L832" s="2">
        <f t="shared" si="61"/>
        <v>3008.3844444444444</v>
      </c>
      <c r="M832" s="4">
        <f t="shared" si="62"/>
        <v>0.6</v>
      </c>
      <c r="N832" s="1">
        <f t="shared" si="63"/>
        <v>45521</v>
      </c>
      <c r="O832" s="3">
        <f>(Table13[[#This Row],[Units_Sold]]*Table13[[#This Row],[Unit_Price_Cleaned]]*(1-Table13[[#This Row],[Discount Cleaned]]))</f>
        <v>2406.7075555555557</v>
      </c>
      <c r="P832" t="str">
        <f t="shared" si="64"/>
        <v>Profit</v>
      </c>
      <c r="Q832" t="str" cm="1">
        <f t="array" ref="Q832">IF(K832="",INDEX($K$2:$K$2501,MATCH(MAX(COUNTIF($K$2:$K$2501,$K$2:$K$2501)),COUNTIF($K$2:$K$2501,$K$2:$K$2501),0)),K832)</f>
        <v>B2B</v>
      </c>
    </row>
    <row r="833" spans="1:17" x14ac:dyDescent="0.3">
      <c r="A833">
        <v>1831</v>
      </c>
      <c r="B833" t="s">
        <v>877</v>
      </c>
      <c r="C833" t="s">
        <v>25</v>
      </c>
      <c r="D833" t="s">
        <v>26</v>
      </c>
      <c r="E833">
        <v>2</v>
      </c>
      <c r="F833">
        <v>895.34</v>
      </c>
      <c r="H833" s="3">
        <f t="shared" si="60"/>
        <v>1790.68</v>
      </c>
      <c r="I833" s="1">
        <v>45520</v>
      </c>
      <c r="J833" t="s">
        <v>40</v>
      </c>
      <c r="K833" t="s">
        <v>23</v>
      </c>
      <c r="L833" s="2">
        <f t="shared" si="61"/>
        <v>895.34</v>
      </c>
      <c r="M833" s="4">
        <f t="shared" si="62"/>
        <v>0.6</v>
      </c>
      <c r="N833" s="1">
        <f t="shared" si="63"/>
        <v>45520</v>
      </c>
      <c r="O833" s="3">
        <f>(Table13[[#This Row],[Units_Sold]]*Table13[[#This Row],[Unit_Price_Cleaned]]*(1-Table13[[#This Row],[Discount Cleaned]]))</f>
        <v>716.27200000000005</v>
      </c>
      <c r="P833" t="str">
        <f t="shared" si="64"/>
        <v>Profit</v>
      </c>
      <c r="Q833" t="str" cm="1">
        <f t="array" ref="Q833">IF(K833="",INDEX($K$2:$K$2501,MATCH(MAX(COUNTIF($K$2:$K$2501,$K$2:$K$2501)),COUNTIF($K$2:$K$2501,$K$2:$K$2501),0)),K833)</f>
        <v>B2B</v>
      </c>
    </row>
    <row r="834" spans="1:17" x14ac:dyDescent="0.3">
      <c r="A834">
        <v>1832</v>
      </c>
      <c r="B834" t="s">
        <v>878</v>
      </c>
      <c r="C834" t="s">
        <v>25</v>
      </c>
      <c r="D834" t="s">
        <v>26</v>
      </c>
      <c r="E834">
        <v>2</v>
      </c>
      <c r="G834">
        <v>0.43</v>
      </c>
      <c r="H834" s="3">
        <f t="shared" ref="H834:H897" si="65">(L834*E834)</f>
        <v>5777.7428571428572</v>
      </c>
      <c r="I834" s="1">
        <v>45546</v>
      </c>
      <c r="J834" t="s">
        <v>18</v>
      </c>
      <c r="K834" t="s">
        <v>16</v>
      </c>
      <c r="L834" s="2">
        <f t="shared" ref="L834:L897" si="66">IF(F834="",AVERAGEIF($D$2:$D$2501,D834,$F$2:$F$2501),F834)</f>
        <v>2888.8714285714286</v>
      </c>
      <c r="M834" s="4">
        <f t="shared" ref="M834:M897" si="67">IF(G834="",MEDIAN($G$2,$G$2501),G834)</f>
        <v>0.43</v>
      </c>
      <c r="N834" s="1">
        <f t="shared" ref="N834:N897" si="68">IF(I834="",MODE($I$32:$I$2501),I834)</f>
        <v>45546</v>
      </c>
      <c r="O834" s="3">
        <f>(Table13[[#This Row],[Units_Sold]]*Table13[[#This Row],[Unit_Price_Cleaned]]*(1-Table13[[#This Row],[Discount Cleaned]]))</f>
        <v>3293.3134285714291</v>
      </c>
      <c r="P834" t="str">
        <f t="shared" ref="P834:P897" si="69">IF(O834&gt;500,"Profit","Loss")</f>
        <v>Profit</v>
      </c>
      <c r="Q834" t="str" cm="1">
        <f t="array" ref="Q834">IF(K834="",INDEX($K$2:$K$2501,MATCH(MAX(COUNTIF($K$2:$K$2501,$K$2:$K$2501)),COUNTIF($K$2:$K$2501,$K$2:$K$2501),0)),K834)</f>
        <v>B2C</v>
      </c>
    </row>
    <row r="835" spans="1:17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 s="3">
        <f t="shared" si="65"/>
        <v>9155.31</v>
      </c>
      <c r="I835" s="1">
        <v>45686</v>
      </c>
      <c r="J835" t="s">
        <v>56</v>
      </c>
      <c r="K835" t="s">
        <v>23</v>
      </c>
      <c r="L835" s="2">
        <f t="shared" si="66"/>
        <v>3051.77</v>
      </c>
      <c r="M835" s="4">
        <f t="shared" si="67"/>
        <v>1.19</v>
      </c>
      <c r="N835" s="1">
        <f t="shared" si="68"/>
        <v>45686</v>
      </c>
      <c r="O835" s="3">
        <f>(Table13[[#This Row],[Units_Sold]]*Table13[[#This Row],[Unit_Price_Cleaned]]*(1-Table13[[#This Row],[Discount Cleaned]]))</f>
        <v>-1739.5088999999994</v>
      </c>
      <c r="P835" t="str">
        <f t="shared" si="69"/>
        <v>Loss</v>
      </c>
      <c r="Q835" t="str" cm="1">
        <f t="array" ref="Q835">IF(K835="",INDEX($K$2:$K$2501,MATCH(MAX(COUNTIF($K$2:$K$2501,$K$2:$K$2501)),COUNTIF($K$2:$K$2501,$K$2:$K$2501),0)),K835)</f>
        <v>B2B</v>
      </c>
    </row>
    <row r="836" spans="1:17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 s="3">
        <f t="shared" si="65"/>
        <v>0</v>
      </c>
      <c r="I836" s="1">
        <v>45792</v>
      </c>
      <c r="J836" t="s">
        <v>18</v>
      </c>
      <c r="K836" t="s">
        <v>16</v>
      </c>
      <c r="L836" s="2">
        <f t="shared" si="66"/>
        <v>2725.8557142857148</v>
      </c>
      <c r="M836" s="4">
        <f t="shared" si="67"/>
        <v>0.94</v>
      </c>
      <c r="N836" s="1">
        <f t="shared" si="68"/>
        <v>45792</v>
      </c>
      <c r="O836" s="3">
        <f>(Table13[[#This Row],[Units_Sold]]*Table13[[#This Row],[Unit_Price_Cleaned]]*(1-Table13[[#This Row],[Discount Cleaned]]))</f>
        <v>0</v>
      </c>
      <c r="P836" t="str">
        <f t="shared" si="69"/>
        <v>Loss</v>
      </c>
      <c r="Q836" t="str" cm="1">
        <f t="array" ref="Q836">IF(K836="",INDEX($K$2:$K$2501,MATCH(MAX(COUNTIF($K$2:$K$2501,$K$2:$K$2501)),COUNTIF($K$2:$K$2501,$K$2:$K$2501),0)),K836)</f>
        <v>B2C</v>
      </c>
    </row>
    <row r="837" spans="1:17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 s="3">
        <f t="shared" si="65"/>
        <v>0</v>
      </c>
      <c r="I837" s="1">
        <v>45512</v>
      </c>
      <c r="J837" t="s">
        <v>56</v>
      </c>
      <c r="L837" s="2">
        <f t="shared" si="66"/>
        <v>2576.3056896551716</v>
      </c>
      <c r="M837" s="4">
        <f t="shared" si="67"/>
        <v>0.51</v>
      </c>
      <c r="N837" s="1">
        <f t="shared" si="68"/>
        <v>45512</v>
      </c>
      <c r="O837" s="3">
        <f>(Table13[[#This Row],[Units_Sold]]*Table13[[#This Row],[Unit_Price_Cleaned]]*(1-Table13[[#This Row],[Discount Cleaned]]))</f>
        <v>0</v>
      </c>
      <c r="P837" t="str">
        <f t="shared" si="69"/>
        <v>Loss</v>
      </c>
      <c r="Q837" t="str" cm="1">
        <f t="array" ref="Q837">IF(K837="",INDEX($K$2:$K$2501,MATCH(MAX(COUNTIF($K$2:$K$2501,$K$2:$K$2501)),COUNTIF($K$2:$K$2501,$K$2:$K$2501),0)),K837)</f>
        <v>B2B</v>
      </c>
    </row>
    <row r="838" spans="1:17" x14ac:dyDescent="0.3">
      <c r="A838">
        <v>1836</v>
      </c>
      <c r="B838" t="s">
        <v>881</v>
      </c>
      <c r="C838" t="s">
        <v>13</v>
      </c>
      <c r="D838" t="s">
        <v>49</v>
      </c>
      <c r="E838">
        <v>2</v>
      </c>
      <c r="F838">
        <v>2105.94</v>
      </c>
      <c r="G838">
        <v>0.16</v>
      </c>
      <c r="H838" s="3">
        <f t="shared" si="65"/>
        <v>4211.88</v>
      </c>
      <c r="J838" t="s">
        <v>18</v>
      </c>
      <c r="K838" t="s">
        <v>23</v>
      </c>
      <c r="L838" s="2">
        <f t="shared" si="66"/>
        <v>2105.94</v>
      </c>
      <c r="M838" s="4">
        <f t="shared" si="67"/>
        <v>0.16</v>
      </c>
      <c r="N838" s="1">
        <f t="shared" si="68"/>
        <v>45782</v>
      </c>
      <c r="O838" s="3">
        <f>(Table13[[#This Row],[Units_Sold]]*Table13[[#This Row],[Unit_Price_Cleaned]]*(1-Table13[[#This Row],[Discount Cleaned]]))</f>
        <v>3537.9791999999998</v>
      </c>
      <c r="P838" t="str">
        <f t="shared" si="69"/>
        <v>Profit</v>
      </c>
      <c r="Q838" t="str" cm="1">
        <f t="array" ref="Q838">IF(K838="",INDEX($K$2:$K$2501,MATCH(MAX(COUNTIF($K$2:$K$2501,$K$2:$K$2501)),COUNTIF($K$2:$K$2501,$K$2:$K$2501),0)),K838)</f>
        <v>B2B</v>
      </c>
    </row>
    <row r="839" spans="1:17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 s="3">
        <f t="shared" si="65"/>
        <v>10800.505217391301</v>
      </c>
      <c r="I839" s="1">
        <v>45762</v>
      </c>
      <c r="J839" t="s">
        <v>22</v>
      </c>
      <c r="K839" t="s">
        <v>23</v>
      </c>
      <c r="L839" s="2">
        <f t="shared" si="66"/>
        <v>2700.1263043478252</v>
      </c>
      <c r="M839" s="4">
        <f t="shared" si="67"/>
        <v>0.6</v>
      </c>
      <c r="N839" s="1">
        <f t="shared" si="68"/>
        <v>45762</v>
      </c>
      <c r="O839" s="3">
        <f>(Table13[[#This Row],[Units_Sold]]*Table13[[#This Row],[Unit_Price_Cleaned]]*(1-Table13[[#This Row],[Discount Cleaned]]))</f>
        <v>4320.2020869565204</v>
      </c>
      <c r="P839" t="str">
        <f t="shared" si="69"/>
        <v>Profit</v>
      </c>
      <c r="Q839" t="str" cm="1">
        <f t="array" ref="Q839">IF(K839="",INDEX($K$2:$K$2501,MATCH(MAX(COUNTIF($K$2:$K$2501,$K$2:$K$2501)),COUNTIF($K$2:$K$2501,$K$2:$K$2501),0)),K839)</f>
        <v>B2B</v>
      </c>
    </row>
    <row r="840" spans="1:17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 s="3">
        <f t="shared" si="65"/>
        <v>-5737.5536363636356</v>
      </c>
      <c r="I840" s="1">
        <v>45613</v>
      </c>
      <c r="J840" t="s">
        <v>46</v>
      </c>
      <c r="L840" s="2">
        <f t="shared" si="66"/>
        <v>2868.7768181818178</v>
      </c>
      <c r="M840" s="4">
        <f t="shared" si="67"/>
        <v>0.6</v>
      </c>
      <c r="N840" s="1">
        <f t="shared" si="68"/>
        <v>45613</v>
      </c>
      <c r="O840" s="3">
        <f>(Table13[[#This Row],[Units_Sold]]*Table13[[#This Row],[Unit_Price_Cleaned]]*(1-Table13[[#This Row],[Discount Cleaned]]))</f>
        <v>-2295.0214545454542</v>
      </c>
      <c r="P840" t="str">
        <f t="shared" si="69"/>
        <v>Loss</v>
      </c>
      <c r="Q840" t="str" cm="1">
        <f t="array" ref="Q840">IF(K840="",INDEX($K$2:$K$2501,MATCH(MAX(COUNTIF($K$2:$K$2501,$K$2:$K$2501)),COUNTIF($K$2:$K$2501,$K$2:$K$2501),0)),K840)</f>
        <v>B2B</v>
      </c>
    </row>
    <row r="841" spans="1:17" x14ac:dyDescent="0.3">
      <c r="A841">
        <v>1839</v>
      </c>
      <c r="B841" t="s">
        <v>884</v>
      </c>
      <c r="C841" t="s">
        <v>33</v>
      </c>
      <c r="D841" t="s">
        <v>72</v>
      </c>
      <c r="E841">
        <v>2</v>
      </c>
      <c r="F841">
        <v>2067.64</v>
      </c>
      <c r="H841" s="3">
        <f t="shared" si="65"/>
        <v>4135.28</v>
      </c>
      <c r="J841" t="s">
        <v>40</v>
      </c>
      <c r="K841" t="s">
        <v>23</v>
      </c>
      <c r="L841" s="2">
        <f t="shared" si="66"/>
        <v>2067.64</v>
      </c>
      <c r="M841" s="4">
        <f t="shared" si="67"/>
        <v>0.6</v>
      </c>
      <c r="N841" s="1">
        <f t="shared" si="68"/>
        <v>45782</v>
      </c>
      <c r="O841" s="3">
        <f>(Table13[[#This Row],[Units_Sold]]*Table13[[#This Row],[Unit_Price_Cleaned]]*(1-Table13[[#This Row],[Discount Cleaned]]))</f>
        <v>1654.1120000000001</v>
      </c>
      <c r="P841" t="str">
        <f t="shared" si="69"/>
        <v>Profit</v>
      </c>
      <c r="Q841" t="str" cm="1">
        <f t="array" ref="Q841">IF(K841="",INDEX($K$2:$K$2501,MATCH(MAX(COUNTIF($K$2:$K$2501,$K$2:$K$2501)),COUNTIF($K$2:$K$2501,$K$2:$K$2501),0)),K841)</f>
        <v>B2B</v>
      </c>
    </row>
    <row r="842" spans="1:17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 s="3">
        <f t="shared" si="65"/>
        <v>0</v>
      </c>
      <c r="I842" s="1">
        <v>45496</v>
      </c>
      <c r="J842" t="s">
        <v>18</v>
      </c>
      <c r="K842" t="s">
        <v>23</v>
      </c>
      <c r="L842" s="2">
        <f t="shared" si="66"/>
        <v>1462.1</v>
      </c>
      <c r="M842" s="4">
        <f t="shared" si="67"/>
        <v>0.3</v>
      </c>
      <c r="N842" s="1">
        <f t="shared" si="68"/>
        <v>45496</v>
      </c>
      <c r="O842" s="3">
        <f>(Table13[[#This Row],[Units_Sold]]*Table13[[#This Row],[Unit_Price_Cleaned]]*(1-Table13[[#This Row],[Discount Cleaned]]))</f>
        <v>0</v>
      </c>
      <c r="P842" t="str">
        <f t="shared" si="69"/>
        <v>Loss</v>
      </c>
      <c r="Q842" t="str" cm="1">
        <f t="array" ref="Q842">IF(K842="",INDEX($K$2:$K$2501,MATCH(MAX(COUNTIF($K$2:$K$2501,$K$2:$K$2501)),COUNTIF($K$2:$K$2501,$K$2:$K$2501),0)),K842)</f>
        <v>B2B</v>
      </c>
    </row>
    <row r="843" spans="1:17" x14ac:dyDescent="0.3">
      <c r="A843">
        <v>1841</v>
      </c>
      <c r="B843" t="s">
        <v>886</v>
      </c>
      <c r="C843" t="s">
        <v>20</v>
      </c>
      <c r="D843" t="s">
        <v>21</v>
      </c>
      <c r="E843">
        <v>2</v>
      </c>
      <c r="H843" s="3">
        <f t="shared" si="65"/>
        <v>5362.348727272727</v>
      </c>
      <c r="I843" s="1">
        <v>45747</v>
      </c>
      <c r="J843" t="s">
        <v>15</v>
      </c>
      <c r="K843" t="s">
        <v>16</v>
      </c>
      <c r="L843" s="2">
        <f t="shared" si="66"/>
        <v>2681.1743636363635</v>
      </c>
      <c r="M843" s="4">
        <f t="shared" si="67"/>
        <v>0.6</v>
      </c>
      <c r="N843" s="1">
        <f t="shared" si="68"/>
        <v>45747</v>
      </c>
      <c r="O843" s="3">
        <f>(Table13[[#This Row],[Units_Sold]]*Table13[[#This Row],[Unit_Price_Cleaned]]*(1-Table13[[#This Row],[Discount Cleaned]]))</f>
        <v>2144.9394909090911</v>
      </c>
      <c r="P843" t="str">
        <f t="shared" si="69"/>
        <v>Profit</v>
      </c>
      <c r="Q843" t="str" cm="1">
        <f t="array" ref="Q843">IF(K843="",INDEX($K$2:$K$2501,MATCH(MAX(COUNTIF($K$2:$K$2501,$K$2:$K$2501)),COUNTIF($K$2:$K$2501,$K$2:$K$2501),0)),K843)</f>
        <v>B2C</v>
      </c>
    </row>
    <row r="844" spans="1:17" x14ac:dyDescent="0.3">
      <c r="A844">
        <v>1842</v>
      </c>
      <c r="B844" t="s">
        <v>887</v>
      </c>
      <c r="C844" t="s">
        <v>20</v>
      </c>
      <c r="D844" t="s">
        <v>122</v>
      </c>
      <c r="E844">
        <v>2</v>
      </c>
      <c r="G844">
        <v>0.11</v>
      </c>
      <c r="H844" s="3">
        <f t="shared" si="65"/>
        <v>5400.2526086956505</v>
      </c>
      <c r="I844" s="1">
        <v>45726</v>
      </c>
      <c r="J844" t="s">
        <v>56</v>
      </c>
      <c r="K844" t="s">
        <v>16</v>
      </c>
      <c r="L844" s="2">
        <f t="shared" si="66"/>
        <v>2700.1263043478252</v>
      </c>
      <c r="M844" s="4">
        <f t="shared" si="67"/>
        <v>0.11</v>
      </c>
      <c r="N844" s="1">
        <f t="shared" si="68"/>
        <v>45726</v>
      </c>
      <c r="O844" s="3">
        <f>(Table13[[#This Row],[Units_Sold]]*Table13[[#This Row],[Unit_Price_Cleaned]]*(1-Table13[[#This Row],[Discount Cleaned]]))</f>
        <v>4806.2248217391289</v>
      </c>
      <c r="P844" t="str">
        <f t="shared" si="69"/>
        <v>Profit</v>
      </c>
      <c r="Q844" t="str" cm="1">
        <f t="array" ref="Q844">IF(K844="",INDEX($K$2:$K$2501,MATCH(MAX(COUNTIF($K$2:$K$2501,$K$2:$K$2501)),COUNTIF($K$2:$K$2501,$K$2:$K$2501),0)),K844)</f>
        <v>B2C</v>
      </c>
    </row>
    <row r="845" spans="1:17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 s="3">
        <f t="shared" si="65"/>
        <v>-6016.7688888888888</v>
      </c>
      <c r="I845" s="1">
        <v>45816</v>
      </c>
      <c r="J845" t="s">
        <v>56</v>
      </c>
      <c r="K845" t="s">
        <v>23</v>
      </c>
      <c r="L845" s="2">
        <f t="shared" si="66"/>
        <v>3008.3844444444444</v>
      </c>
      <c r="M845" s="4">
        <f t="shared" si="67"/>
        <v>0.06</v>
      </c>
      <c r="N845" s="1">
        <f t="shared" si="68"/>
        <v>45816</v>
      </c>
      <c r="O845" s="3">
        <f>(Table13[[#This Row],[Units_Sold]]*Table13[[#This Row],[Unit_Price_Cleaned]]*(1-Table13[[#This Row],[Discount Cleaned]]))</f>
        <v>-5655.7627555555555</v>
      </c>
      <c r="P845" t="str">
        <f t="shared" si="69"/>
        <v>Loss</v>
      </c>
      <c r="Q845" t="str" cm="1">
        <f t="array" ref="Q845">IF(K845="",INDEX($K$2:$K$2501,MATCH(MAX(COUNTIF($K$2:$K$2501,$K$2:$K$2501)),COUNTIF($K$2:$K$2501,$K$2:$K$2501),0)),K845)</f>
        <v>B2B</v>
      </c>
    </row>
    <row r="846" spans="1:17" x14ac:dyDescent="0.3">
      <c r="A846">
        <v>1844</v>
      </c>
      <c r="B846" t="s">
        <v>889</v>
      </c>
      <c r="C846" t="s">
        <v>29</v>
      </c>
      <c r="D846" t="s">
        <v>42</v>
      </c>
      <c r="E846">
        <v>2</v>
      </c>
      <c r="H846" s="3">
        <f t="shared" si="65"/>
        <v>5119.3334615384629</v>
      </c>
      <c r="I846" s="1">
        <v>45842</v>
      </c>
      <c r="J846" t="s">
        <v>15</v>
      </c>
      <c r="K846" t="s">
        <v>16</v>
      </c>
      <c r="L846" s="2">
        <f t="shared" si="66"/>
        <v>2559.6667307692314</v>
      </c>
      <c r="M846" s="4">
        <f t="shared" si="67"/>
        <v>0.6</v>
      </c>
      <c r="N846" s="1">
        <f t="shared" si="68"/>
        <v>45842</v>
      </c>
      <c r="O846" s="3">
        <f>(Table13[[#This Row],[Units_Sold]]*Table13[[#This Row],[Unit_Price_Cleaned]]*(1-Table13[[#This Row],[Discount Cleaned]]))</f>
        <v>2047.7333846153851</v>
      </c>
      <c r="P846" t="str">
        <f t="shared" si="69"/>
        <v>Profit</v>
      </c>
      <c r="Q846" t="str" cm="1">
        <f t="array" ref="Q846">IF(K846="",INDEX($K$2:$K$2501,MATCH(MAX(COUNTIF($K$2:$K$2501,$K$2:$K$2501)),COUNTIF($K$2:$K$2501,$K$2:$K$2501),0)),K846)</f>
        <v>B2C</v>
      </c>
    </row>
    <row r="847" spans="1:17" x14ac:dyDescent="0.3">
      <c r="A847">
        <v>1845</v>
      </c>
      <c r="B847" t="s">
        <v>890</v>
      </c>
      <c r="C847" t="s">
        <v>33</v>
      </c>
      <c r="D847" t="s">
        <v>34</v>
      </c>
      <c r="E847">
        <v>2</v>
      </c>
      <c r="G847">
        <v>0.12</v>
      </c>
      <c r="H847" s="3">
        <f t="shared" si="65"/>
        <v>4974.07923076923</v>
      </c>
      <c r="I847" s="1">
        <v>45690</v>
      </c>
      <c r="J847" t="s">
        <v>46</v>
      </c>
      <c r="K847" t="s">
        <v>16</v>
      </c>
      <c r="L847" s="2">
        <f t="shared" si="66"/>
        <v>2487.039615384615</v>
      </c>
      <c r="M847" s="4">
        <f t="shared" si="67"/>
        <v>0.12</v>
      </c>
      <c r="N847" s="1">
        <f t="shared" si="68"/>
        <v>45690</v>
      </c>
      <c r="O847" s="3">
        <f>(Table13[[#This Row],[Units_Sold]]*Table13[[#This Row],[Unit_Price_Cleaned]]*(1-Table13[[#This Row],[Discount Cleaned]]))</f>
        <v>4377.1897230769227</v>
      </c>
      <c r="P847" t="str">
        <f t="shared" si="69"/>
        <v>Profit</v>
      </c>
      <c r="Q847" t="str" cm="1">
        <f t="array" ref="Q847">IF(K847="",INDEX($K$2:$K$2501,MATCH(MAX(COUNTIF($K$2:$K$2501,$K$2:$K$2501)),COUNTIF($K$2:$K$2501,$K$2:$K$2501),0)),K847)</f>
        <v>B2C</v>
      </c>
    </row>
    <row r="848" spans="1:17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 s="3">
        <f t="shared" si="65"/>
        <v>-694.71</v>
      </c>
      <c r="I848" s="1">
        <v>45683</v>
      </c>
      <c r="J848" t="s">
        <v>18</v>
      </c>
      <c r="K848" t="s">
        <v>23</v>
      </c>
      <c r="L848" s="2">
        <f t="shared" si="66"/>
        <v>694.71</v>
      </c>
      <c r="M848" s="4">
        <f t="shared" si="67"/>
        <v>0.6</v>
      </c>
      <c r="N848" s="1">
        <f t="shared" si="68"/>
        <v>45683</v>
      </c>
      <c r="O848" s="3">
        <f>(Table13[[#This Row],[Units_Sold]]*Table13[[#This Row],[Unit_Price_Cleaned]]*(1-Table13[[#This Row],[Discount Cleaned]]))</f>
        <v>-277.88400000000001</v>
      </c>
      <c r="P848" t="str">
        <f t="shared" si="69"/>
        <v>Loss</v>
      </c>
      <c r="Q848" t="str" cm="1">
        <f t="array" ref="Q848">IF(K848="",INDEX($K$2:$K$2501,MATCH(MAX(COUNTIF($K$2:$K$2501,$K$2:$K$2501)),COUNTIF($K$2:$K$2501,$K$2:$K$2501),0)),K848)</f>
        <v>B2B</v>
      </c>
    </row>
    <row r="849" spans="1:17" x14ac:dyDescent="0.3">
      <c r="A849">
        <v>1847</v>
      </c>
      <c r="B849" t="s">
        <v>892</v>
      </c>
      <c r="C849" t="s">
        <v>38</v>
      </c>
      <c r="D849" t="s">
        <v>91</v>
      </c>
      <c r="E849">
        <v>2</v>
      </c>
      <c r="F849">
        <v>1334.66</v>
      </c>
      <c r="G849">
        <v>1.29</v>
      </c>
      <c r="H849" s="3">
        <f t="shared" si="65"/>
        <v>2669.32</v>
      </c>
      <c r="I849" s="1">
        <v>45793</v>
      </c>
      <c r="J849" t="s">
        <v>40</v>
      </c>
      <c r="L849" s="2">
        <f t="shared" si="66"/>
        <v>1334.66</v>
      </c>
      <c r="M849" s="4">
        <f t="shared" si="67"/>
        <v>1.29</v>
      </c>
      <c r="N849" s="1">
        <f t="shared" si="68"/>
        <v>45793</v>
      </c>
      <c r="O849" s="3">
        <f>(Table13[[#This Row],[Units_Sold]]*Table13[[#This Row],[Unit_Price_Cleaned]]*(1-Table13[[#This Row],[Discount Cleaned]]))</f>
        <v>-774.10280000000012</v>
      </c>
      <c r="P849" t="str">
        <f t="shared" si="69"/>
        <v>Loss</v>
      </c>
      <c r="Q849" t="str" cm="1">
        <f t="array" ref="Q849">IF(K849="",INDEX($K$2:$K$2501,MATCH(MAX(COUNTIF($K$2:$K$2501,$K$2:$K$2501)),COUNTIF($K$2:$K$2501,$K$2:$K$2501),0)),K849)</f>
        <v>B2B</v>
      </c>
    </row>
    <row r="850" spans="1:17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 s="3">
        <f t="shared" si="65"/>
        <v>-2776.2202000000002</v>
      </c>
      <c r="I850" s="1">
        <v>45634</v>
      </c>
      <c r="J850" t="s">
        <v>15</v>
      </c>
      <c r="K850" t="s">
        <v>16</v>
      </c>
      <c r="L850" s="2">
        <f t="shared" si="66"/>
        <v>2776.2202000000002</v>
      </c>
      <c r="M850" s="4">
        <f t="shared" si="67"/>
        <v>0.6</v>
      </c>
      <c r="N850" s="1">
        <f t="shared" si="68"/>
        <v>45634</v>
      </c>
      <c r="O850" s="3">
        <f>(Table13[[#This Row],[Units_Sold]]*Table13[[#This Row],[Unit_Price_Cleaned]]*(1-Table13[[#This Row],[Discount Cleaned]]))</f>
        <v>-1110.4880800000001</v>
      </c>
      <c r="P850" t="str">
        <f t="shared" si="69"/>
        <v>Loss</v>
      </c>
      <c r="Q850" t="str" cm="1">
        <f t="array" ref="Q850">IF(K850="",INDEX($K$2:$K$2501,MATCH(MAX(COUNTIF($K$2:$K$2501,$K$2:$K$2501)),COUNTIF($K$2:$K$2501,$K$2:$K$2501),0)),K850)</f>
        <v>B2C</v>
      </c>
    </row>
    <row r="851" spans="1:17" x14ac:dyDescent="0.3">
      <c r="A851">
        <v>1849</v>
      </c>
      <c r="B851" t="s">
        <v>894</v>
      </c>
      <c r="C851" t="s">
        <v>33</v>
      </c>
      <c r="D851" t="s">
        <v>44</v>
      </c>
      <c r="E851">
        <v>2</v>
      </c>
      <c r="F851">
        <v>927.04</v>
      </c>
      <c r="H851" s="3">
        <f t="shared" si="65"/>
        <v>1854.08</v>
      </c>
      <c r="J851" t="s">
        <v>18</v>
      </c>
      <c r="K851" t="s">
        <v>16</v>
      </c>
      <c r="L851" s="2">
        <f t="shared" si="66"/>
        <v>927.04</v>
      </c>
      <c r="M851" s="4">
        <f t="shared" si="67"/>
        <v>0.6</v>
      </c>
      <c r="N851" s="1">
        <f t="shared" si="68"/>
        <v>45782</v>
      </c>
      <c r="O851" s="3">
        <f>(Table13[[#This Row],[Units_Sold]]*Table13[[#This Row],[Unit_Price_Cleaned]]*(1-Table13[[#This Row],[Discount Cleaned]]))</f>
        <v>741.63200000000006</v>
      </c>
      <c r="P851" t="str">
        <f t="shared" si="69"/>
        <v>Profit</v>
      </c>
      <c r="Q851" t="str" cm="1">
        <f t="array" ref="Q851">IF(K851="",INDEX($K$2:$K$2501,MATCH(MAX(COUNTIF($K$2:$K$2501,$K$2:$K$2501)),COUNTIF($K$2:$K$2501,$K$2:$K$2501),0)),K851)</f>
        <v>B2C</v>
      </c>
    </row>
    <row r="852" spans="1:17" x14ac:dyDescent="0.3">
      <c r="A852">
        <v>1850</v>
      </c>
      <c r="B852" t="s">
        <v>895</v>
      </c>
      <c r="C852" t="s">
        <v>29</v>
      </c>
      <c r="D852" t="s">
        <v>30</v>
      </c>
      <c r="E852">
        <v>2</v>
      </c>
      <c r="F852">
        <v>1307.27</v>
      </c>
      <c r="G852">
        <v>1.27</v>
      </c>
      <c r="H852" s="3">
        <f t="shared" si="65"/>
        <v>2614.54</v>
      </c>
      <c r="I852" s="1">
        <v>45143</v>
      </c>
      <c r="J852" t="s">
        <v>56</v>
      </c>
      <c r="L852" s="2">
        <f t="shared" si="66"/>
        <v>1307.27</v>
      </c>
      <c r="M852" s="4">
        <f t="shared" si="67"/>
        <v>1.27</v>
      </c>
      <c r="N852" s="1">
        <f t="shared" si="68"/>
        <v>45143</v>
      </c>
      <c r="O852" s="3">
        <f>(Table13[[#This Row],[Units_Sold]]*Table13[[#This Row],[Unit_Price_Cleaned]]*(1-Table13[[#This Row],[Discount Cleaned]]))</f>
        <v>-705.92579999999998</v>
      </c>
      <c r="P852" t="str">
        <f t="shared" si="69"/>
        <v>Loss</v>
      </c>
      <c r="Q852" t="str" cm="1">
        <f t="array" ref="Q852">IF(K852="",INDEX($K$2:$K$2501,MATCH(MAX(COUNTIF($K$2:$K$2501,$K$2:$K$2501)),COUNTIF($K$2:$K$2501,$K$2:$K$2501),0)),K852)</f>
        <v>B2B</v>
      </c>
    </row>
    <row r="853" spans="1:17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 s="3">
        <f t="shared" si="65"/>
        <v>7525</v>
      </c>
      <c r="I853" s="1">
        <v>45637</v>
      </c>
      <c r="J853" t="s">
        <v>40</v>
      </c>
      <c r="K853" t="s">
        <v>23</v>
      </c>
      <c r="L853" s="2">
        <f t="shared" si="66"/>
        <v>1505</v>
      </c>
      <c r="M853" s="4">
        <f t="shared" si="67"/>
        <v>0.6</v>
      </c>
      <c r="N853" s="1">
        <f t="shared" si="68"/>
        <v>45637</v>
      </c>
      <c r="O853" s="3">
        <f>(Table13[[#This Row],[Units_Sold]]*Table13[[#This Row],[Unit_Price_Cleaned]]*(1-Table13[[#This Row],[Discount Cleaned]]))</f>
        <v>3010</v>
      </c>
      <c r="P853" t="str">
        <f t="shared" si="69"/>
        <v>Profit</v>
      </c>
      <c r="Q853" t="str" cm="1">
        <f t="array" ref="Q853">IF(K853="",INDEX($K$2:$K$2501,MATCH(MAX(COUNTIF($K$2:$K$2501,$K$2:$K$2501)),COUNTIF($K$2:$K$2501,$K$2:$K$2501),0)),K853)</f>
        <v>B2B</v>
      </c>
    </row>
    <row r="854" spans="1:17" x14ac:dyDescent="0.3">
      <c r="A854">
        <v>1852</v>
      </c>
      <c r="B854" t="s">
        <v>897</v>
      </c>
      <c r="C854" t="s">
        <v>33</v>
      </c>
      <c r="D854" t="s">
        <v>82</v>
      </c>
      <c r="E854">
        <v>2</v>
      </c>
      <c r="F854">
        <v>1985.55</v>
      </c>
      <c r="G854">
        <v>0.13</v>
      </c>
      <c r="H854" s="3">
        <f t="shared" si="65"/>
        <v>3971.1</v>
      </c>
      <c r="I854" s="1">
        <v>45408</v>
      </c>
      <c r="J854" t="s">
        <v>18</v>
      </c>
      <c r="K854" t="s">
        <v>16</v>
      </c>
      <c r="L854" s="2">
        <f t="shared" si="66"/>
        <v>1985.55</v>
      </c>
      <c r="M854" s="4">
        <f t="shared" si="67"/>
        <v>0.13</v>
      </c>
      <c r="N854" s="1">
        <f t="shared" si="68"/>
        <v>45408</v>
      </c>
      <c r="O854" s="3">
        <f>(Table13[[#This Row],[Units_Sold]]*Table13[[#This Row],[Unit_Price_Cleaned]]*(1-Table13[[#This Row],[Discount Cleaned]]))</f>
        <v>3454.857</v>
      </c>
      <c r="P854" t="str">
        <f t="shared" si="69"/>
        <v>Profit</v>
      </c>
      <c r="Q854" t="str" cm="1">
        <f t="array" ref="Q854">IF(K854="",INDEX($K$2:$K$2501,MATCH(MAX(COUNTIF($K$2:$K$2501,$K$2:$K$2501)),COUNTIF($K$2:$K$2501,$K$2:$K$2501),0)),K854)</f>
        <v>B2C</v>
      </c>
    </row>
    <row r="855" spans="1:17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 s="3">
        <f t="shared" si="65"/>
        <v>8587.44</v>
      </c>
      <c r="I855" s="1">
        <v>45184</v>
      </c>
      <c r="J855" t="s">
        <v>18</v>
      </c>
      <c r="K855" t="s">
        <v>23</v>
      </c>
      <c r="L855" s="2">
        <f t="shared" si="66"/>
        <v>2862.48</v>
      </c>
      <c r="M855" s="4">
        <f t="shared" si="67"/>
        <v>0.6</v>
      </c>
      <c r="N855" s="1">
        <f t="shared" si="68"/>
        <v>45184</v>
      </c>
      <c r="O855" s="3">
        <f>(Table13[[#This Row],[Units_Sold]]*Table13[[#This Row],[Unit_Price_Cleaned]]*(1-Table13[[#This Row],[Discount Cleaned]]))</f>
        <v>3434.9760000000006</v>
      </c>
      <c r="P855" t="str">
        <f t="shared" si="69"/>
        <v>Profit</v>
      </c>
      <c r="Q855" t="str" cm="1">
        <f t="array" ref="Q855">IF(K855="",INDEX($K$2:$K$2501,MATCH(MAX(COUNTIF($K$2:$K$2501,$K$2:$K$2501)),COUNTIF($K$2:$K$2501,$K$2:$K$2501),0)),K855)</f>
        <v>B2B</v>
      </c>
    </row>
    <row r="856" spans="1:17" x14ac:dyDescent="0.3">
      <c r="A856">
        <v>1854</v>
      </c>
      <c r="B856" t="s">
        <v>899</v>
      </c>
      <c r="C856" t="s">
        <v>13</v>
      </c>
      <c r="D856" t="s">
        <v>36</v>
      </c>
      <c r="E856">
        <v>2</v>
      </c>
      <c r="F856">
        <v>3822.93</v>
      </c>
      <c r="G856">
        <v>1.07</v>
      </c>
      <c r="H856" s="3">
        <f t="shared" si="65"/>
        <v>7645.86</v>
      </c>
      <c r="J856" t="s">
        <v>56</v>
      </c>
      <c r="K856" t="s">
        <v>23</v>
      </c>
      <c r="L856" s="2">
        <f t="shared" si="66"/>
        <v>3822.93</v>
      </c>
      <c r="M856" s="4">
        <f t="shared" si="67"/>
        <v>1.07</v>
      </c>
      <c r="N856" s="1">
        <f t="shared" si="68"/>
        <v>45782</v>
      </c>
      <c r="O856" s="3">
        <f>(Table13[[#This Row],[Units_Sold]]*Table13[[#This Row],[Unit_Price_Cleaned]]*(1-Table13[[#This Row],[Discount Cleaned]]))</f>
        <v>-535.21020000000044</v>
      </c>
      <c r="P856" t="str">
        <f t="shared" si="69"/>
        <v>Loss</v>
      </c>
      <c r="Q856" t="str" cm="1">
        <f t="array" ref="Q856">IF(K856="",INDEX($K$2:$K$2501,MATCH(MAX(COUNTIF($K$2:$K$2501,$K$2:$K$2501)),COUNTIF($K$2:$K$2501,$K$2:$K$2501),0)),K856)</f>
        <v>B2B</v>
      </c>
    </row>
    <row r="857" spans="1:17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 s="3">
        <f t="shared" si="65"/>
        <v>19354.25</v>
      </c>
      <c r="I857" s="1">
        <v>45691</v>
      </c>
      <c r="J857" t="s">
        <v>40</v>
      </c>
      <c r="K857" t="s">
        <v>16</v>
      </c>
      <c r="L857" s="2">
        <f t="shared" si="66"/>
        <v>3870.85</v>
      </c>
      <c r="M857" s="4">
        <f t="shared" si="67"/>
        <v>0.6</v>
      </c>
      <c r="N857" s="1">
        <f t="shared" si="68"/>
        <v>45691</v>
      </c>
      <c r="O857" s="3">
        <f>(Table13[[#This Row],[Units_Sold]]*Table13[[#This Row],[Unit_Price_Cleaned]]*(1-Table13[[#This Row],[Discount Cleaned]]))</f>
        <v>7741.7000000000007</v>
      </c>
      <c r="P857" t="str">
        <f t="shared" si="69"/>
        <v>Profit</v>
      </c>
      <c r="Q857" t="str" cm="1">
        <f t="array" ref="Q857">IF(K857="",INDEX($K$2:$K$2501,MATCH(MAX(COUNTIF($K$2:$K$2501,$K$2:$K$2501)),COUNTIF($K$2:$K$2501,$K$2:$K$2501),0)),K857)</f>
        <v>B2C</v>
      </c>
    </row>
    <row r="858" spans="1:17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 s="3">
        <f t="shared" si="65"/>
        <v>2737.23</v>
      </c>
      <c r="I858" s="1">
        <v>45785</v>
      </c>
      <c r="J858" t="s">
        <v>22</v>
      </c>
      <c r="K858" t="s">
        <v>23</v>
      </c>
      <c r="L858" s="2">
        <f t="shared" si="66"/>
        <v>2737.23</v>
      </c>
      <c r="M858" s="4">
        <f t="shared" si="67"/>
        <v>0.6</v>
      </c>
      <c r="N858" s="1">
        <f t="shared" si="68"/>
        <v>45785</v>
      </c>
      <c r="O858" s="3">
        <f>(Table13[[#This Row],[Units_Sold]]*Table13[[#This Row],[Unit_Price_Cleaned]]*(1-Table13[[#This Row],[Discount Cleaned]]))</f>
        <v>1094.8920000000001</v>
      </c>
      <c r="P858" t="str">
        <f t="shared" si="69"/>
        <v>Profit</v>
      </c>
      <c r="Q858" t="str" cm="1">
        <f t="array" ref="Q858">IF(K858="",INDEX($K$2:$K$2501,MATCH(MAX(COUNTIF($K$2:$K$2501,$K$2:$K$2501)),COUNTIF($K$2:$K$2501,$K$2:$K$2501),0)),K858)</f>
        <v>B2B</v>
      </c>
    </row>
    <row r="859" spans="1:17" x14ac:dyDescent="0.3">
      <c r="A859">
        <v>1857</v>
      </c>
      <c r="B859" t="s">
        <v>902</v>
      </c>
      <c r="C859" t="s">
        <v>29</v>
      </c>
      <c r="D859" t="s">
        <v>120</v>
      </c>
      <c r="E859">
        <v>2</v>
      </c>
      <c r="H859" s="3">
        <f t="shared" si="65"/>
        <v>5660.2651428571462</v>
      </c>
      <c r="I859" s="1">
        <v>45616</v>
      </c>
      <c r="J859" t="s">
        <v>22</v>
      </c>
      <c r="L859" s="2">
        <f t="shared" si="66"/>
        <v>2830.1325714285731</v>
      </c>
      <c r="M859" s="4">
        <f t="shared" si="67"/>
        <v>0.6</v>
      </c>
      <c r="N859" s="1">
        <f t="shared" si="68"/>
        <v>45616</v>
      </c>
      <c r="O859" s="3">
        <f>(Table13[[#This Row],[Units_Sold]]*Table13[[#This Row],[Unit_Price_Cleaned]]*(1-Table13[[#This Row],[Discount Cleaned]]))</f>
        <v>2264.1060571428584</v>
      </c>
      <c r="P859" t="str">
        <f t="shared" si="69"/>
        <v>Profit</v>
      </c>
      <c r="Q859" t="str" cm="1">
        <f t="array" ref="Q859">IF(K859="",INDEX($K$2:$K$2501,MATCH(MAX(COUNTIF($K$2:$K$2501,$K$2:$K$2501)),COUNTIF($K$2:$K$2501,$K$2:$K$2501),0)),K859)</f>
        <v>B2B</v>
      </c>
    </row>
    <row r="860" spans="1:17" x14ac:dyDescent="0.3">
      <c r="A860">
        <v>1858</v>
      </c>
      <c r="B860" t="s">
        <v>903</v>
      </c>
      <c r="C860" t="s">
        <v>13</v>
      </c>
      <c r="D860" t="s">
        <v>102</v>
      </c>
      <c r="E860">
        <v>2</v>
      </c>
      <c r="F860">
        <v>3647.61</v>
      </c>
      <c r="H860" s="3">
        <f t="shared" si="65"/>
        <v>7295.22</v>
      </c>
      <c r="I860" s="1">
        <v>45723</v>
      </c>
      <c r="J860" t="s">
        <v>22</v>
      </c>
      <c r="K860" t="s">
        <v>23</v>
      </c>
      <c r="L860" s="2">
        <f t="shared" si="66"/>
        <v>3647.61</v>
      </c>
      <c r="M860" s="4">
        <f t="shared" si="67"/>
        <v>0.6</v>
      </c>
      <c r="N860" s="1">
        <f t="shared" si="68"/>
        <v>45723</v>
      </c>
      <c r="O860" s="3">
        <f>(Table13[[#This Row],[Units_Sold]]*Table13[[#This Row],[Unit_Price_Cleaned]]*(1-Table13[[#This Row],[Discount Cleaned]]))</f>
        <v>2918.0880000000002</v>
      </c>
      <c r="P860" t="str">
        <f t="shared" si="69"/>
        <v>Profit</v>
      </c>
      <c r="Q860" t="str" cm="1">
        <f t="array" ref="Q860">IF(K860="",INDEX($K$2:$K$2501,MATCH(MAX(COUNTIF($K$2:$K$2501,$K$2:$K$2501)),COUNTIF($K$2:$K$2501,$K$2:$K$2501),0)),K860)</f>
        <v>B2B</v>
      </c>
    </row>
    <row r="861" spans="1:17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 s="3">
        <f t="shared" si="65"/>
        <v>5771.44</v>
      </c>
      <c r="I861" s="1">
        <v>45757</v>
      </c>
      <c r="J861" t="s">
        <v>56</v>
      </c>
      <c r="K861" t="s">
        <v>23</v>
      </c>
      <c r="L861" s="2">
        <f t="shared" si="66"/>
        <v>1442.86</v>
      </c>
      <c r="M861" s="4">
        <f t="shared" si="67"/>
        <v>0.85</v>
      </c>
      <c r="N861" s="1">
        <f t="shared" si="68"/>
        <v>45757</v>
      </c>
      <c r="O861" s="3">
        <f>(Table13[[#This Row],[Units_Sold]]*Table13[[#This Row],[Unit_Price_Cleaned]]*(1-Table13[[#This Row],[Discount Cleaned]]))</f>
        <v>865.71600000000012</v>
      </c>
      <c r="P861" t="str">
        <f t="shared" si="69"/>
        <v>Profit</v>
      </c>
      <c r="Q861" t="str" cm="1">
        <f t="array" ref="Q861">IF(K861="",INDEX($K$2:$K$2501,MATCH(MAX(COUNTIF($K$2:$K$2501,$K$2:$K$2501)),COUNTIF($K$2:$K$2501,$K$2:$K$2501),0)),K861)</f>
        <v>B2B</v>
      </c>
    </row>
    <row r="862" spans="1:17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 s="3">
        <f t="shared" si="65"/>
        <v>8412.7955769230757</v>
      </c>
      <c r="J862" t="s">
        <v>40</v>
      </c>
      <c r="K862" t="s">
        <v>23</v>
      </c>
      <c r="L862" s="2">
        <f t="shared" si="66"/>
        <v>2804.2651923076919</v>
      </c>
      <c r="M862" s="4">
        <f t="shared" si="67"/>
        <v>1.1499999999999999</v>
      </c>
      <c r="N862" s="1">
        <f t="shared" si="68"/>
        <v>45782</v>
      </c>
      <c r="O862" s="3">
        <f>(Table13[[#This Row],[Units_Sold]]*Table13[[#This Row],[Unit_Price_Cleaned]]*(1-Table13[[#This Row],[Discount Cleaned]]))</f>
        <v>-1261.9193365384606</v>
      </c>
      <c r="P862" t="str">
        <f t="shared" si="69"/>
        <v>Loss</v>
      </c>
      <c r="Q862" t="str" cm="1">
        <f t="array" ref="Q862">IF(K862="",INDEX($K$2:$K$2501,MATCH(MAX(COUNTIF($K$2:$K$2501,$K$2:$K$2501)),COUNTIF($K$2:$K$2501,$K$2:$K$2501),0)),K862)</f>
        <v>B2B</v>
      </c>
    </row>
    <row r="863" spans="1:17" x14ac:dyDescent="0.3">
      <c r="A863">
        <v>1861</v>
      </c>
      <c r="B863" t="s">
        <v>906</v>
      </c>
      <c r="C863" t="s">
        <v>20</v>
      </c>
      <c r="D863" t="s">
        <v>80</v>
      </c>
      <c r="E863">
        <v>2</v>
      </c>
      <c r="H863" s="3">
        <f t="shared" si="65"/>
        <v>4967.1688000000004</v>
      </c>
      <c r="I863" s="1">
        <v>45681</v>
      </c>
      <c r="J863" t="s">
        <v>18</v>
      </c>
      <c r="K863" t="s">
        <v>23</v>
      </c>
      <c r="L863" s="2">
        <f t="shared" si="66"/>
        <v>2483.5844000000002</v>
      </c>
      <c r="M863" s="4">
        <f t="shared" si="67"/>
        <v>0.6</v>
      </c>
      <c r="N863" s="1">
        <f t="shared" si="68"/>
        <v>45681</v>
      </c>
      <c r="O863" s="3">
        <f>(Table13[[#This Row],[Units_Sold]]*Table13[[#This Row],[Unit_Price_Cleaned]]*(1-Table13[[#This Row],[Discount Cleaned]]))</f>
        <v>1986.8675200000002</v>
      </c>
      <c r="P863" t="str">
        <f t="shared" si="69"/>
        <v>Profit</v>
      </c>
      <c r="Q863" t="str" cm="1">
        <f t="array" ref="Q863">IF(K863="",INDEX($K$2:$K$2501,MATCH(MAX(COUNTIF($K$2:$K$2501,$K$2:$K$2501)),COUNTIF($K$2:$K$2501,$K$2:$K$2501),0)),K863)</f>
        <v>B2B</v>
      </c>
    </row>
    <row r="864" spans="1:17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 s="3">
        <f t="shared" si="65"/>
        <v>23698.3</v>
      </c>
      <c r="J864" t="s">
        <v>15</v>
      </c>
      <c r="K864" t="s">
        <v>16</v>
      </c>
      <c r="L864" s="2">
        <f t="shared" si="66"/>
        <v>4739.66</v>
      </c>
      <c r="M864" s="4">
        <f t="shared" si="67"/>
        <v>0.6</v>
      </c>
      <c r="N864" s="1">
        <f t="shared" si="68"/>
        <v>45782</v>
      </c>
      <c r="O864" s="3">
        <f>(Table13[[#This Row],[Units_Sold]]*Table13[[#This Row],[Unit_Price_Cleaned]]*(1-Table13[[#This Row],[Discount Cleaned]]))</f>
        <v>9479.32</v>
      </c>
      <c r="P864" t="str">
        <f t="shared" si="69"/>
        <v>Profit</v>
      </c>
      <c r="Q864" t="str" cm="1">
        <f t="array" ref="Q864">IF(K864="",INDEX($K$2:$K$2501,MATCH(MAX(COUNTIF($K$2:$K$2501,$K$2:$K$2501)),COUNTIF($K$2:$K$2501,$K$2:$K$2501),0)),K864)</f>
        <v>B2C</v>
      </c>
    </row>
    <row r="865" spans="1:17" x14ac:dyDescent="0.3">
      <c r="A865">
        <v>1863</v>
      </c>
      <c r="B865" t="s">
        <v>908</v>
      </c>
      <c r="C865" t="s">
        <v>25</v>
      </c>
      <c r="D865" t="s">
        <v>54</v>
      </c>
      <c r="E865">
        <v>2</v>
      </c>
      <c r="F865">
        <v>3521.17</v>
      </c>
      <c r="G865">
        <v>0.79</v>
      </c>
      <c r="H865" s="3">
        <f t="shared" si="65"/>
        <v>7042.34</v>
      </c>
      <c r="I865" s="1">
        <v>45419</v>
      </c>
      <c r="J865" t="s">
        <v>18</v>
      </c>
      <c r="K865" t="s">
        <v>23</v>
      </c>
      <c r="L865" s="2">
        <f t="shared" si="66"/>
        <v>3521.17</v>
      </c>
      <c r="M865" s="4">
        <f t="shared" si="67"/>
        <v>0.79</v>
      </c>
      <c r="N865" s="1">
        <f t="shared" si="68"/>
        <v>45419</v>
      </c>
      <c r="O865" s="3">
        <f>(Table13[[#This Row],[Units_Sold]]*Table13[[#This Row],[Unit_Price_Cleaned]]*(1-Table13[[#This Row],[Discount Cleaned]]))</f>
        <v>1478.8913999999997</v>
      </c>
      <c r="P865" t="str">
        <f t="shared" si="69"/>
        <v>Profit</v>
      </c>
      <c r="Q865" t="str" cm="1">
        <f t="array" ref="Q865">IF(K865="",INDEX($K$2:$K$2501,MATCH(MAX(COUNTIF($K$2:$K$2501,$K$2:$K$2501)),COUNTIF($K$2:$K$2501,$K$2:$K$2501),0)),K865)</f>
        <v>B2B</v>
      </c>
    </row>
    <row r="866" spans="1:17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 s="3">
        <f t="shared" si="65"/>
        <v>6280.24</v>
      </c>
      <c r="I866" s="1">
        <v>45342</v>
      </c>
      <c r="J866" t="s">
        <v>15</v>
      </c>
      <c r="L866" s="2">
        <f t="shared" si="66"/>
        <v>1570.06</v>
      </c>
      <c r="M866" s="4">
        <f t="shared" si="67"/>
        <v>0.6</v>
      </c>
      <c r="N866" s="1">
        <f t="shared" si="68"/>
        <v>45342</v>
      </c>
      <c r="O866" s="3">
        <f>(Table13[[#This Row],[Units_Sold]]*Table13[[#This Row],[Unit_Price_Cleaned]]*(1-Table13[[#This Row],[Discount Cleaned]]))</f>
        <v>2512.096</v>
      </c>
      <c r="P866" t="str">
        <f t="shared" si="69"/>
        <v>Profit</v>
      </c>
      <c r="Q866" t="str" cm="1">
        <f t="array" ref="Q866">IF(K866="",INDEX($K$2:$K$2501,MATCH(MAX(COUNTIF($K$2:$K$2501,$K$2:$K$2501)),COUNTIF($K$2:$K$2501,$K$2:$K$2501),0)),K866)</f>
        <v>B2B</v>
      </c>
    </row>
    <row r="867" spans="1:17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 s="3">
        <f t="shared" si="65"/>
        <v>4993.62</v>
      </c>
      <c r="I867" s="1">
        <v>45401</v>
      </c>
      <c r="J867" t="s">
        <v>56</v>
      </c>
      <c r="L867" s="2">
        <f t="shared" si="66"/>
        <v>2496.81</v>
      </c>
      <c r="M867" s="4">
        <f t="shared" si="67"/>
        <v>0.6</v>
      </c>
      <c r="N867" s="1">
        <f t="shared" si="68"/>
        <v>45401</v>
      </c>
      <c r="O867" s="3">
        <f>(Table13[[#This Row],[Units_Sold]]*Table13[[#This Row],[Unit_Price_Cleaned]]*(1-Table13[[#This Row],[Discount Cleaned]]))</f>
        <v>1997.4480000000001</v>
      </c>
      <c r="P867" t="str">
        <f t="shared" si="69"/>
        <v>Profit</v>
      </c>
      <c r="Q867" t="str" cm="1">
        <f t="array" ref="Q867">IF(K867="",INDEX($K$2:$K$2501,MATCH(MAX(COUNTIF($K$2:$K$2501,$K$2:$K$2501)),COUNTIF($K$2:$K$2501,$K$2:$K$2501),0)),K867)</f>
        <v>B2B</v>
      </c>
    </row>
    <row r="868" spans="1:17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 s="3">
        <f t="shared" si="65"/>
        <v>17884.68</v>
      </c>
      <c r="I868" s="1">
        <v>45770</v>
      </c>
      <c r="J868" t="s">
        <v>46</v>
      </c>
      <c r="K868" t="s">
        <v>16</v>
      </c>
      <c r="L868" s="2">
        <f t="shared" si="66"/>
        <v>4471.17</v>
      </c>
      <c r="M868" s="4">
        <f t="shared" si="67"/>
        <v>0.6</v>
      </c>
      <c r="N868" s="1">
        <f t="shared" si="68"/>
        <v>45770</v>
      </c>
      <c r="O868" s="3">
        <f>(Table13[[#This Row],[Units_Sold]]*Table13[[#This Row],[Unit_Price_Cleaned]]*(1-Table13[[#This Row],[Discount Cleaned]]))</f>
        <v>7153.8720000000003</v>
      </c>
      <c r="P868" t="str">
        <f t="shared" si="69"/>
        <v>Profit</v>
      </c>
      <c r="Q868" t="str" cm="1">
        <f t="array" ref="Q868">IF(K868="",INDEX($K$2:$K$2501,MATCH(MAX(COUNTIF($K$2:$K$2501,$K$2:$K$2501)),COUNTIF($K$2:$K$2501,$K$2:$K$2501),0)),K868)</f>
        <v>B2C</v>
      </c>
    </row>
    <row r="869" spans="1:17" x14ac:dyDescent="0.3">
      <c r="A869">
        <v>1867</v>
      </c>
      <c r="B869" t="s">
        <v>912</v>
      </c>
      <c r="C869" t="s">
        <v>38</v>
      </c>
      <c r="D869" t="s">
        <v>91</v>
      </c>
      <c r="E869">
        <v>2</v>
      </c>
      <c r="F869">
        <v>1892.54</v>
      </c>
      <c r="G869">
        <v>0.09</v>
      </c>
      <c r="H869" s="3">
        <f t="shared" si="65"/>
        <v>3785.08</v>
      </c>
      <c r="I869" s="1">
        <v>45702</v>
      </c>
      <c r="J869" t="s">
        <v>18</v>
      </c>
      <c r="K869" t="s">
        <v>16</v>
      </c>
      <c r="L869" s="2">
        <f t="shared" si="66"/>
        <v>1892.54</v>
      </c>
      <c r="M869" s="4">
        <f t="shared" si="67"/>
        <v>0.09</v>
      </c>
      <c r="N869" s="1">
        <f t="shared" si="68"/>
        <v>45702</v>
      </c>
      <c r="O869" s="3">
        <f>(Table13[[#This Row],[Units_Sold]]*Table13[[#This Row],[Unit_Price_Cleaned]]*(1-Table13[[#This Row],[Discount Cleaned]]))</f>
        <v>3444.4227999999998</v>
      </c>
      <c r="P869" t="str">
        <f t="shared" si="69"/>
        <v>Profit</v>
      </c>
      <c r="Q869" t="str" cm="1">
        <f t="array" ref="Q869">IF(K869="",INDEX($K$2:$K$2501,MATCH(MAX(COUNTIF($K$2:$K$2501,$K$2:$K$2501)),COUNTIF($K$2:$K$2501,$K$2:$K$2501),0)),K869)</f>
        <v>B2C</v>
      </c>
    </row>
    <row r="870" spans="1:17" x14ac:dyDescent="0.3">
      <c r="A870">
        <v>1868</v>
      </c>
      <c r="B870" t="s">
        <v>913</v>
      </c>
      <c r="C870" t="s">
        <v>25</v>
      </c>
      <c r="D870" t="s">
        <v>86</v>
      </c>
      <c r="E870">
        <v>2</v>
      </c>
      <c r="H870" s="3">
        <f t="shared" si="65"/>
        <v>5003.0619999999999</v>
      </c>
      <c r="I870" s="1">
        <v>45517</v>
      </c>
      <c r="J870" t="s">
        <v>15</v>
      </c>
      <c r="K870" t="s">
        <v>23</v>
      </c>
      <c r="L870" s="2">
        <f t="shared" si="66"/>
        <v>2501.5309999999999</v>
      </c>
      <c r="M870" s="4">
        <f t="shared" si="67"/>
        <v>0.6</v>
      </c>
      <c r="N870" s="1">
        <f t="shared" si="68"/>
        <v>45517</v>
      </c>
      <c r="O870" s="3">
        <f>(Table13[[#This Row],[Units_Sold]]*Table13[[#This Row],[Unit_Price_Cleaned]]*(1-Table13[[#This Row],[Discount Cleaned]]))</f>
        <v>2001.2248</v>
      </c>
      <c r="P870" t="str">
        <f t="shared" si="69"/>
        <v>Profit</v>
      </c>
      <c r="Q870" t="str" cm="1">
        <f t="array" ref="Q870">IF(K870="",INDEX($K$2:$K$2501,MATCH(MAX(COUNTIF($K$2:$K$2501,$K$2:$K$2501)),COUNTIF($K$2:$K$2501,$K$2:$K$2501),0)),K870)</f>
        <v>B2B</v>
      </c>
    </row>
    <row r="871" spans="1:17" x14ac:dyDescent="0.3">
      <c r="A871">
        <v>1869</v>
      </c>
      <c r="B871" t="s">
        <v>914</v>
      </c>
      <c r="C871" t="s">
        <v>20</v>
      </c>
      <c r="D871" t="s">
        <v>88</v>
      </c>
      <c r="E871">
        <v>2</v>
      </c>
      <c r="H871" s="3">
        <f t="shared" si="65"/>
        <v>5451.7114285714297</v>
      </c>
      <c r="J871" t="s">
        <v>18</v>
      </c>
      <c r="K871" t="s">
        <v>16</v>
      </c>
      <c r="L871" s="2">
        <f t="shared" si="66"/>
        <v>2725.8557142857148</v>
      </c>
      <c r="M871" s="4">
        <f t="shared" si="67"/>
        <v>0.6</v>
      </c>
      <c r="N871" s="1">
        <f t="shared" si="68"/>
        <v>45782</v>
      </c>
      <c r="O871" s="3">
        <f>(Table13[[#This Row],[Units_Sold]]*Table13[[#This Row],[Unit_Price_Cleaned]]*(1-Table13[[#This Row],[Discount Cleaned]]))</f>
        <v>2180.6845714285719</v>
      </c>
      <c r="P871" t="str">
        <f t="shared" si="69"/>
        <v>Profit</v>
      </c>
      <c r="Q871" t="str" cm="1">
        <f t="array" ref="Q871">IF(K871="",INDEX($K$2:$K$2501,MATCH(MAX(COUNTIF($K$2:$K$2501,$K$2:$K$2501)),COUNTIF($K$2:$K$2501,$K$2:$K$2501),0)),K871)</f>
        <v>B2C</v>
      </c>
    </row>
    <row r="872" spans="1:17" x14ac:dyDescent="0.3">
      <c r="A872">
        <v>1870</v>
      </c>
      <c r="B872" t="s">
        <v>915</v>
      </c>
      <c r="C872" t="s">
        <v>25</v>
      </c>
      <c r="D872" t="s">
        <v>54</v>
      </c>
      <c r="E872">
        <v>2</v>
      </c>
      <c r="F872">
        <v>1870.68</v>
      </c>
      <c r="H872" s="3">
        <f t="shared" si="65"/>
        <v>3741.36</v>
      </c>
      <c r="J872" t="s">
        <v>46</v>
      </c>
      <c r="L872" s="2">
        <f t="shared" si="66"/>
        <v>1870.68</v>
      </c>
      <c r="M872" s="4">
        <f t="shared" si="67"/>
        <v>0.6</v>
      </c>
      <c r="N872" s="1">
        <f t="shared" si="68"/>
        <v>45782</v>
      </c>
      <c r="O872" s="3">
        <f>(Table13[[#This Row],[Units_Sold]]*Table13[[#This Row],[Unit_Price_Cleaned]]*(1-Table13[[#This Row],[Discount Cleaned]]))</f>
        <v>1496.5440000000001</v>
      </c>
      <c r="P872" t="str">
        <f t="shared" si="69"/>
        <v>Profit</v>
      </c>
      <c r="Q872" t="str" cm="1">
        <f t="array" ref="Q872">IF(K872="",INDEX($K$2:$K$2501,MATCH(MAX(COUNTIF($K$2:$K$2501,$K$2:$K$2501)),COUNTIF($K$2:$K$2501,$K$2:$K$2501),0)),K872)</f>
        <v>B2B</v>
      </c>
    </row>
    <row r="873" spans="1:17" x14ac:dyDescent="0.3">
      <c r="A873">
        <v>1871</v>
      </c>
      <c r="B873" t="s">
        <v>916</v>
      </c>
      <c r="C873" t="s">
        <v>38</v>
      </c>
      <c r="D873" t="s">
        <v>63</v>
      </c>
      <c r="E873">
        <v>2</v>
      </c>
      <c r="H873" s="3">
        <f t="shared" si="65"/>
        <v>5690.4839344262318</v>
      </c>
      <c r="I873" s="1">
        <v>45588</v>
      </c>
      <c r="J873" t="s">
        <v>40</v>
      </c>
      <c r="K873" t="s">
        <v>16</v>
      </c>
      <c r="L873" s="2">
        <f t="shared" si="66"/>
        <v>2845.2419672131159</v>
      </c>
      <c r="M873" s="4">
        <f t="shared" si="67"/>
        <v>0.6</v>
      </c>
      <c r="N873" s="1">
        <f t="shared" si="68"/>
        <v>45588</v>
      </c>
      <c r="O873" s="3">
        <f>(Table13[[#This Row],[Units_Sold]]*Table13[[#This Row],[Unit_Price_Cleaned]]*(1-Table13[[#This Row],[Discount Cleaned]]))</f>
        <v>2276.193573770493</v>
      </c>
      <c r="P873" t="str">
        <f t="shared" si="69"/>
        <v>Profit</v>
      </c>
      <c r="Q873" t="str" cm="1">
        <f t="array" ref="Q873">IF(K873="",INDEX($K$2:$K$2501,MATCH(MAX(COUNTIF($K$2:$K$2501,$K$2:$K$2501)),COUNTIF($K$2:$K$2501,$K$2:$K$2501),0)),K873)</f>
        <v>B2C</v>
      </c>
    </row>
    <row r="874" spans="1:17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 s="3">
        <f t="shared" si="65"/>
        <v>3381.64</v>
      </c>
      <c r="J874" t="s">
        <v>15</v>
      </c>
      <c r="L874" s="2">
        <f t="shared" si="66"/>
        <v>3381.64</v>
      </c>
      <c r="M874" s="4">
        <f t="shared" si="67"/>
        <v>0.48</v>
      </c>
      <c r="N874" s="1">
        <f t="shared" si="68"/>
        <v>45782</v>
      </c>
      <c r="O874" s="3">
        <f>(Table13[[#This Row],[Units_Sold]]*Table13[[#This Row],[Unit_Price_Cleaned]]*(1-Table13[[#This Row],[Discount Cleaned]]))</f>
        <v>1758.4528</v>
      </c>
      <c r="P874" t="str">
        <f t="shared" si="69"/>
        <v>Profit</v>
      </c>
      <c r="Q874" t="str" cm="1">
        <f t="array" ref="Q874">IF(K874="",INDEX($K$2:$K$2501,MATCH(MAX(COUNTIF($K$2:$K$2501,$K$2:$K$2501)),COUNTIF($K$2:$K$2501,$K$2:$K$2501),0)),K874)</f>
        <v>B2B</v>
      </c>
    </row>
    <row r="875" spans="1:17" x14ac:dyDescent="0.3">
      <c r="A875">
        <v>1873</v>
      </c>
      <c r="B875" t="s">
        <v>918</v>
      </c>
      <c r="C875" t="s">
        <v>20</v>
      </c>
      <c r="D875" t="s">
        <v>80</v>
      </c>
      <c r="E875">
        <v>2</v>
      </c>
      <c r="H875" s="3">
        <f t="shared" si="65"/>
        <v>4967.1688000000004</v>
      </c>
      <c r="I875" s="1">
        <v>45466</v>
      </c>
      <c r="J875" t="s">
        <v>15</v>
      </c>
      <c r="L875" s="2">
        <f t="shared" si="66"/>
        <v>2483.5844000000002</v>
      </c>
      <c r="M875" s="4">
        <f t="shared" si="67"/>
        <v>0.6</v>
      </c>
      <c r="N875" s="1">
        <f t="shared" si="68"/>
        <v>45466</v>
      </c>
      <c r="O875" s="3">
        <f>(Table13[[#This Row],[Units_Sold]]*Table13[[#This Row],[Unit_Price_Cleaned]]*(1-Table13[[#This Row],[Discount Cleaned]]))</f>
        <v>1986.8675200000002</v>
      </c>
      <c r="P875" t="str">
        <f t="shared" si="69"/>
        <v>Profit</v>
      </c>
      <c r="Q875" t="str" cm="1">
        <f t="array" ref="Q875">IF(K875="",INDEX($K$2:$K$2501,MATCH(MAX(COUNTIF($K$2:$K$2501,$K$2:$K$2501)),COUNTIF($K$2:$K$2501,$K$2:$K$2501),0)),K875)</f>
        <v>B2B</v>
      </c>
    </row>
    <row r="876" spans="1:17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 s="3">
        <f t="shared" si="65"/>
        <v>14235.1</v>
      </c>
      <c r="I876" s="1">
        <v>45378</v>
      </c>
      <c r="J876" t="s">
        <v>18</v>
      </c>
      <c r="L876" s="2">
        <f t="shared" si="66"/>
        <v>2847.02</v>
      </c>
      <c r="M876" s="4">
        <f t="shared" si="67"/>
        <v>0.6</v>
      </c>
      <c r="N876" s="1">
        <f t="shared" si="68"/>
        <v>45378</v>
      </c>
      <c r="O876" s="3">
        <f>(Table13[[#This Row],[Units_Sold]]*Table13[[#This Row],[Unit_Price_Cleaned]]*(1-Table13[[#This Row],[Discount Cleaned]]))</f>
        <v>5694.0400000000009</v>
      </c>
      <c r="P876" t="str">
        <f t="shared" si="69"/>
        <v>Profit</v>
      </c>
      <c r="Q876" t="str" cm="1">
        <f t="array" ref="Q876">IF(K876="",INDEX($K$2:$K$2501,MATCH(MAX(COUNTIF($K$2:$K$2501,$K$2:$K$2501)),COUNTIF($K$2:$K$2501,$K$2:$K$2501),0)),K876)</f>
        <v>B2B</v>
      </c>
    </row>
    <row r="877" spans="1:17" x14ac:dyDescent="0.3">
      <c r="A877">
        <v>1875</v>
      </c>
      <c r="B877" t="s">
        <v>920</v>
      </c>
      <c r="C877" t="s">
        <v>29</v>
      </c>
      <c r="D877" t="s">
        <v>120</v>
      </c>
      <c r="E877">
        <v>2</v>
      </c>
      <c r="H877" s="3">
        <f t="shared" si="65"/>
        <v>5660.2651428571462</v>
      </c>
      <c r="I877" s="1">
        <v>45524</v>
      </c>
      <c r="J877" t="s">
        <v>46</v>
      </c>
      <c r="K877" t="s">
        <v>16</v>
      </c>
      <c r="L877" s="2">
        <f t="shared" si="66"/>
        <v>2830.1325714285731</v>
      </c>
      <c r="M877" s="4">
        <f t="shared" si="67"/>
        <v>0.6</v>
      </c>
      <c r="N877" s="1">
        <f t="shared" si="68"/>
        <v>45524</v>
      </c>
      <c r="O877" s="3">
        <f>(Table13[[#This Row],[Units_Sold]]*Table13[[#This Row],[Unit_Price_Cleaned]]*(1-Table13[[#This Row],[Discount Cleaned]]))</f>
        <v>2264.1060571428584</v>
      </c>
      <c r="P877" t="str">
        <f t="shared" si="69"/>
        <v>Profit</v>
      </c>
      <c r="Q877" t="str" cm="1">
        <f t="array" ref="Q877">IF(K877="",INDEX($K$2:$K$2501,MATCH(MAX(COUNTIF($K$2:$K$2501,$K$2:$K$2501)),COUNTIF($K$2:$K$2501,$K$2:$K$2501),0)),K877)</f>
        <v>B2C</v>
      </c>
    </row>
    <row r="878" spans="1:17" x14ac:dyDescent="0.3">
      <c r="A878">
        <v>1876</v>
      </c>
      <c r="B878" t="s">
        <v>921</v>
      </c>
      <c r="C878" t="s">
        <v>25</v>
      </c>
      <c r="D878" t="s">
        <v>26</v>
      </c>
      <c r="E878">
        <v>2</v>
      </c>
      <c r="G878">
        <v>0.32</v>
      </c>
      <c r="H878" s="3">
        <f t="shared" si="65"/>
        <v>5777.7428571428572</v>
      </c>
      <c r="I878" s="1">
        <v>45744</v>
      </c>
      <c r="J878" t="s">
        <v>22</v>
      </c>
      <c r="L878" s="2">
        <f t="shared" si="66"/>
        <v>2888.8714285714286</v>
      </c>
      <c r="M878" s="4">
        <f t="shared" si="67"/>
        <v>0.32</v>
      </c>
      <c r="N878" s="1">
        <f t="shared" si="68"/>
        <v>45744</v>
      </c>
      <c r="O878" s="3">
        <f>(Table13[[#This Row],[Units_Sold]]*Table13[[#This Row],[Unit_Price_Cleaned]]*(1-Table13[[#This Row],[Discount Cleaned]]))</f>
        <v>3928.8651428571425</v>
      </c>
      <c r="P878" t="str">
        <f t="shared" si="69"/>
        <v>Profit</v>
      </c>
      <c r="Q878" t="str" cm="1">
        <f t="array" ref="Q878">IF(K878="",INDEX($K$2:$K$2501,MATCH(MAX(COUNTIF($K$2:$K$2501,$K$2:$K$2501)),COUNTIF($K$2:$K$2501,$K$2:$K$2501),0)),K878)</f>
        <v>B2B</v>
      </c>
    </row>
    <row r="879" spans="1:17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 s="3">
        <f t="shared" si="65"/>
        <v>-2487.039615384615</v>
      </c>
      <c r="I879" s="1">
        <v>45836</v>
      </c>
      <c r="J879" t="s">
        <v>46</v>
      </c>
      <c r="K879" t="s">
        <v>23</v>
      </c>
      <c r="L879" s="2">
        <f t="shared" si="66"/>
        <v>2487.039615384615</v>
      </c>
      <c r="M879" s="4">
        <f t="shared" si="67"/>
        <v>0.6</v>
      </c>
      <c r="N879" s="1">
        <f t="shared" si="68"/>
        <v>45836</v>
      </c>
      <c r="O879" s="3">
        <f>(Table13[[#This Row],[Units_Sold]]*Table13[[#This Row],[Unit_Price_Cleaned]]*(1-Table13[[#This Row],[Discount Cleaned]]))</f>
        <v>-994.815846153846</v>
      </c>
      <c r="P879" t="str">
        <f t="shared" si="69"/>
        <v>Loss</v>
      </c>
      <c r="Q879" t="str" cm="1">
        <f t="array" ref="Q879">IF(K879="",INDEX($K$2:$K$2501,MATCH(MAX(COUNTIF($K$2:$K$2501,$K$2:$K$2501)),COUNTIF($K$2:$K$2501,$K$2:$K$2501),0)),K879)</f>
        <v>B2B</v>
      </c>
    </row>
    <row r="880" spans="1:17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 s="3">
        <f t="shared" si="65"/>
        <v>11217.060769230768</v>
      </c>
      <c r="I880" s="1">
        <v>45783</v>
      </c>
      <c r="J880" t="s">
        <v>40</v>
      </c>
      <c r="K880" t="s">
        <v>16</v>
      </c>
      <c r="L880" s="2">
        <f t="shared" si="66"/>
        <v>2804.2651923076919</v>
      </c>
      <c r="M880" s="4">
        <f t="shared" si="67"/>
        <v>0.6</v>
      </c>
      <c r="N880" s="1">
        <f t="shared" si="68"/>
        <v>45783</v>
      </c>
      <c r="O880" s="3">
        <f>(Table13[[#This Row],[Units_Sold]]*Table13[[#This Row],[Unit_Price_Cleaned]]*(1-Table13[[#This Row],[Discount Cleaned]]))</f>
        <v>4486.8243076923072</v>
      </c>
      <c r="P880" t="str">
        <f t="shared" si="69"/>
        <v>Profit</v>
      </c>
      <c r="Q880" t="str" cm="1">
        <f t="array" ref="Q880">IF(K880="",INDEX($K$2:$K$2501,MATCH(MAX(COUNTIF($K$2:$K$2501,$K$2:$K$2501)),COUNTIF($K$2:$K$2501,$K$2:$K$2501),0)),K880)</f>
        <v>B2C</v>
      </c>
    </row>
    <row r="881" spans="1:17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 s="3">
        <f t="shared" si="65"/>
        <v>0</v>
      </c>
      <c r="I881" s="1">
        <v>45547</v>
      </c>
      <c r="J881" t="s">
        <v>18</v>
      </c>
      <c r="K881" t="s">
        <v>16</v>
      </c>
      <c r="L881" s="2">
        <f t="shared" si="66"/>
        <v>444.11</v>
      </c>
      <c r="M881" s="4">
        <f t="shared" si="67"/>
        <v>0.6</v>
      </c>
      <c r="N881" s="1">
        <f t="shared" si="68"/>
        <v>45547</v>
      </c>
      <c r="O881" s="3">
        <f>(Table13[[#This Row],[Units_Sold]]*Table13[[#This Row],[Unit_Price_Cleaned]]*(1-Table13[[#This Row],[Discount Cleaned]]))</f>
        <v>0</v>
      </c>
      <c r="P881" t="str">
        <f t="shared" si="69"/>
        <v>Loss</v>
      </c>
      <c r="Q881" t="str" cm="1">
        <f t="array" ref="Q881">IF(K881="",INDEX($K$2:$K$2501,MATCH(MAX(COUNTIF($K$2:$K$2501,$K$2:$K$2501)),COUNTIF($K$2:$K$2501,$K$2:$K$2501),0)),K881)</f>
        <v>B2C</v>
      </c>
    </row>
    <row r="882" spans="1:17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 s="3">
        <f t="shared" si="65"/>
        <v>772.97</v>
      </c>
      <c r="I882" s="1">
        <v>45575</v>
      </c>
      <c r="J882" t="s">
        <v>46</v>
      </c>
      <c r="K882" t="s">
        <v>23</v>
      </c>
      <c r="L882" s="2">
        <f t="shared" si="66"/>
        <v>772.97</v>
      </c>
      <c r="M882" s="4">
        <f t="shared" si="67"/>
        <v>0.9</v>
      </c>
      <c r="N882" s="1">
        <f t="shared" si="68"/>
        <v>45575</v>
      </c>
      <c r="O882" s="3">
        <f>(Table13[[#This Row],[Units_Sold]]*Table13[[#This Row],[Unit_Price_Cleaned]]*(1-Table13[[#This Row],[Discount Cleaned]]))</f>
        <v>77.296999999999983</v>
      </c>
      <c r="P882" t="str">
        <f t="shared" si="69"/>
        <v>Loss</v>
      </c>
      <c r="Q882" t="str" cm="1">
        <f t="array" ref="Q882">IF(K882="",INDEX($K$2:$K$2501,MATCH(MAX(COUNTIF($K$2:$K$2501,$K$2:$K$2501)),COUNTIF($K$2:$K$2501,$K$2:$K$2501),0)),K882)</f>
        <v>B2B</v>
      </c>
    </row>
    <row r="883" spans="1:17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 s="3">
        <f t="shared" si="65"/>
        <v>5317.7999999999993</v>
      </c>
      <c r="I883" s="1">
        <v>45836</v>
      </c>
      <c r="J883" t="s">
        <v>40</v>
      </c>
      <c r="K883" t="s">
        <v>23</v>
      </c>
      <c r="L883" s="2">
        <f t="shared" si="66"/>
        <v>1772.6</v>
      </c>
      <c r="M883" s="4">
        <f t="shared" si="67"/>
        <v>0.6</v>
      </c>
      <c r="N883" s="1">
        <f t="shared" si="68"/>
        <v>45836</v>
      </c>
      <c r="O883" s="3">
        <f>(Table13[[#This Row],[Units_Sold]]*Table13[[#This Row],[Unit_Price_Cleaned]]*(1-Table13[[#This Row],[Discount Cleaned]]))</f>
        <v>2127.12</v>
      </c>
      <c r="P883" t="str">
        <f t="shared" si="69"/>
        <v>Profit</v>
      </c>
      <c r="Q883" t="str" cm="1">
        <f t="array" ref="Q883">IF(K883="",INDEX($K$2:$K$2501,MATCH(MAX(COUNTIF($K$2:$K$2501,$K$2:$K$2501)),COUNTIF($K$2:$K$2501,$K$2:$K$2501),0)),K883)</f>
        <v>B2B</v>
      </c>
    </row>
    <row r="884" spans="1:17" x14ac:dyDescent="0.3">
      <c r="A884">
        <v>1882</v>
      </c>
      <c r="B884" t="s">
        <v>927</v>
      </c>
      <c r="C884" t="s">
        <v>20</v>
      </c>
      <c r="D884" t="s">
        <v>88</v>
      </c>
      <c r="E884">
        <v>2</v>
      </c>
      <c r="F884">
        <v>1622.79</v>
      </c>
      <c r="H884" s="3">
        <f t="shared" si="65"/>
        <v>3245.58</v>
      </c>
      <c r="I884" s="1">
        <v>45831</v>
      </c>
      <c r="J884" t="s">
        <v>15</v>
      </c>
      <c r="K884" t="s">
        <v>16</v>
      </c>
      <c r="L884" s="2">
        <f t="shared" si="66"/>
        <v>1622.79</v>
      </c>
      <c r="M884" s="4">
        <f t="shared" si="67"/>
        <v>0.6</v>
      </c>
      <c r="N884" s="1">
        <f t="shared" si="68"/>
        <v>45831</v>
      </c>
      <c r="O884" s="3">
        <f>(Table13[[#This Row],[Units_Sold]]*Table13[[#This Row],[Unit_Price_Cleaned]]*(1-Table13[[#This Row],[Discount Cleaned]]))</f>
        <v>1298.232</v>
      </c>
      <c r="P884" t="str">
        <f t="shared" si="69"/>
        <v>Profit</v>
      </c>
      <c r="Q884" t="str" cm="1">
        <f t="array" ref="Q884">IF(K884="",INDEX($K$2:$K$2501,MATCH(MAX(COUNTIF($K$2:$K$2501,$K$2:$K$2501)),COUNTIF($K$2:$K$2501,$K$2:$K$2501),0)),K884)</f>
        <v>B2C</v>
      </c>
    </row>
    <row r="885" spans="1:17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 s="3">
        <f t="shared" si="65"/>
        <v>-4350.8599999999997</v>
      </c>
      <c r="J885" t="s">
        <v>46</v>
      </c>
      <c r="K885" t="s">
        <v>23</v>
      </c>
      <c r="L885" s="2">
        <f t="shared" si="66"/>
        <v>4350.8599999999997</v>
      </c>
      <c r="M885" s="4">
        <f t="shared" si="67"/>
        <v>0.6</v>
      </c>
      <c r="N885" s="1">
        <f t="shared" si="68"/>
        <v>45782</v>
      </c>
      <c r="O885" s="3">
        <f>(Table13[[#This Row],[Units_Sold]]*Table13[[#This Row],[Unit_Price_Cleaned]]*(1-Table13[[#This Row],[Discount Cleaned]]))</f>
        <v>-1740.3440000000001</v>
      </c>
      <c r="P885" t="str">
        <f t="shared" si="69"/>
        <v>Loss</v>
      </c>
      <c r="Q885" t="str" cm="1">
        <f t="array" ref="Q885">IF(K885="",INDEX($K$2:$K$2501,MATCH(MAX(COUNTIF($K$2:$K$2501,$K$2:$K$2501)),COUNTIF($K$2:$K$2501,$K$2:$K$2501),0)),K885)</f>
        <v>B2B</v>
      </c>
    </row>
    <row r="886" spans="1:17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 s="3">
        <f t="shared" si="65"/>
        <v>15436.658400000004</v>
      </c>
      <c r="I886" s="1">
        <v>45860</v>
      </c>
      <c r="J886" t="s">
        <v>15</v>
      </c>
      <c r="K886" t="s">
        <v>16</v>
      </c>
      <c r="L886" s="2">
        <f t="shared" si="66"/>
        <v>2572.7764000000006</v>
      </c>
      <c r="M886" s="4">
        <f t="shared" si="67"/>
        <v>0.6</v>
      </c>
      <c r="N886" s="1">
        <f t="shared" si="68"/>
        <v>45860</v>
      </c>
      <c r="O886" s="3">
        <f>(Table13[[#This Row],[Units_Sold]]*Table13[[#This Row],[Unit_Price_Cleaned]]*(1-Table13[[#This Row],[Discount Cleaned]]))</f>
        <v>6174.6633600000023</v>
      </c>
      <c r="P886" t="str">
        <f t="shared" si="69"/>
        <v>Profit</v>
      </c>
      <c r="Q886" t="str" cm="1">
        <f t="array" ref="Q886">IF(K886="",INDEX($K$2:$K$2501,MATCH(MAX(COUNTIF($K$2:$K$2501,$K$2:$K$2501)),COUNTIF($K$2:$K$2501,$K$2:$K$2501),0)),K886)</f>
        <v>B2C</v>
      </c>
    </row>
    <row r="887" spans="1:17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 s="3">
        <f t="shared" si="65"/>
        <v>0</v>
      </c>
      <c r="I887" s="1">
        <v>45669</v>
      </c>
      <c r="J887" t="s">
        <v>15</v>
      </c>
      <c r="K887" t="s">
        <v>23</v>
      </c>
      <c r="L887" s="2">
        <f t="shared" si="66"/>
        <v>2715.5458490566025</v>
      </c>
      <c r="M887" s="4">
        <f t="shared" si="67"/>
        <v>0.6</v>
      </c>
      <c r="N887" s="1">
        <f t="shared" si="68"/>
        <v>45669</v>
      </c>
      <c r="O887" s="3">
        <f>(Table13[[#This Row],[Units_Sold]]*Table13[[#This Row],[Unit_Price_Cleaned]]*(1-Table13[[#This Row],[Discount Cleaned]]))</f>
        <v>0</v>
      </c>
      <c r="P887" t="str">
        <f t="shared" si="69"/>
        <v>Loss</v>
      </c>
      <c r="Q887" t="str" cm="1">
        <f t="array" ref="Q887">IF(K887="",INDEX($K$2:$K$2501,MATCH(MAX(COUNTIF($K$2:$K$2501,$K$2:$K$2501)),COUNTIF($K$2:$K$2501,$K$2:$K$2501),0)),K887)</f>
        <v>B2B</v>
      </c>
    </row>
    <row r="888" spans="1:17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 s="3">
        <f t="shared" si="65"/>
        <v>7374.5999999999995</v>
      </c>
      <c r="J888" t="s">
        <v>56</v>
      </c>
      <c r="K888" t="s">
        <v>16</v>
      </c>
      <c r="L888" s="2">
        <f t="shared" si="66"/>
        <v>1229.0999999999999</v>
      </c>
      <c r="M888" s="4">
        <f t="shared" si="67"/>
        <v>0.6</v>
      </c>
      <c r="N888" s="1">
        <f t="shared" si="68"/>
        <v>45782</v>
      </c>
      <c r="O888" s="3">
        <f>(Table13[[#This Row],[Units_Sold]]*Table13[[#This Row],[Unit_Price_Cleaned]]*(1-Table13[[#This Row],[Discount Cleaned]]))</f>
        <v>2949.84</v>
      </c>
      <c r="P888" t="str">
        <f t="shared" si="69"/>
        <v>Profit</v>
      </c>
      <c r="Q888" t="str" cm="1">
        <f t="array" ref="Q888">IF(K888="",INDEX($K$2:$K$2501,MATCH(MAX(COUNTIF($K$2:$K$2501,$K$2:$K$2501)),COUNTIF($K$2:$K$2501,$K$2:$K$2501),0)),K888)</f>
        <v>B2C</v>
      </c>
    </row>
    <row r="889" spans="1:17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 s="3">
        <f t="shared" si="65"/>
        <v>8146.6375471698075</v>
      </c>
      <c r="I889" s="1">
        <v>45775</v>
      </c>
      <c r="J889" t="s">
        <v>18</v>
      </c>
      <c r="K889" t="s">
        <v>23</v>
      </c>
      <c r="L889" s="2">
        <f t="shared" si="66"/>
        <v>2715.5458490566025</v>
      </c>
      <c r="M889" s="4">
        <f t="shared" si="67"/>
        <v>0.6</v>
      </c>
      <c r="N889" s="1">
        <f t="shared" si="68"/>
        <v>45775</v>
      </c>
      <c r="O889" s="3">
        <f>(Table13[[#This Row],[Units_Sold]]*Table13[[#This Row],[Unit_Price_Cleaned]]*(1-Table13[[#This Row],[Discount Cleaned]]))</f>
        <v>3258.655018867923</v>
      </c>
      <c r="P889" t="str">
        <f t="shared" si="69"/>
        <v>Profit</v>
      </c>
      <c r="Q889" t="str" cm="1">
        <f t="array" ref="Q889">IF(K889="",INDEX($K$2:$K$2501,MATCH(MAX(COUNTIF($K$2:$K$2501,$K$2:$K$2501)),COUNTIF($K$2:$K$2501,$K$2:$K$2501),0)),K889)</f>
        <v>B2B</v>
      </c>
    </row>
    <row r="890" spans="1:17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 s="3">
        <f t="shared" si="65"/>
        <v>15182.301923076928</v>
      </c>
      <c r="J890" t="s">
        <v>22</v>
      </c>
      <c r="K890" t="s">
        <v>23</v>
      </c>
      <c r="L890" s="2">
        <f t="shared" si="66"/>
        <v>2530.3836538461546</v>
      </c>
      <c r="M890" s="4">
        <f t="shared" si="67"/>
        <v>0.39</v>
      </c>
      <c r="N890" s="1">
        <f t="shared" si="68"/>
        <v>45782</v>
      </c>
      <c r="O890" s="3">
        <f>(Table13[[#This Row],[Units_Sold]]*Table13[[#This Row],[Unit_Price_Cleaned]]*(1-Table13[[#This Row],[Discount Cleaned]]))</f>
        <v>9261.2041730769251</v>
      </c>
      <c r="P890" t="str">
        <f t="shared" si="69"/>
        <v>Profit</v>
      </c>
      <c r="Q890" t="str" cm="1">
        <f t="array" ref="Q890">IF(K890="",INDEX($K$2:$K$2501,MATCH(MAX(COUNTIF($K$2:$K$2501,$K$2:$K$2501)),COUNTIF($K$2:$K$2501,$K$2:$K$2501),0)),K890)</f>
        <v>B2B</v>
      </c>
    </row>
    <row r="891" spans="1:17" x14ac:dyDescent="0.3">
      <c r="A891">
        <v>1889</v>
      </c>
      <c r="B891" t="s">
        <v>934</v>
      </c>
      <c r="C891" t="s">
        <v>38</v>
      </c>
      <c r="D891" t="s">
        <v>59</v>
      </c>
      <c r="E891">
        <v>2</v>
      </c>
      <c r="F891">
        <v>3948.83</v>
      </c>
      <c r="H891" s="3">
        <f t="shared" si="65"/>
        <v>7897.66</v>
      </c>
      <c r="I891" s="1">
        <v>45458</v>
      </c>
      <c r="J891" t="s">
        <v>46</v>
      </c>
      <c r="L891" s="2">
        <f t="shared" si="66"/>
        <v>3948.83</v>
      </c>
      <c r="M891" s="4">
        <f t="shared" si="67"/>
        <v>0.6</v>
      </c>
      <c r="N891" s="1">
        <f t="shared" si="68"/>
        <v>45458</v>
      </c>
      <c r="O891" s="3">
        <f>(Table13[[#This Row],[Units_Sold]]*Table13[[#This Row],[Unit_Price_Cleaned]]*(1-Table13[[#This Row],[Discount Cleaned]]))</f>
        <v>3159.0640000000003</v>
      </c>
      <c r="P891" t="str">
        <f t="shared" si="69"/>
        <v>Profit</v>
      </c>
      <c r="Q891" t="str" cm="1">
        <f t="array" ref="Q891">IF(K891="",INDEX($K$2:$K$2501,MATCH(MAX(COUNTIF($K$2:$K$2501,$K$2:$K$2501)),COUNTIF($K$2:$K$2501,$K$2:$K$2501),0)),K891)</f>
        <v>B2B</v>
      </c>
    </row>
    <row r="892" spans="1:17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 s="3">
        <f t="shared" si="65"/>
        <v>7545.02</v>
      </c>
      <c r="J892" t="s">
        <v>40</v>
      </c>
      <c r="K892" t="s">
        <v>23</v>
      </c>
      <c r="L892" s="2">
        <f t="shared" si="66"/>
        <v>3772.51</v>
      </c>
      <c r="M892" s="4">
        <f t="shared" si="67"/>
        <v>0.6</v>
      </c>
      <c r="N892" s="1">
        <f t="shared" si="68"/>
        <v>45782</v>
      </c>
      <c r="O892" s="3">
        <f>(Table13[[#This Row],[Units_Sold]]*Table13[[#This Row],[Unit_Price_Cleaned]]*(1-Table13[[#This Row],[Discount Cleaned]]))</f>
        <v>3018.0080000000003</v>
      </c>
      <c r="P892" t="str">
        <f t="shared" si="69"/>
        <v>Profit</v>
      </c>
      <c r="Q892" t="str" cm="1">
        <f t="array" ref="Q892">IF(K892="",INDEX($K$2:$K$2501,MATCH(MAX(COUNTIF($K$2:$K$2501,$K$2:$K$2501)),COUNTIF($K$2:$K$2501,$K$2:$K$2501),0)),K892)</f>
        <v>B2B</v>
      </c>
    </row>
    <row r="893" spans="1:17" x14ac:dyDescent="0.3">
      <c r="A893">
        <v>1891</v>
      </c>
      <c r="B893" t="s">
        <v>936</v>
      </c>
      <c r="C893" t="s">
        <v>33</v>
      </c>
      <c r="D893" t="s">
        <v>34</v>
      </c>
      <c r="E893">
        <v>2</v>
      </c>
      <c r="F893">
        <v>2727.86</v>
      </c>
      <c r="H893" s="3">
        <f t="shared" si="65"/>
        <v>5455.72</v>
      </c>
      <c r="I893" s="1">
        <v>45521</v>
      </c>
      <c r="J893" t="s">
        <v>18</v>
      </c>
      <c r="K893" t="s">
        <v>16</v>
      </c>
      <c r="L893" s="2">
        <f t="shared" si="66"/>
        <v>2727.86</v>
      </c>
      <c r="M893" s="4">
        <f t="shared" si="67"/>
        <v>0.6</v>
      </c>
      <c r="N893" s="1">
        <f t="shared" si="68"/>
        <v>45521</v>
      </c>
      <c r="O893" s="3">
        <f>(Table13[[#This Row],[Units_Sold]]*Table13[[#This Row],[Unit_Price_Cleaned]]*(1-Table13[[#This Row],[Discount Cleaned]]))</f>
        <v>2182.288</v>
      </c>
      <c r="P893" t="str">
        <f t="shared" si="69"/>
        <v>Profit</v>
      </c>
      <c r="Q893" t="str" cm="1">
        <f t="array" ref="Q893">IF(K893="",INDEX($K$2:$K$2501,MATCH(MAX(COUNTIF($K$2:$K$2501,$K$2:$K$2501)),COUNTIF($K$2:$K$2501,$K$2:$K$2501),0)),K893)</f>
        <v>B2C</v>
      </c>
    </row>
    <row r="894" spans="1:17" x14ac:dyDescent="0.3">
      <c r="A894">
        <v>1892</v>
      </c>
      <c r="B894" t="s">
        <v>937</v>
      </c>
      <c r="C894" t="s">
        <v>13</v>
      </c>
      <c r="D894" t="s">
        <v>14</v>
      </c>
      <c r="E894">
        <v>2</v>
      </c>
      <c r="G894">
        <v>1.1399999999999999</v>
      </c>
      <c r="H894" s="3">
        <f t="shared" si="65"/>
        <v>4762.5355172413792</v>
      </c>
      <c r="J894" t="s">
        <v>15</v>
      </c>
      <c r="K894" t="s">
        <v>23</v>
      </c>
      <c r="L894" s="2">
        <f t="shared" si="66"/>
        <v>2381.2677586206896</v>
      </c>
      <c r="M894" s="4">
        <f t="shared" si="67"/>
        <v>1.1399999999999999</v>
      </c>
      <c r="N894" s="1">
        <f t="shared" si="68"/>
        <v>45782</v>
      </c>
      <c r="O894" s="3">
        <f>(Table13[[#This Row],[Units_Sold]]*Table13[[#This Row],[Unit_Price_Cleaned]]*(1-Table13[[#This Row],[Discount Cleaned]]))</f>
        <v>-666.75497241379264</v>
      </c>
      <c r="P894" t="str">
        <f t="shared" si="69"/>
        <v>Loss</v>
      </c>
      <c r="Q894" t="str" cm="1">
        <f t="array" ref="Q894">IF(K894="",INDEX($K$2:$K$2501,MATCH(MAX(COUNTIF($K$2:$K$2501,$K$2:$K$2501)),COUNTIF($K$2:$K$2501,$K$2:$K$2501),0)),K894)</f>
        <v>B2B</v>
      </c>
    </row>
    <row r="895" spans="1:17" x14ac:dyDescent="0.3">
      <c r="A895">
        <v>1893</v>
      </c>
      <c r="B895" t="s">
        <v>938</v>
      </c>
      <c r="C895" t="s">
        <v>29</v>
      </c>
      <c r="D895" t="s">
        <v>120</v>
      </c>
      <c r="E895">
        <v>2</v>
      </c>
      <c r="F895">
        <v>4456.45</v>
      </c>
      <c r="H895" s="3">
        <f t="shared" si="65"/>
        <v>8912.9</v>
      </c>
      <c r="J895" t="s">
        <v>15</v>
      </c>
      <c r="K895" t="s">
        <v>23</v>
      </c>
      <c r="L895" s="2">
        <f t="shared" si="66"/>
        <v>4456.45</v>
      </c>
      <c r="M895" s="4">
        <f t="shared" si="67"/>
        <v>0.6</v>
      </c>
      <c r="N895" s="1">
        <f t="shared" si="68"/>
        <v>45782</v>
      </c>
      <c r="O895" s="3">
        <f>(Table13[[#This Row],[Units_Sold]]*Table13[[#This Row],[Unit_Price_Cleaned]]*(1-Table13[[#This Row],[Discount Cleaned]]))</f>
        <v>3565.16</v>
      </c>
      <c r="P895" t="str">
        <f t="shared" si="69"/>
        <v>Profit</v>
      </c>
      <c r="Q895" t="str" cm="1">
        <f t="array" ref="Q895">IF(K895="",INDEX($K$2:$K$2501,MATCH(MAX(COUNTIF($K$2:$K$2501,$K$2:$K$2501)),COUNTIF($K$2:$K$2501,$K$2:$K$2501),0)),K895)</f>
        <v>B2B</v>
      </c>
    </row>
    <row r="896" spans="1:17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 s="3">
        <f t="shared" si="65"/>
        <v>5587.78</v>
      </c>
      <c r="I896" s="1">
        <v>45160</v>
      </c>
      <c r="J896" t="s">
        <v>56</v>
      </c>
      <c r="K896" t="s">
        <v>23</v>
      </c>
      <c r="L896" s="2">
        <f t="shared" si="66"/>
        <v>2793.89</v>
      </c>
      <c r="M896" s="4">
        <f t="shared" si="67"/>
        <v>0.6</v>
      </c>
      <c r="N896" s="1">
        <f t="shared" si="68"/>
        <v>45160</v>
      </c>
      <c r="O896" s="3">
        <f>(Table13[[#This Row],[Units_Sold]]*Table13[[#This Row],[Unit_Price_Cleaned]]*(1-Table13[[#This Row],[Discount Cleaned]]))</f>
        <v>2235.1120000000001</v>
      </c>
      <c r="P896" t="str">
        <f t="shared" si="69"/>
        <v>Profit</v>
      </c>
      <c r="Q896" t="str" cm="1">
        <f t="array" ref="Q896">IF(K896="",INDEX($K$2:$K$2501,MATCH(MAX(COUNTIF($K$2:$K$2501,$K$2:$K$2501)),COUNTIF($K$2:$K$2501,$K$2:$K$2501),0)),K896)</f>
        <v>B2B</v>
      </c>
    </row>
    <row r="897" spans="1:17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 s="3">
        <f t="shared" si="65"/>
        <v>-5152.6113793103432</v>
      </c>
      <c r="I897" s="1">
        <v>45741</v>
      </c>
      <c r="J897" t="s">
        <v>46</v>
      </c>
      <c r="K897" t="s">
        <v>23</v>
      </c>
      <c r="L897" s="2">
        <f t="shared" si="66"/>
        <v>2576.3056896551716</v>
      </c>
      <c r="M897" s="4">
        <f t="shared" si="67"/>
        <v>0.6</v>
      </c>
      <c r="N897" s="1">
        <f t="shared" si="68"/>
        <v>45741</v>
      </c>
      <c r="O897" s="3">
        <f>(Table13[[#This Row],[Units_Sold]]*Table13[[#This Row],[Unit_Price_Cleaned]]*(1-Table13[[#This Row],[Discount Cleaned]]))</f>
        <v>-2061.0445517241374</v>
      </c>
      <c r="P897" t="str">
        <f t="shared" si="69"/>
        <v>Loss</v>
      </c>
      <c r="Q897" t="str" cm="1">
        <f t="array" ref="Q897">IF(K897="",INDEX($K$2:$K$2501,MATCH(MAX(COUNTIF($K$2:$K$2501,$K$2:$K$2501)),COUNTIF($K$2:$K$2501,$K$2:$K$2501),0)),K897)</f>
        <v>B2B</v>
      </c>
    </row>
    <row r="898" spans="1:17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 s="3">
        <f t="shared" ref="H898:H961" si="70">(L898*E898)</f>
        <v>24149.25</v>
      </c>
      <c r="J898" t="s">
        <v>56</v>
      </c>
      <c r="K898" t="s">
        <v>23</v>
      </c>
      <c r="L898" s="2">
        <f t="shared" ref="L898:L961" si="71">IF(F898="",AVERAGEIF($D$2:$D$2501,D898,$F$2:$F$2501),F898)</f>
        <v>4829.8500000000004</v>
      </c>
      <c r="M898" s="4">
        <f t="shared" ref="M898:M961" si="72">IF(G898="",MEDIAN($G$2,$G$2501),G898)</f>
        <v>0.6</v>
      </c>
      <c r="N898" s="1">
        <f t="shared" ref="N898:N961" si="73">IF(I898="",MODE($I$32:$I$2501),I898)</f>
        <v>45782</v>
      </c>
      <c r="O898" s="3">
        <f>(Table13[[#This Row],[Units_Sold]]*Table13[[#This Row],[Unit_Price_Cleaned]]*(1-Table13[[#This Row],[Discount Cleaned]]))</f>
        <v>9659.7000000000007</v>
      </c>
      <c r="P898" t="str">
        <f t="shared" ref="P898:P961" si="74">IF(O898&gt;500,"Profit","Loss")</f>
        <v>Profit</v>
      </c>
      <c r="Q898" t="str" cm="1">
        <f t="array" ref="Q898">IF(K898="",INDEX($K$2:$K$2501,MATCH(MAX(COUNTIF($K$2:$K$2501,$K$2:$K$2501)),COUNTIF($K$2:$K$2501,$K$2:$K$2501),0)),K898)</f>
        <v>B2B</v>
      </c>
    </row>
    <row r="899" spans="1:17" x14ac:dyDescent="0.3">
      <c r="A899">
        <v>1897</v>
      </c>
      <c r="B899" t="s">
        <v>942</v>
      </c>
      <c r="C899" t="s">
        <v>13</v>
      </c>
      <c r="D899" t="s">
        <v>49</v>
      </c>
      <c r="E899">
        <v>2</v>
      </c>
      <c r="G899">
        <v>0.34</v>
      </c>
      <c r="H899" s="3">
        <f t="shared" si="70"/>
        <v>5570.1755932203387</v>
      </c>
      <c r="I899" s="1">
        <v>45747</v>
      </c>
      <c r="J899" t="s">
        <v>56</v>
      </c>
      <c r="K899" t="s">
        <v>16</v>
      </c>
      <c r="L899" s="2">
        <f t="shared" si="71"/>
        <v>2785.0877966101693</v>
      </c>
      <c r="M899" s="4">
        <f t="shared" si="72"/>
        <v>0.34</v>
      </c>
      <c r="N899" s="1">
        <f t="shared" si="73"/>
        <v>45747</v>
      </c>
      <c r="O899" s="3">
        <f>(Table13[[#This Row],[Units_Sold]]*Table13[[#This Row],[Unit_Price_Cleaned]]*(1-Table13[[#This Row],[Discount Cleaned]]))</f>
        <v>3676.315891525423</v>
      </c>
      <c r="P899" t="str">
        <f t="shared" si="74"/>
        <v>Profit</v>
      </c>
      <c r="Q899" t="str" cm="1">
        <f t="array" ref="Q899">IF(K899="",INDEX($K$2:$K$2501,MATCH(MAX(COUNTIF($K$2:$K$2501,$K$2:$K$2501)),COUNTIF($K$2:$K$2501,$K$2:$K$2501),0)),K899)</f>
        <v>B2C</v>
      </c>
    </row>
    <row r="900" spans="1:17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 s="3">
        <f t="shared" si="70"/>
        <v>3884.9</v>
      </c>
      <c r="I900" s="1">
        <v>45643</v>
      </c>
      <c r="J900" t="s">
        <v>22</v>
      </c>
      <c r="K900" t="s">
        <v>16</v>
      </c>
      <c r="L900" s="2">
        <f t="shared" si="71"/>
        <v>776.98</v>
      </c>
      <c r="M900" s="4">
        <f t="shared" si="72"/>
        <v>0.6</v>
      </c>
      <c r="N900" s="1">
        <f t="shared" si="73"/>
        <v>45643</v>
      </c>
      <c r="O900" s="3">
        <f>(Table13[[#This Row],[Units_Sold]]*Table13[[#This Row],[Unit_Price_Cleaned]]*(1-Table13[[#This Row],[Discount Cleaned]]))</f>
        <v>1553.96</v>
      </c>
      <c r="P900" t="str">
        <f t="shared" si="74"/>
        <v>Profit</v>
      </c>
      <c r="Q900" t="str" cm="1">
        <f t="array" ref="Q900">IF(K900="",INDEX($K$2:$K$2501,MATCH(MAX(COUNTIF($K$2:$K$2501,$K$2:$K$2501)),COUNTIF($K$2:$K$2501,$K$2:$K$2501),0)),K900)</f>
        <v>B2C</v>
      </c>
    </row>
    <row r="901" spans="1:17" x14ac:dyDescent="0.3">
      <c r="A901">
        <v>1899</v>
      </c>
      <c r="B901" t="s">
        <v>944</v>
      </c>
      <c r="C901" t="s">
        <v>25</v>
      </c>
      <c r="D901" t="s">
        <v>54</v>
      </c>
      <c r="E901">
        <v>2</v>
      </c>
      <c r="H901" s="3">
        <f t="shared" si="70"/>
        <v>5060.7673076923093</v>
      </c>
      <c r="J901" t="s">
        <v>15</v>
      </c>
      <c r="K901" t="s">
        <v>16</v>
      </c>
      <c r="L901" s="2">
        <f t="shared" si="71"/>
        <v>2530.3836538461546</v>
      </c>
      <c r="M901" s="4">
        <f t="shared" si="72"/>
        <v>0.6</v>
      </c>
      <c r="N901" s="1">
        <f t="shared" si="73"/>
        <v>45782</v>
      </c>
      <c r="O901" s="3">
        <f>(Table13[[#This Row],[Units_Sold]]*Table13[[#This Row],[Unit_Price_Cleaned]]*(1-Table13[[#This Row],[Discount Cleaned]]))</f>
        <v>2024.3069230769238</v>
      </c>
      <c r="P901" t="str">
        <f t="shared" si="74"/>
        <v>Profit</v>
      </c>
      <c r="Q901" t="str" cm="1">
        <f t="array" ref="Q901">IF(K901="",INDEX($K$2:$K$2501,MATCH(MAX(COUNTIF($K$2:$K$2501,$K$2:$K$2501)),COUNTIF($K$2:$K$2501,$K$2:$K$2501),0)),K901)</f>
        <v>B2C</v>
      </c>
    </row>
    <row r="902" spans="1:17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 s="3">
        <f t="shared" si="70"/>
        <v>8525.2891836734725</v>
      </c>
      <c r="I902" s="1">
        <v>45552</v>
      </c>
      <c r="J902" t="s">
        <v>15</v>
      </c>
      <c r="L902" s="2">
        <f t="shared" si="71"/>
        <v>2841.7630612244907</v>
      </c>
      <c r="M902" s="4">
        <f t="shared" si="72"/>
        <v>0.6</v>
      </c>
      <c r="N902" s="1">
        <f t="shared" si="73"/>
        <v>45552</v>
      </c>
      <c r="O902" s="3">
        <f>(Table13[[#This Row],[Units_Sold]]*Table13[[#This Row],[Unit_Price_Cleaned]]*(1-Table13[[#This Row],[Discount Cleaned]]))</f>
        <v>3410.1156734693891</v>
      </c>
      <c r="P902" t="str">
        <f t="shared" si="74"/>
        <v>Profit</v>
      </c>
      <c r="Q902" t="str" cm="1">
        <f t="array" ref="Q902">IF(K902="",INDEX($K$2:$K$2501,MATCH(MAX(COUNTIF($K$2:$K$2501,$K$2:$K$2501)),COUNTIF($K$2:$K$2501,$K$2:$K$2501),0)),K902)</f>
        <v>B2B</v>
      </c>
    </row>
    <row r="903" spans="1:17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 s="3">
        <f t="shared" si="70"/>
        <v>3127.64</v>
      </c>
      <c r="I903" s="1">
        <v>45773</v>
      </c>
      <c r="J903" t="s">
        <v>46</v>
      </c>
      <c r="L903" s="2">
        <f t="shared" si="71"/>
        <v>781.91</v>
      </c>
      <c r="M903" s="4">
        <f t="shared" si="72"/>
        <v>1.2</v>
      </c>
      <c r="N903" s="1">
        <f t="shared" si="73"/>
        <v>45773</v>
      </c>
      <c r="O903" s="3">
        <f>(Table13[[#This Row],[Units_Sold]]*Table13[[#This Row],[Unit_Price_Cleaned]]*(1-Table13[[#This Row],[Discount Cleaned]]))</f>
        <v>-625.52799999999979</v>
      </c>
      <c r="P903" t="str">
        <f t="shared" si="74"/>
        <v>Loss</v>
      </c>
      <c r="Q903" t="str" cm="1">
        <f t="array" ref="Q903">IF(K903="",INDEX($K$2:$K$2501,MATCH(MAX(COUNTIF($K$2:$K$2501,$K$2:$K$2501)),COUNTIF($K$2:$K$2501,$K$2:$K$2501),0)),K903)</f>
        <v>B2B</v>
      </c>
    </row>
    <row r="904" spans="1:17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 s="3">
        <f t="shared" si="70"/>
        <v>0</v>
      </c>
      <c r="J904" t="s">
        <v>46</v>
      </c>
      <c r="L904" s="2">
        <f t="shared" si="71"/>
        <v>3402.85</v>
      </c>
      <c r="M904" s="4">
        <f t="shared" si="72"/>
        <v>0.63</v>
      </c>
      <c r="N904" s="1">
        <f t="shared" si="73"/>
        <v>45782</v>
      </c>
      <c r="O904" s="3">
        <f>(Table13[[#This Row],[Units_Sold]]*Table13[[#This Row],[Unit_Price_Cleaned]]*(1-Table13[[#This Row],[Discount Cleaned]]))</f>
        <v>0</v>
      </c>
      <c r="P904" t="str">
        <f t="shared" si="74"/>
        <v>Loss</v>
      </c>
      <c r="Q904" t="str" cm="1">
        <f t="array" ref="Q904">IF(K904="",INDEX($K$2:$K$2501,MATCH(MAX(COUNTIF($K$2:$K$2501,$K$2:$K$2501)),COUNTIF($K$2:$K$2501,$K$2:$K$2501),0)),K904)</f>
        <v>B2B</v>
      </c>
    </row>
    <row r="905" spans="1:17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 s="3">
        <f t="shared" si="70"/>
        <v>-2804.2651923076919</v>
      </c>
      <c r="I905" s="1">
        <v>45764</v>
      </c>
      <c r="J905" t="s">
        <v>22</v>
      </c>
      <c r="L905" s="2">
        <f t="shared" si="71"/>
        <v>2804.2651923076919</v>
      </c>
      <c r="M905" s="4">
        <f t="shared" si="72"/>
        <v>0.08</v>
      </c>
      <c r="N905" s="1">
        <f t="shared" si="73"/>
        <v>45764</v>
      </c>
      <c r="O905" s="3">
        <f>(Table13[[#This Row],[Units_Sold]]*Table13[[#This Row],[Unit_Price_Cleaned]]*(1-Table13[[#This Row],[Discount Cleaned]]))</f>
        <v>-2579.9239769230767</v>
      </c>
      <c r="P905" t="str">
        <f t="shared" si="74"/>
        <v>Loss</v>
      </c>
      <c r="Q905" t="str" cm="1">
        <f t="array" ref="Q905">IF(K905="",INDEX($K$2:$K$2501,MATCH(MAX(COUNTIF($K$2:$K$2501,$K$2:$K$2501)),COUNTIF($K$2:$K$2501,$K$2:$K$2501),0)),K905)</f>
        <v>B2B</v>
      </c>
    </row>
    <row r="906" spans="1:17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 s="3">
        <f t="shared" si="70"/>
        <v>-1339.18</v>
      </c>
      <c r="I906" s="1">
        <v>45851</v>
      </c>
      <c r="J906" t="s">
        <v>40</v>
      </c>
      <c r="K906" t="s">
        <v>16</v>
      </c>
      <c r="L906" s="2">
        <f t="shared" si="71"/>
        <v>1339.18</v>
      </c>
      <c r="M906" s="4">
        <f t="shared" si="72"/>
        <v>0.6</v>
      </c>
      <c r="N906" s="1">
        <f t="shared" si="73"/>
        <v>45851</v>
      </c>
      <c r="O906" s="3">
        <f>(Table13[[#This Row],[Units_Sold]]*Table13[[#This Row],[Unit_Price_Cleaned]]*(1-Table13[[#This Row],[Discount Cleaned]]))</f>
        <v>-535.67200000000003</v>
      </c>
      <c r="P906" t="str">
        <f t="shared" si="74"/>
        <v>Loss</v>
      </c>
      <c r="Q906" t="str" cm="1">
        <f t="array" ref="Q906">IF(K906="",INDEX($K$2:$K$2501,MATCH(MAX(COUNTIF($K$2:$K$2501,$K$2:$K$2501)),COUNTIF($K$2:$K$2501,$K$2:$K$2501),0)),K906)</f>
        <v>B2C</v>
      </c>
    </row>
    <row r="907" spans="1:17" x14ac:dyDescent="0.3">
      <c r="A907">
        <v>1905</v>
      </c>
      <c r="B907" t="s">
        <v>950</v>
      </c>
      <c r="C907" t="s">
        <v>38</v>
      </c>
      <c r="D907" t="s">
        <v>91</v>
      </c>
      <c r="E907">
        <v>2</v>
      </c>
      <c r="F907">
        <v>759.78</v>
      </c>
      <c r="H907" s="3">
        <f t="shared" si="70"/>
        <v>1519.56</v>
      </c>
      <c r="J907" t="s">
        <v>46</v>
      </c>
      <c r="K907" t="s">
        <v>23</v>
      </c>
      <c r="L907" s="2">
        <f t="shared" si="71"/>
        <v>759.78</v>
      </c>
      <c r="M907" s="4">
        <f t="shared" si="72"/>
        <v>0.6</v>
      </c>
      <c r="N907" s="1">
        <f t="shared" si="73"/>
        <v>45782</v>
      </c>
      <c r="O907" s="3">
        <f>(Table13[[#This Row],[Units_Sold]]*Table13[[#This Row],[Unit_Price_Cleaned]]*(1-Table13[[#This Row],[Discount Cleaned]]))</f>
        <v>607.82399999999996</v>
      </c>
      <c r="P907" t="str">
        <f t="shared" si="74"/>
        <v>Profit</v>
      </c>
      <c r="Q907" t="str" cm="1">
        <f t="array" ref="Q907">IF(K907="",INDEX($K$2:$K$2501,MATCH(MAX(COUNTIF($K$2:$K$2501,$K$2:$K$2501)),COUNTIF($K$2:$K$2501,$K$2:$K$2501),0)),K907)</f>
        <v>B2B</v>
      </c>
    </row>
    <row r="908" spans="1:17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 s="3">
        <f t="shared" si="70"/>
        <v>-2868.7768181818178</v>
      </c>
      <c r="I908" s="1">
        <v>45853</v>
      </c>
      <c r="J908" t="s">
        <v>40</v>
      </c>
      <c r="L908" s="2">
        <f t="shared" si="71"/>
        <v>2868.7768181818178</v>
      </c>
      <c r="M908" s="4">
        <f t="shared" si="72"/>
        <v>0.6</v>
      </c>
      <c r="N908" s="1">
        <f t="shared" si="73"/>
        <v>45853</v>
      </c>
      <c r="O908" s="3">
        <f>(Table13[[#This Row],[Units_Sold]]*Table13[[#This Row],[Unit_Price_Cleaned]]*(1-Table13[[#This Row],[Discount Cleaned]]))</f>
        <v>-1147.5107272727271</v>
      </c>
      <c r="P908" t="str">
        <f t="shared" si="74"/>
        <v>Loss</v>
      </c>
      <c r="Q908" t="str" cm="1">
        <f t="array" ref="Q908">IF(K908="",INDEX($K$2:$K$2501,MATCH(MAX(COUNTIF($K$2:$K$2501,$K$2:$K$2501)),COUNTIF($K$2:$K$2501,$K$2:$K$2501),0)),K908)</f>
        <v>B2B</v>
      </c>
    </row>
    <row r="909" spans="1:17" x14ac:dyDescent="0.3">
      <c r="A909">
        <v>1907</v>
      </c>
      <c r="B909" t="s">
        <v>952</v>
      </c>
      <c r="C909" t="s">
        <v>20</v>
      </c>
      <c r="D909" t="s">
        <v>21</v>
      </c>
      <c r="E909">
        <v>2</v>
      </c>
      <c r="H909" s="3">
        <f t="shared" si="70"/>
        <v>5362.348727272727</v>
      </c>
      <c r="I909" s="1">
        <v>45633</v>
      </c>
      <c r="J909" t="s">
        <v>56</v>
      </c>
      <c r="L909" s="2">
        <f t="shared" si="71"/>
        <v>2681.1743636363635</v>
      </c>
      <c r="M909" s="4">
        <f t="shared" si="72"/>
        <v>0.6</v>
      </c>
      <c r="N909" s="1">
        <f t="shared" si="73"/>
        <v>45633</v>
      </c>
      <c r="O909" s="3">
        <f>(Table13[[#This Row],[Units_Sold]]*Table13[[#This Row],[Unit_Price_Cleaned]]*(1-Table13[[#This Row],[Discount Cleaned]]))</f>
        <v>2144.9394909090911</v>
      </c>
      <c r="P909" t="str">
        <f t="shared" si="74"/>
        <v>Profit</v>
      </c>
      <c r="Q909" t="str" cm="1">
        <f t="array" ref="Q909">IF(K909="",INDEX($K$2:$K$2501,MATCH(MAX(COUNTIF($K$2:$K$2501,$K$2:$K$2501)),COUNTIF($K$2:$K$2501,$K$2:$K$2501),0)),K909)</f>
        <v>B2B</v>
      </c>
    </row>
    <row r="910" spans="1:17" x14ac:dyDescent="0.3">
      <c r="A910">
        <v>1908</v>
      </c>
      <c r="B910" t="s">
        <v>953</v>
      </c>
      <c r="C910" t="s">
        <v>13</v>
      </c>
      <c r="D910" t="s">
        <v>36</v>
      </c>
      <c r="E910">
        <v>2</v>
      </c>
      <c r="H910" s="3">
        <f t="shared" si="70"/>
        <v>5765.0093103448271</v>
      </c>
      <c r="J910" t="s">
        <v>56</v>
      </c>
      <c r="L910" s="2">
        <f t="shared" si="71"/>
        <v>2882.5046551724135</v>
      </c>
      <c r="M910" s="4">
        <f t="shared" si="72"/>
        <v>0.6</v>
      </c>
      <c r="N910" s="1">
        <f t="shared" si="73"/>
        <v>45782</v>
      </c>
      <c r="O910" s="3">
        <f>(Table13[[#This Row],[Units_Sold]]*Table13[[#This Row],[Unit_Price_Cleaned]]*(1-Table13[[#This Row],[Discount Cleaned]]))</f>
        <v>2306.0037241379309</v>
      </c>
      <c r="P910" t="str">
        <f t="shared" si="74"/>
        <v>Profit</v>
      </c>
      <c r="Q910" t="str" cm="1">
        <f t="array" ref="Q910">IF(K910="",INDEX($K$2:$K$2501,MATCH(MAX(COUNTIF($K$2:$K$2501,$K$2:$K$2501)),COUNTIF($K$2:$K$2501,$K$2:$K$2501),0)),K910)</f>
        <v>B2B</v>
      </c>
    </row>
    <row r="911" spans="1:17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 s="3">
        <f t="shared" si="70"/>
        <v>3114.13</v>
      </c>
      <c r="I911" s="1">
        <v>45799</v>
      </c>
      <c r="J911" t="s">
        <v>46</v>
      </c>
      <c r="K911" t="s">
        <v>23</v>
      </c>
      <c r="L911" s="2">
        <f t="shared" si="71"/>
        <v>3114.13</v>
      </c>
      <c r="M911" s="4">
        <f t="shared" si="72"/>
        <v>0.6</v>
      </c>
      <c r="N911" s="1">
        <f t="shared" si="73"/>
        <v>45799</v>
      </c>
      <c r="O911" s="3">
        <f>(Table13[[#This Row],[Units_Sold]]*Table13[[#This Row],[Unit_Price_Cleaned]]*(1-Table13[[#This Row],[Discount Cleaned]]))</f>
        <v>1245.652</v>
      </c>
      <c r="P911" t="str">
        <f t="shared" si="74"/>
        <v>Profit</v>
      </c>
      <c r="Q911" t="str" cm="1">
        <f t="array" ref="Q911">IF(K911="",INDEX($K$2:$K$2501,MATCH(MAX(COUNTIF($K$2:$K$2501,$K$2:$K$2501)),COUNTIF($K$2:$K$2501,$K$2:$K$2501),0)),K911)</f>
        <v>B2B</v>
      </c>
    </row>
    <row r="912" spans="1:17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 s="3">
        <f t="shared" si="70"/>
        <v>0</v>
      </c>
      <c r="I912" s="1">
        <v>45710</v>
      </c>
      <c r="J912" t="s">
        <v>18</v>
      </c>
      <c r="K912" t="s">
        <v>23</v>
      </c>
      <c r="L912" s="2">
        <f t="shared" si="71"/>
        <v>2155.16</v>
      </c>
      <c r="M912" s="4">
        <f t="shared" si="72"/>
        <v>0.6</v>
      </c>
      <c r="N912" s="1">
        <f t="shared" si="73"/>
        <v>45710</v>
      </c>
      <c r="O912" s="3">
        <f>(Table13[[#This Row],[Units_Sold]]*Table13[[#This Row],[Unit_Price_Cleaned]]*(1-Table13[[#This Row],[Discount Cleaned]]))</f>
        <v>0</v>
      </c>
      <c r="P912" t="str">
        <f t="shared" si="74"/>
        <v>Loss</v>
      </c>
      <c r="Q912" t="str" cm="1">
        <f t="array" ref="Q912">IF(K912="",INDEX($K$2:$K$2501,MATCH(MAX(COUNTIF($K$2:$K$2501,$K$2:$K$2501)),COUNTIF($K$2:$K$2501,$K$2:$K$2501),0)),K912)</f>
        <v>B2B</v>
      </c>
    </row>
    <row r="913" spans="1:17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 s="3">
        <f t="shared" si="70"/>
        <v>14146.199999999999</v>
      </c>
      <c r="I913" s="1">
        <v>45521</v>
      </c>
      <c r="J913" t="s">
        <v>18</v>
      </c>
      <c r="L913" s="2">
        <f t="shared" si="71"/>
        <v>2357.6999999999998</v>
      </c>
      <c r="M913" s="4">
        <f t="shared" si="72"/>
        <v>0.6</v>
      </c>
      <c r="N913" s="1">
        <f t="shared" si="73"/>
        <v>45521</v>
      </c>
      <c r="O913" s="3">
        <f>(Table13[[#This Row],[Units_Sold]]*Table13[[#This Row],[Unit_Price_Cleaned]]*(1-Table13[[#This Row],[Discount Cleaned]]))</f>
        <v>5658.48</v>
      </c>
      <c r="P913" t="str">
        <f t="shared" si="74"/>
        <v>Profit</v>
      </c>
      <c r="Q913" t="str" cm="1">
        <f t="array" ref="Q913">IF(K913="",INDEX($K$2:$K$2501,MATCH(MAX(COUNTIF($K$2:$K$2501,$K$2:$K$2501)),COUNTIF($K$2:$K$2501,$K$2:$K$2501),0)),K913)</f>
        <v>B2B</v>
      </c>
    </row>
    <row r="914" spans="1:17" x14ac:dyDescent="0.3">
      <c r="A914">
        <v>1912</v>
      </c>
      <c r="B914" t="s">
        <v>957</v>
      </c>
      <c r="C914" t="s">
        <v>29</v>
      </c>
      <c r="D914" t="s">
        <v>30</v>
      </c>
      <c r="E914">
        <v>2</v>
      </c>
      <c r="H914" s="3">
        <f t="shared" si="70"/>
        <v>5235.2780769230776</v>
      </c>
      <c r="J914" t="s">
        <v>46</v>
      </c>
      <c r="K914" t="s">
        <v>16</v>
      </c>
      <c r="L914" s="2">
        <f t="shared" si="71"/>
        <v>2617.6390384615388</v>
      </c>
      <c r="M914" s="4">
        <f t="shared" si="72"/>
        <v>0.6</v>
      </c>
      <c r="N914" s="1">
        <f t="shared" si="73"/>
        <v>45782</v>
      </c>
      <c r="O914" s="3">
        <f>(Table13[[#This Row],[Units_Sold]]*Table13[[#This Row],[Unit_Price_Cleaned]]*(1-Table13[[#This Row],[Discount Cleaned]]))</f>
        <v>2094.111230769231</v>
      </c>
      <c r="P914" t="str">
        <f t="shared" si="74"/>
        <v>Profit</v>
      </c>
      <c r="Q914" t="str" cm="1">
        <f t="array" ref="Q914">IF(K914="",INDEX($K$2:$K$2501,MATCH(MAX(COUNTIF($K$2:$K$2501,$K$2:$K$2501)),COUNTIF($K$2:$K$2501,$K$2:$K$2501),0)),K914)</f>
        <v>B2C</v>
      </c>
    </row>
    <row r="915" spans="1:17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 s="3">
        <f t="shared" si="70"/>
        <v>14150.662857142866</v>
      </c>
      <c r="J915" t="s">
        <v>22</v>
      </c>
      <c r="K915" t="s">
        <v>16</v>
      </c>
      <c r="L915" s="2">
        <f t="shared" si="71"/>
        <v>2830.1325714285731</v>
      </c>
      <c r="M915" s="4">
        <f t="shared" si="72"/>
        <v>0.6</v>
      </c>
      <c r="N915" s="1">
        <f t="shared" si="73"/>
        <v>45782</v>
      </c>
      <c r="O915" s="3">
        <f>(Table13[[#This Row],[Units_Sold]]*Table13[[#This Row],[Unit_Price_Cleaned]]*(1-Table13[[#This Row],[Discount Cleaned]]))</f>
        <v>5660.2651428571471</v>
      </c>
      <c r="P915" t="str">
        <f t="shared" si="74"/>
        <v>Profit</v>
      </c>
      <c r="Q915" t="str" cm="1">
        <f t="array" ref="Q915">IF(K915="",INDEX($K$2:$K$2501,MATCH(MAX(COUNTIF($K$2:$K$2501,$K$2:$K$2501)),COUNTIF($K$2:$K$2501,$K$2:$K$2501),0)),K915)</f>
        <v>B2C</v>
      </c>
    </row>
    <row r="916" spans="1:17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 s="3">
        <f t="shared" si="70"/>
        <v>21968.94</v>
      </c>
      <c r="I916" s="1">
        <v>45848</v>
      </c>
      <c r="J916" t="s">
        <v>46</v>
      </c>
      <c r="L916" s="2">
        <f t="shared" si="71"/>
        <v>3661.49</v>
      </c>
      <c r="M916" s="4">
        <f t="shared" si="72"/>
        <v>0.11</v>
      </c>
      <c r="N916" s="1">
        <f t="shared" si="73"/>
        <v>45848</v>
      </c>
      <c r="O916" s="3">
        <f>(Table13[[#This Row],[Units_Sold]]*Table13[[#This Row],[Unit_Price_Cleaned]]*(1-Table13[[#This Row],[Discount Cleaned]]))</f>
        <v>19552.356599999999</v>
      </c>
      <c r="P916" t="str">
        <f t="shared" si="74"/>
        <v>Profit</v>
      </c>
      <c r="Q916" t="str" cm="1">
        <f t="array" ref="Q916">IF(K916="",INDEX($K$2:$K$2501,MATCH(MAX(COUNTIF($K$2:$K$2501,$K$2:$K$2501)),COUNTIF($K$2:$K$2501,$K$2:$K$2501),0)),K916)</f>
        <v>B2B</v>
      </c>
    </row>
    <row r="917" spans="1:17" x14ac:dyDescent="0.3">
      <c r="A917">
        <v>1915</v>
      </c>
      <c r="B917" t="s">
        <v>960</v>
      </c>
      <c r="C917" t="s">
        <v>29</v>
      </c>
      <c r="D917" t="s">
        <v>42</v>
      </c>
      <c r="E917">
        <v>2</v>
      </c>
      <c r="H917" s="3">
        <f t="shared" si="70"/>
        <v>5119.3334615384629</v>
      </c>
      <c r="I917" s="1">
        <v>45367</v>
      </c>
      <c r="J917" t="s">
        <v>15</v>
      </c>
      <c r="K917" t="s">
        <v>23</v>
      </c>
      <c r="L917" s="2">
        <f t="shared" si="71"/>
        <v>2559.6667307692314</v>
      </c>
      <c r="M917" s="4">
        <f t="shared" si="72"/>
        <v>0.6</v>
      </c>
      <c r="N917" s="1">
        <f t="shared" si="73"/>
        <v>45367</v>
      </c>
      <c r="O917" s="3">
        <f>(Table13[[#This Row],[Units_Sold]]*Table13[[#This Row],[Unit_Price_Cleaned]]*(1-Table13[[#This Row],[Discount Cleaned]]))</f>
        <v>2047.7333846153851</v>
      </c>
      <c r="P917" t="str">
        <f t="shared" si="74"/>
        <v>Profit</v>
      </c>
      <c r="Q917" t="str" cm="1">
        <f t="array" ref="Q917">IF(K917="",INDEX($K$2:$K$2501,MATCH(MAX(COUNTIF($K$2:$K$2501,$K$2:$K$2501)),COUNTIF($K$2:$K$2501,$K$2:$K$2501),0)),K917)</f>
        <v>B2B</v>
      </c>
    </row>
    <row r="918" spans="1:17" x14ac:dyDescent="0.3">
      <c r="A918">
        <v>1916</v>
      </c>
      <c r="B918" t="s">
        <v>961</v>
      </c>
      <c r="C918" t="s">
        <v>38</v>
      </c>
      <c r="D918" t="s">
        <v>59</v>
      </c>
      <c r="E918">
        <v>2</v>
      </c>
      <c r="F918">
        <v>2117.0700000000002</v>
      </c>
      <c r="G918">
        <v>0.13</v>
      </c>
      <c r="H918" s="3">
        <f t="shared" si="70"/>
        <v>4234.1400000000003</v>
      </c>
      <c r="I918" s="1">
        <v>45686</v>
      </c>
      <c r="J918" t="s">
        <v>15</v>
      </c>
      <c r="L918" s="2">
        <f t="shared" si="71"/>
        <v>2117.0700000000002</v>
      </c>
      <c r="M918" s="4">
        <f t="shared" si="72"/>
        <v>0.13</v>
      </c>
      <c r="N918" s="1">
        <f t="shared" si="73"/>
        <v>45686</v>
      </c>
      <c r="O918" s="3">
        <f>(Table13[[#This Row],[Units_Sold]]*Table13[[#This Row],[Unit_Price_Cleaned]]*(1-Table13[[#This Row],[Discount Cleaned]]))</f>
        <v>3683.7018000000003</v>
      </c>
      <c r="P918" t="str">
        <f t="shared" si="74"/>
        <v>Profit</v>
      </c>
      <c r="Q918" t="str" cm="1">
        <f t="array" ref="Q918">IF(K918="",INDEX($K$2:$K$2501,MATCH(MAX(COUNTIF($K$2:$K$2501,$K$2:$K$2501)),COUNTIF($K$2:$K$2501,$K$2:$K$2501),0)),K918)</f>
        <v>B2B</v>
      </c>
    </row>
    <row r="919" spans="1:17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 s="3">
        <f t="shared" si="70"/>
        <v>5145.5528000000013</v>
      </c>
      <c r="I919" s="1">
        <v>45630</v>
      </c>
      <c r="J919" t="s">
        <v>18</v>
      </c>
      <c r="L919" s="2">
        <f t="shared" si="71"/>
        <v>2572.7764000000006</v>
      </c>
      <c r="M919" s="4">
        <f t="shared" si="72"/>
        <v>0.6</v>
      </c>
      <c r="N919" s="1">
        <f t="shared" si="73"/>
        <v>45630</v>
      </c>
      <c r="O919" s="3">
        <f>(Table13[[#This Row],[Units_Sold]]*Table13[[#This Row],[Unit_Price_Cleaned]]*(1-Table13[[#This Row],[Discount Cleaned]]))</f>
        <v>2058.2211200000006</v>
      </c>
      <c r="P919" t="str">
        <f t="shared" si="74"/>
        <v>Profit</v>
      </c>
      <c r="Q919" t="str" cm="1">
        <f t="array" ref="Q919">IF(K919="",INDEX($K$2:$K$2501,MATCH(MAX(COUNTIF($K$2:$K$2501,$K$2:$K$2501)),COUNTIF($K$2:$K$2501,$K$2:$K$2501),0)),K919)</f>
        <v>B2B</v>
      </c>
    </row>
    <row r="920" spans="1:17" x14ac:dyDescent="0.3">
      <c r="A920">
        <v>1918</v>
      </c>
      <c r="B920" t="s">
        <v>963</v>
      </c>
      <c r="C920" t="s">
        <v>38</v>
      </c>
      <c r="D920" t="s">
        <v>91</v>
      </c>
      <c r="E920">
        <v>2</v>
      </c>
      <c r="F920">
        <v>581.49</v>
      </c>
      <c r="H920" s="3">
        <f t="shared" si="70"/>
        <v>1162.98</v>
      </c>
      <c r="I920" s="1">
        <v>45297</v>
      </c>
      <c r="J920" t="s">
        <v>18</v>
      </c>
      <c r="L920" s="2">
        <f t="shared" si="71"/>
        <v>581.49</v>
      </c>
      <c r="M920" s="4">
        <f t="shared" si="72"/>
        <v>0.6</v>
      </c>
      <c r="N920" s="1">
        <f t="shared" si="73"/>
        <v>45297</v>
      </c>
      <c r="O920" s="3">
        <f>(Table13[[#This Row],[Units_Sold]]*Table13[[#This Row],[Unit_Price_Cleaned]]*(1-Table13[[#This Row],[Discount Cleaned]]))</f>
        <v>465.19200000000001</v>
      </c>
      <c r="P920" t="str">
        <f t="shared" si="74"/>
        <v>Loss</v>
      </c>
      <c r="Q920" t="str" cm="1">
        <f t="array" ref="Q920">IF(K920="",INDEX($K$2:$K$2501,MATCH(MAX(COUNTIF($K$2:$K$2501,$K$2:$K$2501)),COUNTIF($K$2:$K$2501,$K$2:$K$2501),0)),K920)</f>
        <v>B2B</v>
      </c>
    </row>
    <row r="921" spans="1:17" x14ac:dyDescent="0.3">
      <c r="A921">
        <v>1919</v>
      </c>
      <c r="B921" t="s">
        <v>964</v>
      </c>
      <c r="C921" t="s">
        <v>38</v>
      </c>
      <c r="D921" t="s">
        <v>59</v>
      </c>
      <c r="E921">
        <v>2</v>
      </c>
      <c r="F921">
        <v>1460.71</v>
      </c>
      <c r="H921" s="3">
        <f t="shared" si="70"/>
        <v>2921.42</v>
      </c>
      <c r="J921" t="s">
        <v>18</v>
      </c>
      <c r="K921" t="s">
        <v>16</v>
      </c>
      <c r="L921" s="2">
        <f t="shared" si="71"/>
        <v>1460.71</v>
      </c>
      <c r="M921" s="4">
        <f t="shared" si="72"/>
        <v>0.6</v>
      </c>
      <c r="N921" s="1">
        <f t="shared" si="73"/>
        <v>45782</v>
      </c>
      <c r="O921" s="3">
        <f>(Table13[[#This Row],[Units_Sold]]*Table13[[#This Row],[Unit_Price_Cleaned]]*(1-Table13[[#This Row],[Discount Cleaned]]))</f>
        <v>1168.568</v>
      </c>
      <c r="P921" t="str">
        <f t="shared" si="74"/>
        <v>Profit</v>
      </c>
      <c r="Q921" t="str" cm="1">
        <f t="array" ref="Q921">IF(K921="",INDEX($K$2:$K$2501,MATCH(MAX(COUNTIF($K$2:$K$2501,$K$2:$K$2501)),COUNTIF($K$2:$K$2501,$K$2:$K$2501),0)),K921)</f>
        <v>B2C</v>
      </c>
    </row>
    <row r="922" spans="1:17" x14ac:dyDescent="0.3">
      <c r="A922">
        <v>1920</v>
      </c>
      <c r="B922" t="s">
        <v>965</v>
      </c>
      <c r="C922" t="s">
        <v>20</v>
      </c>
      <c r="D922" t="s">
        <v>88</v>
      </c>
      <c r="E922">
        <v>2</v>
      </c>
      <c r="F922">
        <v>4141.2299999999996</v>
      </c>
      <c r="H922" s="3">
        <f t="shared" si="70"/>
        <v>8282.4599999999991</v>
      </c>
      <c r="I922" s="1">
        <v>45552</v>
      </c>
      <c r="J922" t="s">
        <v>22</v>
      </c>
      <c r="L922" s="2">
        <f t="shared" si="71"/>
        <v>4141.2299999999996</v>
      </c>
      <c r="M922" s="4">
        <f t="shared" si="72"/>
        <v>0.6</v>
      </c>
      <c r="N922" s="1">
        <f t="shared" si="73"/>
        <v>45552</v>
      </c>
      <c r="O922" s="3">
        <f>(Table13[[#This Row],[Units_Sold]]*Table13[[#This Row],[Unit_Price_Cleaned]]*(1-Table13[[#This Row],[Discount Cleaned]]))</f>
        <v>3312.9839999999999</v>
      </c>
      <c r="P922" t="str">
        <f t="shared" si="74"/>
        <v>Profit</v>
      </c>
      <c r="Q922" t="str" cm="1">
        <f t="array" ref="Q922">IF(K922="",INDEX($K$2:$K$2501,MATCH(MAX(COUNTIF($K$2:$K$2501,$K$2:$K$2501)),COUNTIF($K$2:$K$2501,$K$2:$K$2501),0)),K922)</f>
        <v>B2B</v>
      </c>
    </row>
    <row r="923" spans="1:17" x14ac:dyDescent="0.3">
      <c r="A923">
        <v>1921</v>
      </c>
      <c r="B923" t="s">
        <v>966</v>
      </c>
      <c r="C923" t="s">
        <v>29</v>
      </c>
      <c r="D923" t="s">
        <v>120</v>
      </c>
      <c r="E923">
        <v>2</v>
      </c>
      <c r="F923">
        <v>4224.3100000000004</v>
      </c>
      <c r="H923" s="3">
        <f t="shared" si="70"/>
        <v>8448.6200000000008</v>
      </c>
      <c r="J923" t="s">
        <v>56</v>
      </c>
      <c r="K923" t="s">
        <v>23</v>
      </c>
      <c r="L923" s="2">
        <f t="shared" si="71"/>
        <v>4224.3100000000004</v>
      </c>
      <c r="M923" s="4">
        <f t="shared" si="72"/>
        <v>0.6</v>
      </c>
      <c r="N923" s="1">
        <f t="shared" si="73"/>
        <v>45782</v>
      </c>
      <c r="O923" s="3">
        <f>(Table13[[#This Row],[Units_Sold]]*Table13[[#This Row],[Unit_Price_Cleaned]]*(1-Table13[[#This Row],[Discount Cleaned]]))</f>
        <v>3379.4480000000003</v>
      </c>
      <c r="P923" t="str">
        <f t="shared" si="74"/>
        <v>Profit</v>
      </c>
      <c r="Q923" t="str" cm="1">
        <f t="array" ref="Q923">IF(K923="",INDEX($K$2:$K$2501,MATCH(MAX(COUNTIF($K$2:$K$2501,$K$2:$K$2501)),COUNTIF($K$2:$K$2501,$K$2:$K$2501),0)),K923)</f>
        <v>B2B</v>
      </c>
    </row>
    <row r="924" spans="1:17" x14ac:dyDescent="0.3">
      <c r="A924">
        <v>1922</v>
      </c>
      <c r="B924" t="s">
        <v>967</v>
      </c>
      <c r="C924" t="s">
        <v>38</v>
      </c>
      <c r="D924" t="s">
        <v>63</v>
      </c>
      <c r="E924">
        <v>2</v>
      </c>
      <c r="H924" s="3">
        <f t="shared" si="70"/>
        <v>5690.4839344262318</v>
      </c>
      <c r="I924" s="1">
        <v>45693</v>
      </c>
      <c r="J924" t="s">
        <v>15</v>
      </c>
      <c r="L924" s="2">
        <f t="shared" si="71"/>
        <v>2845.2419672131159</v>
      </c>
      <c r="M924" s="4">
        <f t="shared" si="72"/>
        <v>0.6</v>
      </c>
      <c r="N924" s="1">
        <f t="shared" si="73"/>
        <v>45693</v>
      </c>
      <c r="O924" s="3">
        <f>(Table13[[#This Row],[Units_Sold]]*Table13[[#This Row],[Unit_Price_Cleaned]]*(1-Table13[[#This Row],[Discount Cleaned]]))</f>
        <v>2276.193573770493</v>
      </c>
      <c r="P924" t="str">
        <f t="shared" si="74"/>
        <v>Profit</v>
      </c>
      <c r="Q924" t="str" cm="1">
        <f t="array" ref="Q924">IF(K924="",INDEX($K$2:$K$2501,MATCH(MAX(COUNTIF($K$2:$K$2501,$K$2:$K$2501)),COUNTIF($K$2:$K$2501,$K$2:$K$2501),0)),K924)</f>
        <v>B2B</v>
      </c>
    </row>
    <row r="925" spans="1:17" x14ac:dyDescent="0.3">
      <c r="A925">
        <v>1923</v>
      </c>
      <c r="B925" t="s">
        <v>968</v>
      </c>
      <c r="C925" t="s">
        <v>20</v>
      </c>
      <c r="D925" t="s">
        <v>21</v>
      </c>
      <c r="E925">
        <v>2</v>
      </c>
      <c r="F925">
        <v>3865.62</v>
      </c>
      <c r="H925" s="3">
        <f t="shared" si="70"/>
        <v>7731.24</v>
      </c>
      <c r="I925" s="1">
        <v>45807</v>
      </c>
      <c r="J925" t="s">
        <v>40</v>
      </c>
      <c r="L925" s="2">
        <f t="shared" si="71"/>
        <v>3865.62</v>
      </c>
      <c r="M925" s="4">
        <f t="shared" si="72"/>
        <v>0.6</v>
      </c>
      <c r="N925" s="1">
        <f t="shared" si="73"/>
        <v>45807</v>
      </c>
      <c r="O925" s="3">
        <f>(Table13[[#This Row],[Units_Sold]]*Table13[[#This Row],[Unit_Price_Cleaned]]*(1-Table13[[#This Row],[Discount Cleaned]]))</f>
        <v>3092.4960000000001</v>
      </c>
      <c r="P925" t="str">
        <f t="shared" si="74"/>
        <v>Profit</v>
      </c>
      <c r="Q925" t="str" cm="1">
        <f t="array" ref="Q925">IF(K925="",INDEX($K$2:$K$2501,MATCH(MAX(COUNTIF($K$2:$K$2501,$K$2:$K$2501)),COUNTIF($K$2:$K$2501,$K$2:$K$2501),0)),K925)</f>
        <v>B2B</v>
      </c>
    </row>
    <row r="926" spans="1:17" x14ac:dyDescent="0.3">
      <c r="A926">
        <v>1924</v>
      </c>
      <c r="B926" t="s">
        <v>969</v>
      </c>
      <c r="C926" t="s">
        <v>13</v>
      </c>
      <c r="D926" t="s">
        <v>36</v>
      </c>
      <c r="E926">
        <v>2</v>
      </c>
      <c r="F926">
        <v>2999.49</v>
      </c>
      <c r="H926" s="3">
        <f t="shared" si="70"/>
        <v>5998.98</v>
      </c>
      <c r="I926" s="1">
        <v>45304</v>
      </c>
      <c r="J926" t="s">
        <v>18</v>
      </c>
      <c r="L926" s="2">
        <f t="shared" si="71"/>
        <v>2999.49</v>
      </c>
      <c r="M926" s="4">
        <f t="shared" si="72"/>
        <v>0.6</v>
      </c>
      <c r="N926" s="1">
        <f t="shared" si="73"/>
        <v>45304</v>
      </c>
      <c r="O926" s="3">
        <f>(Table13[[#This Row],[Units_Sold]]*Table13[[#This Row],[Unit_Price_Cleaned]]*(1-Table13[[#This Row],[Discount Cleaned]]))</f>
        <v>2399.5920000000001</v>
      </c>
      <c r="P926" t="str">
        <f t="shared" si="74"/>
        <v>Profit</v>
      </c>
      <c r="Q926" t="str" cm="1">
        <f t="array" ref="Q926">IF(K926="",INDEX($K$2:$K$2501,MATCH(MAX(COUNTIF($K$2:$K$2501,$K$2:$K$2501)),COUNTIF($K$2:$K$2501,$K$2:$K$2501),0)),K926)</f>
        <v>B2B</v>
      </c>
    </row>
    <row r="927" spans="1:17" x14ac:dyDescent="0.3">
      <c r="A927">
        <v>1925</v>
      </c>
      <c r="B927" t="s">
        <v>970</v>
      </c>
      <c r="C927" t="s">
        <v>29</v>
      </c>
      <c r="D927" t="s">
        <v>141</v>
      </c>
      <c r="E927">
        <v>2</v>
      </c>
      <c r="F927">
        <v>1429.24</v>
      </c>
      <c r="H927" s="3">
        <f t="shared" si="70"/>
        <v>2858.48</v>
      </c>
      <c r="I927" s="1">
        <v>45604</v>
      </c>
      <c r="J927" t="s">
        <v>15</v>
      </c>
      <c r="L927" s="2">
        <f t="shared" si="71"/>
        <v>1429.24</v>
      </c>
      <c r="M927" s="4">
        <f t="shared" si="72"/>
        <v>0.6</v>
      </c>
      <c r="N927" s="1">
        <f t="shared" si="73"/>
        <v>45604</v>
      </c>
      <c r="O927" s="3">
        <f>(Table13[[#This Row],[Units_Sold]]*Table13[[#This Row],[Unit_Price_Cleaned]]*(1-Table13[[#This Row],[Discount Cleaned]]))</f>
        <v>1143.3920000000001</v>
      </c>
      <c r="P927" t="str">
        <f t="shared" si="74"/>
        <v>Profit</v>
      </c>
      <c r="Q927" t="str" cm="1">
        <f t="array" ref="Q927">IF(K927="",INDEX($K$2:$K$2501,MATCH(MAX(COUNTIF($K$2:$K$2501,$K$2:$K$2501)),COUNTIF($K$2:$K$2501,$K$2:$K$2501),0)),K927)</f>
        <v>B2B</v>
      </c>
    </row>
    <row r="928" spans="1:17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 s="3">
        <f t="shared" si="70"/>
        <v>-5066.74</v>
      </c>
      <c r="I928" s="1">
        <v>45508</v>
      </c>
      <c r="J928" t="s">
        <v>40</v>
      </c>
      <c r="K928" t="s">
        <v>16</v>
      </c>
      <c r="L928" s="2">
        <f t="shared" si="71"/>
        <v>2533.37</v>
      </c>
      <c r="M928" s="4">
        <f t="shared" si="72"/>
        <v>0.6</v>
      </c>
      <c r="N928" s="1">
        <f t="shared" si="73"/>
        <v>45508</v>
      </c>
      <c r="O928" s="3">
        <f>(Table13[[#This Row],[Units_Sold]]*Table13[[#This Row],[Unit_Price_Cleaned]]*(1-Table13[[#This Row],[Discount Cleaned]]))</f>
        <v>-2026.6959999999999</v>
      </c>
      <c r="P928" t="str">
        <f t="shared" si="74"/>
        <v>Loss</v>
      </c>
      <c r="Q928" t="str" cm="1">
        <f t="array" ref="Q928">IF(K928="",INDEX($K$2:$K$2501,MATCH(MAX(COUNTIF($K$2:$K$2501,$K$2:$K$2501)),COUNTIF($K$2:$K$2501,$K$2:$K$2501),0)),K928)</f>
        <v>B2C</v>
      </c>
    </row>
    <row r="929" spans="1:17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 s="3">
        <f t="shared" si="70"/>
        <v>13577.729245283012</v>
      </c>
      <c r="I929" s="1">
        <v>45777</v>
      </c>
      <c r="J929" t="s">
        <v>56</v>
      </c>
      <c r="K929" t="s">
        <v>23</v>
      </c>
      <c r="L929" s="2">
        <f t="shared" si="71"/>
        <v>2715.5458490566025</v>
      </c>
      <c r="M929" s="4">
        <f t="shared" si="72"/>
        <v>0.6</v>
      </c>
      <c r="N929" s="1">
        <f t="shared" si="73"/>
        <v>45777</v>
      </c>
      <c r="O929" s="3">
        <f>(Table13[[#This Row],[Units_Sold]]*Table13[[#This Row],[Unit_Price_Cleaned]]*(1-Table13[[#This Row],[Discount Cleaned]]))</f>
        <v>5431.091698113205</v>
      </c>
      <c r="P929" t="str">
        <f t="shared" si="74"/>
        <v>Profit</v>
      </c>
      <c r="Q929" t="str" cm="1">
        <f t="array" ref="Q929">IF(K929="",INDEX($K$2:$K$2501,MATCH(MAX(COUNTIF($K$2:$K$2501,$K$2:$K$2501)),COUNTIF($K$2:$K$2501,$K$2:$K$2501),0)),K929)</f>
        <v>B2B</v>
      </c>
    </row>
    <row r="930" spans="1:17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 s="3">
        <f t="shared" si="70"/>
        <v>-6016.7688888888888</v>
      </c>
      <c r="I930" s="1">
        <v>45438</v>
      </c>
      <c r="J930" t="s">
        <v>15</v>
      </c>
      <c r="K930" t="s">
        <v>23</v>
      </c>
      <c r="L930" s="2">
        <f t="shared" si="71"/>
        <v>3008.3844444444444</v>
      </c>
      <c r="M930" s="4">
        <f t="shared" si="72"/>
        <v>0.6</v>
      </c>
      <c r="N930" s="1">
        <f t="shared" si="73"/>
        <v>45438</v>
      </c>
      <c r="O930" s="3">
        <f>(Table13[[#This Row],[Units_Sold]]*Table13[[#This Row],[Unit_Price_Cleaned]]*(1-Table13[[#This Row],[Discount Cleaned]]))</f>
        <v>-2406.7075555555557</v>
      </c>
      <c r="P930" t="str">
        <f t="shared" si="74"/>
        <v>Loss</v>
      </c>
      <c r="Q930" t="str" cm="1">
        <f t="array" ref="Q930">IF(K930="",INDEX($K$2:$K$2501,MATCH(MAX(COUNTIF($K$2:$K$2501,$K$2:$K$2501)),COUNTIF($K$2:$K$2501,$K$2:$K$2501),0)),K930)</f>
        <v>B2B</v>
      </c>
    </row>
    <row r="931" spans="1:17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 s="3">
        <f t="shared" si="70"/>
        <v>-7236.96</v>
      </c>
      <c r="J931" t="s">
        <v>15</v>
      </c>
      <c r="K931" t="s">
        <v>23</v>
      </c>
      <c r="L931" s="2">
        <f t="shared" si="71"/>
        <v>3618.48</v>
      </c>
      <c r="M931" s="4">
        <f t="shared" si="72"/>
        <v>0.6</v>
      </c>
      <c r="N931" s="1">
        <f t="shared" si="73"/>
        <v>45782</v>
      </c>
      <c r="O931" s="3">
        <f>(Table13[[#This Row],[Units_Sold]]*Table13[[#This Row],[Unit_Price_Cleaned]]*(1-Table13[[#This Row],[Discount Cleaned]]))</f>
        <v>-2894.7840000000001</v>
      </c>
      <c r="P931" t="str">
        <f t="shared" si="74"/>
        <v>Loss</v>
      </c>
      <c r="Q931" t="str" cm="1">
        <f t="array" ref="Q931">IF(K931="",INDEX($K$2:$K$2501,MATCH(MAX(COUNTIF($K$2:$K$2501,$K$2:$K$2501)),COUNTIF($K$2:$K$2501,$K$2:$K$2501),0)),K931)</f>
        <v>B2B</v>
      </c>
    </row>
    <row r="932" spans="1:17" x14ac:dyDescent="0.3">
      <c r="A932">
        <v>1930</v>
      </c>
      <c r="B932" t="s">
        <v>975</v>
      </c>
      <c r="C932" t="s">
        <v>13</v>
      </c>
      <c r="D932" t="s">
        <v>36</v>
      </c>
      <c r="E932">
        <v>2</v>
      </c>
      <c r="F932">
        <v>3017.82</v>
      </c>
      <c r="H932" s="3">
        <f t="shared" si="70"/>
        <v>6035.64</v>
      </c>
      <c r="J932" t="s">
        <v>18</v>
      </c>
      <c r="K932" t="s">
        <v>23</v>
      </c>
      <c r="L932" s="2">
        <f t="shared" si="71"/>
        <v>3017.82</v>
      </c>
      <c r="M932" s="4">
        <f t="shared" si="72"/>
        <v>0.6</v>
      </c>
      <c r="N932" s="1">
        <f t="shared" si="73"/>
        <v>45782</v>
      </c>
      <c r="O932" s="3">
        <f>(Table13[[#This Row],[Units_Sold]]*Table13[[#This Row],[Unit_Price_Cleaned]]*(1-Table13[[#This Row],[Discount Cleaned]]))</f>
        <v>2414.2560000000003</v>
      </c>
      <c r="P932" t="str">
        <f t="shared" si="74"/>
        <v>Profit</v>
      </c>
      <c r="Q932" t="str" cm="1">
        <f t="array" ref="Q932">IF(K932="",INDEX($K$2:$K$2501,MATCH(MAX(COUNTIF($K$2:$K$2501,$K$2:$K$2501)),COUNTIF($K$2:$K$2501,$K$2:$K$2501),0)),K932)</f>
        <v>B2B</v>
      </c>
    </row>
    <row r="933" spans="1:17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 s="3">
        <f t="shared" si="70"/>
        <v>-2882.5046551724135</v>
      </c>
      <c r="J933" t="s">
        <v>46</v>
      </c>
      <c r="L933" s="2">
        <f t="shared" si="71"/>
        <v>2882.5046551724135</v>
      </c>
      <c r="M933" s="4">
        <f t="shared" si="72"/>
        <v>0.6</v>
      </c>
      <c r="N933" s="1">
        <f t="shared" si="73"/>
        <v>45782</v>
      </c>
      <c r="O933" s="3">
        <f>(Table13[[#This Row],[Units_Sold]]*Table13[[#This Row],[Unit_Price_Cleaned]]*(1-Table13[[#This Row],[Discount Cleaned]]))</f>
        <v>-1153.0018620689655</v>
      </c>
      <c r="P933" t="str">
        <f t="shared" si="74"/>
        <v>Loss</v>
      </c>
      <c r="Q933" t="str" cm="1">
        <f t="array" ref="Q933">IF(K933="",INDEX($K$2:$K$2501,MATCH(MAX(COUNTIF($K$2:$K$2501,$K$2:$K$2501)),COUNTIF($K$2:$K$2501,$K$2:$K$2501),0)),K933)</f>
        <v>B2B</v>
      </c>
    </row>
    <row r="934" spans="1:17" x14ac:dyDescent="0.3">
      <c r="A934">
        <v>1932</v>
      </c>
      <c r="B934" t="s">
        <v>977</v>
      </c>
      <c r="C934" t="s">
        <v>33</v>
      </c>
      <c r="D934" t="s">
        <v>34</v>
      </c>
      <c r="E934">
        <v>2</v>
      </c>
      <c r="F934">
        <v>436.31</v>
      </c>
      <c r="H934" s="3">
        <f t="shared" si="70"/>
        <v>872.62</v>
      </c>
      <c r="I934" s="1">
        <v>45209</v>
      </c>
      <c r="J934" t="s">
        <v>46</v>
      </c>
      <c r="K934" t="s">
        <v>23</v>
      </c>
      <c r="L934" s="2">
        <f t="shared" si="71"/>
        <v>436.31</v>
      </c>
      <c r="M934" s="4">
        <f t="shared" si="72"/>
        <v>0.6</v>
      </c>
      <c r="N934" s="1">
        <f t="shared" si="73"/>
        <v>45209</v>
      </c>
      <c r="O934" s="3">
        <f>(Table13[[#This Row],[Units_Sold]]*Table13[[#This Row],[Unit_Price_Cleaned]]*(1-Table13[[#This Row],[Discount Cleaned]]))</f>
        <v>349.048</v>
      </c>
      <c r="P934" t="str">
        <f t="shared" si="74"/>
        <v>Loss</v>
      </c>
      <c r="Q934" t="str" cm="1">
        <f t="array" ref="Q934">IF(K934="",INDEX($K$2:$K$2501,MATCH(MAX(COUNTIF($K$2:$K$2501,$K$2:$K$2501)),COUNTIF($K$2:$K$2501,$K$2:$K$2501),0)),K934)</f>
        <v>B2B</v>
      </c>
    </row>
    <row r="935" spans="1:17" x14ac:dyDescent="0.3">
      <c r="A935">
        <v>1933</v>
      </c>
      <c r="B935" t="s">
        <v>978</v>
      </c>
      <c r="C935" t="s">
        <v>20</v>
      </c>
      <c r="D935" t="s">
        <v>122</v>
      </c>
      <c r="E935">
        <v>2</v>
      </c>
      <c r="F935">
        <v>1403.41</v>
      </c>
      <c r="H935" s="3">
        <f t="shared" si="70"/>
        <v>2806.82</v>
      </c>
      <c r="J935" t="s">
        <v>46</v>
      </c>
      <c r="K935" t="s">
        <v>23</v>
      </c>
      <c r="L935" s="2">
        <f t="shared" si="71"/>
        <v>1403.41</v>
      </c>
      <c r="M935" s="4">
        <f t="shared" si="72"/>
        <v>0.6</v>
      </c>
      <c r="N935" s="1">
        <f t="shared" si="73"/>
        <v>45782</v>
      </c>
      <c r="O935" s="3">
        <f>(Table13[[#This Row],[Units_Sold]]*Table13[[#This Row],[Unit_Price_Cleaned]]*(1-Table13[[#This Row],[Discount Cleaned]]))</f>
        <v>1122.7280000000001</v>
      </c>
      <c r="P935" t="str">
        <f t="shared" si="74"/>
        <v>Profit</v>
      </c>
      <c r="Q935" t="str" cm="1">
        <f t="array" ref="Q935">IF(K935="",INDEX($K$2:$K$2501,MATCH(MAX(COUNTIF($K$2:$K$2501,$K$2:$K$2501)),COUNTIF($K$2:$K$2501,$K$2:$K$2501),0)),K935)</f>
        <v>B2B</v>
      </c>
    </row>
    <row r="936" spans="1:17" x14ac:dyDescent="0.3">
      <c r="A936">
        <v>1934</v>
      </c>
      <c r="B936" t="s">
        <v>979</v>
      </c>
      <c r="C936" t="s">
        <v>13</v>
      </c>
      <c r="D936" t="s">
        <v>49</v>
      </c>
      <c r="E936">
        <v>2</v>
      </c>
      <c r="F936">
        <v>3369.03</v>
      </c>
      <c r="H936" s="3">
        <f t="shared" si="70"/>
        <v>6738.06</v>
      </c>
      <c r="I936" s="1">
        <v>45552</v>
      </c>
      <c r="J936" t="s">
        <v>56</v>
      </c>
      <c r="L936" s="2">
        <f t="shared" si="71"/>
        <v>3369.03</v>
      </c>
      <c r="M936" s="4">
        <f t="shared" si="72"/>
        <v>0.6</v>
      </c>
      <c r="N936" s="1">
        <f t="shared" si="73"/>
        <v>45552</v>
      </c>
      <c r="O936" s="3">
        <f>(Table13[[#This Row],[Units_Sold]]*Table13[[#This Row],[Unit_Price_Cleaned]]*(1-Table13[[#This Row],[Discount Cleaned]]))</f>
        <v>2695.2240000000002</v>
      </c>
      <c r="P936" t="str">
        <f t="shared" si="74"/>
        <v>Profit</v>
      </c>
      <c r="Q936" t="str" cm="1">
        <f t="array" ref="Q936">IF(K936="",INDEX($K$2:$K$2501,MATCH(MAX(COUNTIF($K$2:$K$2501,$K$2:$K$2501)),COUNTIF($K$2:$K$2501,$K$2:$K$2501),0)),K936)</f>
        <v>B2B</v>
      </c>
    </row>
    <row r="937" spans="1:17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 s="3">
        <f t="shared" si="70"/>
        <v>16087.046181818181</v>
      </c>
      <c r="I937" s="1">
        <v>45654</v>
      </c>
      <c r="J937" t="s">
        <v>22</v>
      </c>
      <c r="L937" s="2">
        <f t="shared" si="71"/>
        <v>2681.1743636363635</v>
      </c>
      <c r="M937" s="4">
        <f t="shared" si="72"/>
        <v>0.6</v>
      </c>
      <c r="N937" s="1">
        <f t="shared" si="73"/>
        <v>45654</v>
      </c>
      <c r="O937" s="3">
        <f>(Table13[[#This Row],[Units_Sold]]*Table13[[#This Row],[Unit_Price_Cleaned]]*(1-Table13[[#This Row],[Discount Cleaned]]))</f>
        <v>6434.8184727272728</v>
      </c>
      <c r="P937" t="str">
        <f t="shared" si="74"/>
        <v>Profit</v>
      </c>
      <c r="Q937" t="str" cm="1">
        <f t="array" ref="Q937">IF(K937="",INDEX($K$2:$K$2501,MATCH(MAX(COUNTIF($K$2:$K$2501,$K$2:$K$2501)),COUNTIF($K$2:$K$2501,$K$2:$K$2501),0)),K937)</f>
        <v>B2B</v>
      </c>
    </row>
    <row r="938" spans="1:17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 s="3">
        <f t="shared" si="70"/>
        <v>4023.8999999999996</v>
      </c>
      <c r="I938" s="1">
        <v>45667</v>
      </c>
      <c r="J938" t="s">
        <v>18</v>
      </c>
      <c r="L938" s="2">
        <f t="shared" si="71"/>
        <v>804.78</v>
      </c>
      <c r="M938" s="4">
        <f t="shared" si="72"/>
        <v>0.6</v>
      </c>
      <c r="N938" s="1">
        <f t="shared" si="73"/>
        <v>45667</v>
      </c>
      <c r="O938" s="3">
        <f>(Table13[[#This Row],[Units_Sold]]*Table13[[#This Row],[Unit_Price_Cleaned]]*(1-Table13[[#This Row],[Discount Cleaned]]))</f>
        <v>1609.56</v>
      </c>
      <c r="P938" t="str">
        <f t="shared" si="74"/>
        <v>Profit</v>
      </c>
      <c r="Q938" t="str" cm="1">
        <f t="array" ref="Q938">IF(K938="",INDEX($K$2:$K$2501,MATCH(MAX(COUNTIF($K$2:$K$2501,$K$2:$K$2501)),COUNTIF($K$2:$K$2501,$K$2:$K$2501),0)),K938)</f>
        <v>B2B</v>
      </c>
    </row>
    <row r="939" spans="1:17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 s="3">
        <f t="shared" si="70"/>
        <v>2572.96</v>
      </c>
      <c r="I939" s="1">
        <v>45795</v>
      </c>
      <c r="J939" t="s">
        <v>18</v>
      </c>
      <c r="K939" t="s">
        <v>16</v>
      </c>
      <c r="L939" s="2">
        <f t="shared" si="71"/>
        <v>643.24</v>
      </c>
      <c r="M939" s="4">
        <f t="shared" si="72"/>
        <v>0.6</v>
      </c>
      <c r="N939" s="1">
        <f t="shared" si="73"/>
        <v>45795</v>
      </c>
      <c r="O939" s="3">
        <f>(Table13[[#This Row],[Units_Sold]]*Table13[[#This Row],[Unit_Price_Cleaned]]*(1-Table13[[#This Row],[Discount Cleaned]]))</f>
        <v>1029.184</v>
      </c>
      <c r="P939" t="str">
        <f t="shared" si="74"/>
        <v>Profit</v>
      </c>
      <c r="Q939" t="str" cm="1">
        <f t="array" ref="Q939">IF(K939="",INDEX($K$2:$K$2501,MATCH(MAX(COUNTIF($K$2:$K$2501,$K$2:$K$2501)),COUNTIF($K$2:$K$2501,$K$2:$K$2501),0)),K939)</f>
        <v>B2C</v>
      </c>
    </row>
    <row r="940" spans="1:17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 s="3">
        <f t="shared" si="70"/>
        <v>10724.697454545454</v>
      </c>
      <c r="I940" s="1">
        <v>45806</v>
      </c>
      <c r="J940" t="s">
        <v>56</v>
      </c>
      <c r="K940" t="s">
        <v>16</v>
      </c>
      <c r="L940" s="2">
        <f t="shared" si="71"/>
        <v>2681.1743636363635</v>
      </c>
      <c r="M940" s="4">
        <f t="shared" si="72"/>
        <v>0.34</v>
      </c>
      <c r="N940" s="1">
        <f t="shared" si="73"/>
        <v>45806</v>
      </c>
      <c r="O940" s="3">
        <f>(Table13[[#This Row],[Units_Sold]]*Table13[[#This Row],[Unit_Price_Cleaned]]*(1-Table13[[#This Row],[Discount Cleaned]]))</f>
        <v>7078.3003199999985</v>
      </c>
      <c r="P940" t="str">
        <f t="shared" si="74"/>
        <v>Profit</v>
      </c>
      <c r="Q940" t="str" cm="1">
        <f t="array" ref="Q940">IF(K940="",INDEX($K$2:$K$2501,MATCH(MAX(COUNTIF($K$2:$K$2501,$K$2:$K$2501)),COUNTIF($K$2:$K$2501,$K$2:$K$2501),0)),K940)</f>
        <v>B2C</v>
      </c>
    </row>
    <row r="941" spans="1:17" x14ac:dyDescent="0.3">
      <c r="A941">
        <v>1939</v>
      </c>
      <c r="B941" t="s">
        <v>984</v>
      </c>
      <c r="C941" t="s">
        <v>20</v>
      </c>
      <c r="D941" t="s">
        <v>122</v>
      </c>
      <c r="E941">
        <v>2</v>
      </c>
      <c r="G941">
        <v>0.99</v>
      </c>
      <c r="H941" s="3">
        <f t="shared" si="70"/>
        <v>5400.2526086956505</v>
      </c>
      <c r="I941" s="1">
        <v>45840</v>
      </c>
      <c r="J941" t="s">
        <v>40</v>
      </c>
      <c r="K941" t="s">
        <v>23</v>
      </c>
      <c r="L941" s="2">
        <f t="shared" si="71"/>
        <v>2700.1263043478252</v>
      </c>
      <c r="M941" s="4">
        <f t="shared" si="72"/>
        <v>0.99</v>
      </c>
      <c r="N941" s="1">
        <f t="shared" si="73"/>
        <v>45840</v>
      </c>
      <c r="O941" s="3">
        <f>(Table13[[#This Row],[Units_Sold]]*Table13[[#This Row],[Unit_Price_Cleaned]]*(1-Table13[[#This Row],[Discount Cleaned]]))</f>
        <v>54.00252608695655</v>
      </c>
      <c r="P941" t="str">
        <f t="shared" si="74"/>
        <v>Loss</v>
      </c>
      <c r="Q941" t="str" cm="1">
        <f t="array" ref="Q941">IF(K941="",INDEX($K$2:$K$2501,MATCH(MAX(COUNTIF($K$2:$K$2501,$K$2:$K$2501)),COUNTIF($K$2:$K$2501,$K$2:$K$2501),0)),K941)</f>
        <v>B2B</v>
      </c>
    </row>
    <row r="942" spans="1:17" x14ac:dyDescent="0.3">
      <c r="A942">
        <v>1940</v>
      </c>
      <c r="B942" t="s">
        <v>985</v>
      </c>
      <c r="C942" t="s">
        <v>38</v>
      </c>
      <c r="D942" t="s">
        <v>91</v>
      </c>
      <c r="E942">
        <v>2</v>
      </c>
      <c r="F942">
        <v>3428.02</v>
      </c>
      <c r="H942" s="3">
        <f t="shared" si="70"/>
        <v>6856.04</v>
      </c>
      <c r="I942" s="1">
        <v>45599</v>
      </c>
      <c r="J942" t="s">
        <v>22</v>
      </c>
      <c r="K942" t="s">
        <v>23</v>
      </c>
      <c r="L942" s="2">
        <f t="shared" si="71"/>
        <v>3428.02</v>
      </c>
      <c r="M942" s="4">
        <f t="shared" si="72"/>
        <v>0.6</v>
      </c>
      <c r="N942" s="1">
        <f t="shared" si="73"/>
        <v>45599</v>
      </c>
      <c r="O942" s="3">
        <f>(Table13[[#This Row],[Units_Sold]]*Table13[[#This Row],[Unit_Price_Cleaned]]*(1-Table13[[#This Row],[Discount Cleaned]]))</f>
        <v>2742.4160000000002</v>
      </c>
      <c r="P942" t="str">
        <f t="shared" si="74"/>
        <v>Profit</v>
      </c>
      <c r="Q942" t="str" cm="1">
        <f t="array" ref="Q942">IF(K942="",INDEX($K$2:$K$2501,MATCH(MAX(COUNTIF($K$2:$K$2501,$K$2:$K$2501)),COUNTIF($K$2:$K$2501,$K$2:$K$2501),0)),K942)</f>
        <v>B2B</v>
      </c>
    </row>
    <row r="943" spans="1:17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 s="3">
        <f t="shared" si="70"/>
        <v>11555.485714285714</v>
      </c>
      <c r="I943" s="1">
        <v>45666</v>
      </c>
      <c r="J943" t="s">
        <v>18</v>
      </c>
      <c r="L943" s="2">
        <f t="shared" si="71"/>
        <v>2888.8714285714286</v>
      </c>
      <c r="M943" s="4">
        <f t="shared" si="72"/>
        <v>0.6</v>
      </c>
      <c r="N943" s="1">
        <f t="shared" si="73"/>
        <v>45666</v>
      </c>
      <c r="O943" s="3">
        <f>(Table13[[#This Row],[Units_Sold]]*Table13[[#This Row],[Unit_Price_Cleaned]]*(1-Table13[[#This Row],[Discount Cleaned]]))</f>
        <v>4622.1942857142858</v>
      </c>
      <c r="P943" t="str">
        <f t="shared" si="74"/>
        <v>Profit</v>
      </c>
      <c r="Q943" t="str" cm="1">
        <f t="array" ref="Q943">IF(K943="",INDEX($K$2:$K$2501,MATCH(MAX(COUNTIF($K$2:$K$2501,$K$2:$K$2501)),COUNTIF($K$2:$K$2501,$K$2:$K$2501),0)),K943)</f>
        <v>B2B</v>
      </c>
    </row>
    <row r="944" spans="1:17" x14ac:dyDescent="0.3">
      <c r="A944">
        <v>1942</v>
      </c>
      <c r="B944" t="s">
        <v>987</v>
      </c>
      <c r="C944" t="s">
        <v>20</v>
      </c>
      <c r="D944" t="s">
        <v>21</v>
      </c>
      <c r="E944">
        <v>2</v>
      </c>
      <c r="F944">
        <v>3710.07</v>
      </c>
      <c r="G944">
        <v>0.83</v>
      </c>
      <c r="H944" s="3">
        <f t="shared" si="70"/>
        <v>7420.14</v>
      </c>
      <c r="I944" s="1">
        <v>45670</v>
      </c>
      <c r="J944" t="s">
        <v>22</v>
      </c>
      <c r="K944" t="s">
        <v>16</v>
      </c>
      <c r="L944" s="2">
        <f t="shared" si="71"/>
        <v>3710.07</v>
      </c>
      <c r="M944" s="4">
        <f t="shared" si="72"/>
        <v>0.83</v>
      </c>
      <c r="N944" s="1">
        <f t="shared" si="73"/>
        <v>45670</v>
      </c>
      <c r="O944" s="3">
        <f>(Table13[[#This Row],[Units_Sold]]*Table13[[#This Row],[Unit_Price_Cleaned]]*(1-Table13[[#This Row],[Discount Cleaned]]))</f>
        <v>1261.4238000000003</v>
      </c>
      <c r="P944" t="str">
        <f t="shared" si="74"/>
        <v>Profit</v>
      </c>
      <c r="Q944" t="str" cm="1">
        <f t="array" ref="Q944">IF(K944="",INDEX($K$2:$K$2501,MATCH(MAX(COUNTIF($K$2:$K$2501,$K$2:$K$2501)),COUNTIF($K$2:$K$2501,$K$2:$K$2501),0)),K944)</f>
        <v>B2C</v>
      </c>
    </row>
    <row r="945" spans="1:17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 s="3">
        <f t="shared" si="70"/>
        <v>12613.96</v>
      </c>
      <c r="J945" t="s">
        <v>18</v>
      </c>
      <c r="L945" s="2">
        <f t="shared" si="71"/>
        <v>3153.49</v>
      </c>
      <c r="M945" s="4">
        <f t="shared" si="72"/>
        <v>0.6</v>
      </c>
      <c r="N945" s="1">
        <f t="shared" si="73"/>
        <v>45782</v>
      </c>
      <c r="O945" s="3">
        <f>(Table13[[#This Row],[Units_Sold]]*Table13[[#This Row],[Unit_Price_Cleaned]]*(1-Table13[[#This Row],[Discount Cleaned]]))</f>
        <v>5045.5839999999998</v>
      </c>
      <c r="P945" t="str">
        <f t="shared" si="74"/>
        <v>Profit</v>
      </c>
      <c r="Q945" t="str" cm="1">
        <f t="array" ref="Q945">IF(K945="",INDEX($K$2:$K$2501,MATCH(MAX(COUNTIF($K$2:$K$2501,$K$2:$K$2501)),COUNTIF($K$2:$K$2501,$K$2:$K$2501),0)),K945)</f>
        <v>B2B</v>
      </c>
    </row>
    <row r="946" spans="1:17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 s="3">
        <f t="shared" si="70"/>
        <v>-3227.22</v>
      </c>
      <c r="J946" t="s">
        <v>22</v>
      </c>
      <c r="L946" s="2">
        <f t="shared" si="71"/>
        <v>3227.22</v>
      </c>
      <c r="M946" s="4">
        <f t="shared" si="72"/>
        <v>0.6</v>
      </c>
      <c r="N946" s="1">
        <f t="shared" si="73"/>
        <v>45782</v>
      </c>
      <c r="O946" s="3">
        <f>(Table13[[#This Row],[Units_Sold]]*Table13[[#This Row],[Unit_Price_Cleaned]]*(1-Table13[[#This Row],[Discount Cleaned]]))</f>
        <v>-1290.8879999999999</v>
      </c>
      <c r="P946" t="str">
        <f t="shared" si="74"/>
        <v>Loss</v>
      </c>
      <c r="Q946" t="str" cm="1">
        <f t="array" ref="Q946">IF(K946="",INDEX($K$2:$K$2501,MATCH(MAX(COUNTIF($K$2:$K$2501,$K$2:$K$2501)),COUNTIF($K$2:$K$2501,$K$2:$K$2501),0)),K946)</f>
        <v>B2B</v>
      </c>
    </row>
    <row r="947" spans="1:17" x14ac:dyDescent="0.3">
      <c r="A947">
        <v>1945</v>
      </c>
      <c r="B947" t="s">
        <v>990</v>
      </c>
      <c r="C947" t="s">
        <v>13</v>
      </c>
      <c r="D947" t="s">
        <v>102</v>
      </c>
      <c r="E947">
        <v>2</v>
      </c>
      <c r="F947">
        <v>2803.56</v>
      </c>
      <c r="G947">
        <v>1.05</v>
      </c>
      <c r="H947" s="3">
        <f t="shared" si="70"/>
        <v>5607.12</v>
      </c>
      <c r="I947" s="1">
        <v>45631</v>
      </c>
      <c r="J947" t="s">
        <v>15</v>
      </c>
      <c r="L947" s="2">
        <f t="shared" si="71"/>
        <v>2803.56</v>
      </c>
      <c r="M947" s="4">
        <f t="shared" si="72"/>
        <v>1.05</v>
      </c>
      <c r="N947" s="1">
        <f t="shared" si="73"/>
        <v>45631</v>
      </c>
      <c r="O947" s="3">
        <f>(Table13[[#This Row],[Units_Sold]]*Table13[[#This Row],[Unit_Price_Cleaned]]*(1-Table13[[#This Row],[Discount Cleaned]]))</f>
        <v>-280.35600000000022</v>
      </c>
      <c r="P947" t="str">
        <f t="shared" si="74"/>
        <v>Loss</v>
      </c>
      <c r="Q947" t="str" cm="1">
        <f t="array" ref="Q947">IF(K947="",INDEX($K$2:$K$2501,MATCH(MAX(COUNTIF($K$2:$K$2501,$K$2:$K$2501)),COUNTIF($K$2:$K$2501,$K$2:$K$2501),0)),K947)</f>
        <v>B2B</v>
      </c>
    </row>
    <row r="948" spans="1:17" x14ac:dyDescent="0.3">
      <c r="A948">
        <v>1946</v>
      </c>
      <c r="B948" t="s">
        <v>991</v>
      </c>
      <c r="C948" t="s">
        <v>13</v>
      </c>
      <c r="D948" t="s">
        <v>102</v>
      </c>
      <c r="E948">
        <v>2</v>
      </c>
      <c r="F948">
        <v>2355.36</v>
      </c>
      <c r="H948" s="3">
        <f t="shared" si="70"/>
        <v>4710.72</v>
      </c>
      <c r="I948" s="1">
        <v>45726</v>
      </c>
      <c r="J948" t="s">
        <v>15</v>
      </c>
      <c r="K948" t="s">
        <v>23</v>
      </c>
      <c r="L948" s="2">
        <f t="shared" si="71"/>
        <v>2355.36</v>
      </c>
      <c r="M948" s="4">
        <f t="shared" si="72"/>
        <v>0.6</v>
      </c>
      <c r="N948" s="1">
        <f t="shared" si="73"/>
        <v>45726</v>
      </c>
      <c r="O948" s="3">
        <f>(Table13[[#This Row],[Units_Sold]]*Table13[[#This Row],[Unit_Price_Cleaned]]*(1-Table13[[#This Row],[Discount Cleaned]]))</f>
        <v>1884.2880000000002</v>
      </c>
      <c r="P948" t="str">
        <f t="shared" si="74"/>
        <v>Profit</v>
      </c>
      <c r="Q948" t="str" cm="1">
        <f t="array" ref="Q948">IF(K948="",INDEX($K$2:$K$2501,MATCH(MAX(COUNTIF($K$2:$K$2501,$K$2:$K$2501)),COUNTIF($K$2:$K$2501,$K$2:$K$2501),0)),K948)</f>
        <v>B2B</v>
      </c>
    </row>
    <row r="949" spans="1:17" x14ac:dyDescent="0.3">
      <c r="A949">
        <v>1947</v>
      </c>
      <c r="B949" t="s">
        <v>992</v>
      </c>
      <c r="C949" t="s">
        <v>13</v>
      </c>
      <c r="D949" t="s">
        <v>49</v>
      </c>
      <c r="E949">
        <v>2</v>
      </c>
      <c r="G949">
        <v>0.2</v>
      </c>
      <c r="H949" s="3">
        <f t="shared" si="70"/>
        <v>5570.1755932203387</v>
      </c>
      <c r="I949" s="1">
        <v>45642</v>
      </c>
      <c r="J949" t="s">
        <v>22</v>
      </c>
      <c r="K949" t="s">
        <v>16</v>
      </c>
      <c r="L949" s="2">
        <f t="shared" si="71"/>
        <v>2785.0877966101693</v>
      </c>
      <c r="M949" s="4">
        <f t="shared" si="72"/>
        <v>0.2</v>
      </c>
      <c r="N949" s="1">
        <f t="shared" si="73"/>
        <v>45642</v>
      </c>
      <c r="O949" s="3">
        <f>(Table13[[#This Row],[Units_Sold]]*Table13[[#This Row],[Unit_Price_Cleaned]]*(1-Table13[[#This Row],[Discount Cleaned]]))</f>
        <v>4456.1404745762711</v>
      </c>
      <c r="P949" t="str">
        <f t="shared" si="74"/>
        <v>Profit</v>
      </c>
      <c r="Q949" t="str" cm="1">
        <f t="array" ref="Q949">IF(K949="",INDEX($K$2:$K$2501,MATCH(MAX(COUNTIF($K$2:$K$2501,$K$2:$K$2501)),COUNTIF($K$2:$K$2501,$K$2:$K$2501),0)),K949)</f>
        <v>B2C</v>
      </c>
    </row>
    <row r="950" spans="1:17" x14ac:dyDescent="0.3">
      <c r="A950">
        <v>1948</v>
      </c>
      <c r="B950" t="s">
        <v>993</v>
      </c>
      <c r="C950" t="s">
        <v>13</v>
      </c>
      <c r="D950" t="s">
        <v>14</v>
      </c>
      <c r="E950">
        <v>2</v>
      </c>
      <c r="F950">
        <v>2755.59</v>
      </c>
      <c r="G950">
        <v>1.06</v>
      </c>
      <c r="H950" s="3">
        <f t="shared" si="70"/>
        <v>5511.18</v>
      </c>
      <c r="I950" s="1">
        <v>45722</v>
      </c>
      <c r="J950" t="s">
        <v>18</v>
      </c>
      <c r="K950" t="s">
        <v>16</v>
      </c>
      <c r="L950" s="2">
        <f t="shared" si="71"/>
        <v>2755.59</v>
      </c>
      <c r="M950" s="4">
        <f t="shared" si="72"/>
        <v>1.06</v>
      </c>
      <c r="N950" s="1">
        <f t="shared" si="73"/>
        <v>45722</v>
      </c>
      <c r="O950" s="3">
        <f>(Table13[[#This Row],[Units_Sold]]*Table13[[#This Row],[Unit_Price_Cleaned]]*(1-Table13[[#This Row],[Discount Cleaned]]))</f>
        <v>-330.67080000000033</v>
      </c>
      <c r="P950" t="str">
        <f t="shared" si="74"/>
        <v>Loss</v>
      </c>
      <c r="Q950" t="str" cm="1">
        <f t="array" ref="Q950">IF(K950="",INDEX($K$2:$K$2501,MATCH(MAX(COUNTIF($K$2:$K$2501,$K$2:$K$2501)),COUNTIF($K$2:$K$2501,$K$2:$K$2501),0)),K950)</f>
        <v>B2C</v>
      </c>
    </row>
    <row r="951" spans="1:17" x14ac:dyDescent="0.3">
      <c r="A951">
        <v>1949</v>
      </c>
      <c r="B951" t="s">
        <v>994</v>
      </c>
      <c r="C951" t="s">
        <v>25</v>
      </c>
      <c r="D951" t="s">
        <v>66</v>
      </c>
      <c r="E951">
        <v>2</v>
      </c>
      <c r="F951">
        <v>4000.18</v>
      </c>
      <c r="G951">
        <v>0.89</v>
      </c>
      <c r="H951" s="3">
        <f t="shared" si="70"/>
        <v>8000.36</v>
      </c>
      <c r="J951" t="s">
        <v>22</v>
      </c>
      <c r="L951" s="2">
        <f t="shared" si="71"/>
        <v>4000.18</v>
      </c>
      <c r="M951" s="4">
        <f t="shared" si="72"/>
        <v>0.89</v>
      </c>
      <c r="N951" s="1">
        <f t="shared" si="73"/>
        <v>45782</v>
      </c>
      <c r="O951" s="3">
        <f>(Table13[[#This Row],[Units_Sold]]*Table13[[#This Row],[Unit_Price_Cleaned]]*(1-Table13[[#This Row],[Discount Cleaned]]))</f>
        <v>880.03959999999984</v>
      </c>
      <c r="P951" t="str">
        <f t="shared" si="74"/>
        <v>Profit</v>
      </c>
      <c r="Q951" t="str" cm="1">
        <f t="array" ref="Q951">IF(K951="",INDEX($K$2:$K$2501,MATCH(MAX(COUNTIF($K$2:$K$2501,$K$2:$K$2501)),COUNTIF($K$2:$K$2501,$K$2:$K$2501),0)),K951)</f>
        <v>B2B</v>
      </c>
    </row>
    <row r="952" spans="1:17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 s="3">
        <f t="shared" si="70"/>
        <v>0</v>
      </c>
      <c r="I952" s="1">
        <v>45413</v>
      </c>
      <c r="J952" t="s">
        <v>18</v>
      </c>
      <c r="K952" t="s">
        <v>16</v>
      </c>
      <c r="L952" s="2">
        <f t="shared" si="71"/>
        <v>2270.65</v>
      </c>
      <c r="M952" s="4">
        <f t="shared" si="72"/>
        <v>0</v>
      </c>
      <c r="N952" s="1">
        <f t="shared" si="73"/>
        <v>45413</v>
      </c>
      <c r="O952" s="3">
        <f>(Table13[[#This Row],[Units_Sold]]*Table13[[#This Row],[Unit_Price_Cleaned]]*(1-Table13[[#This Row],[Discount Cleaned]]))</f>
        <v>0</v>
      </c>
      <c r="P952" t="str">
        <f t="shared" si="74"/>
        <v>Loss</v>
      </c>
      <c r="Q952" t="str" cm="1">
        <f t="array" ref="Q952">IF(K952="",INDEX($K$2:$K$2501,MATCH(MAX(COUNTIF($K$2:$K$2501,$K$2:$K$2501)),COUNTIF($K$2:$K$2501,$K$2:$K$2501),0)),K952)</f>
        <v>B2C</v>
      </c>
    </row>
    <row r="953" spans="1:17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 s="3">
        <f t="shared" si="70"/>
        <v>4780.8599999999997</v>
      </c>
      <c r="I953" s="1">
        <v>45570</v>
      </c>
      <c r="J953" t="s">
        <v>15</v>
      </c>
      <c r="L953" s="2">
        <f t="shared" si="71"/>
        <v>2390.4299999999998</v>
      </c>
      <c r="M953" s="4">
        <f t="shared" si="72"/>
        <v>0.35</v>
      </c>
      <c r="N953" s="1">
        <f t="shared" si="73"/>
        <v>45570</v>
      </c>
      <c r="O953" s="3">
        <f>(Table13[[#This Row],[Units_Sold]]*Table13[[#This Row],[Unit_Price_Cleaned]]*(1-Table13[[#This Row],[Discount Cleaned]]))</f>
        <v>3107.5589999999997</v>
      </c>
      <c r="P953" t="str">
        <f t="shared" si="74"/>
        <v>Profit</v>
      </c>
      <c r="Q953" t="str" cm="1">
        <f t="array" ref="Q953">IF(K953="",INDEX($K$2:$K$2501,MATCH(MAX(COUNTIF($K$2:$K$2501,$K$2:$K$2501)),COUNTIF($K$2:$K$2501,$K$2:$K$2501),0)),K953)</f>
        <v>B2B</v>
      </c>
    </row>
    <row r="954" spans="1:17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 s="3">
        <f t="shared" si="70"/>
        <v>12881.528448275858</v>
      </c>
      <c r="I954" s="1">
        <v>45365</v>
      </c>
      <c r="J954" t="s">
        <v>46</v>
      </c>
      <c r="K954" t="s">
        <v>16</v>
      </c>
      <c r="L954" s="2">
        <f t="shared" si="71"/>
        <v>2576.3056896551716</v>
      </c>
      <c r="M954" s="4">
        <f t="shared" si="72"/>
        <v>0.6</v>
      </c>
      <c r="N954" s="1">
        <f t="shared" si="73"/>
        <v>45365</v>
      </c>
      <c r="O954" s="3">
        <f>(Table13[[#This Row],[Units_Sold]]*Table13[[#This Row],[Unit_Price_Cleaned]]*(1-Table13[[#This Row],[Discount Cleaned]]))</f>
        <v>5152.6113793103432</v>
      </c>
      <c r="P954" t="str">
        <f t="shared" si="74"/>
        <v>Profit</v>
      </c>
      <c r="Q954" t="str" cm="1">
        <f t="array" ref="Q954">IF(K954="",INDEX($K$2:$K$2501,MATCH(MAX(COUNTIF($K$2:$K$2501,$K$2:$K$2501)),COUNTIF($K$2:$K$2501,$K$2:$K$2501),0)),K954)</f>
        <v>B2C</v>
      </c>
    </row>
    <row r="955" spans="1:17" x14ac:dyDescent="0.3">
      <c r="A955">
        <v>1953</v>
      </c>
      <c r="B955" t="s">
        <v>998</v>
      </c>
      <c r="C955" t="s">
        <v>20</v>
      </c>
      <c r="D955" t="s">
        <v>80</v>
      </c>
      <c r="E955">
        <v>2</v>
      </c>
      <c r="H955" s="3">
        <f t="shared" si="70"/>
        <v>4967.1688000000004</v>
      </c>
      <c r="I955" s="1">
        <v>45642</v>
      </c>
      <c r="J955" t="s">
        <v>22</v>
      </c>
      <c r="K955" t="s">
        <v>23</v>
      </c>
      <c r="L955" s="2">
        <f t="shared" si="71"/>
        <v>2483.5844000000002</v>
      </c>
      <c r="M955" s="4">
        <f t="shared" si="72"/>
        <v>0.6</v>
      </c>
      <c r="N955" s="1">
        <f t="shared" si="73"/>
        <v>45642</v>
      </c>
      <c r="O955" s="3">
        <f>(Table13[[#This Row],[Units_Sold]]*Table13[[#This Row],[Unit_Price_Cleaned]]*(1-Table13[[#This Row],[Discount Cleaned]]))</f>
        <v>1986.8675200000002</v>
      </c>
      <c r="P955" t="str">
        <f t="shared" si="74"/>
        <v>Profit</v>
      </c>
      <c r="Q955" t="str" cm="1">
        <f t="array" ref="Q955">IF(K955="",INDEX($K$2:$K$2501,MATCH(MAX(COUNTIF($K$2:$K$2501,$K$2:$K$2501)),COUNTIF($K$2:$K$2501,$K$2:$K$2501),0)),K955)</f>
        <v>B2B</v>
      </c>
    </row>
    <row r="956" spans="1:17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 s="3">
        <f t="shared" si="70"/>
        <v>-4631.5600000000004</v>
      </c>
      <c r="I956" s="1">
        <v>45803</v>
      </c>
      <c r="J956" t="s">
        <v>18</v>
      </c>
      <c r="L956" s="2">
        <f t="shared" si="71"/>
        <v>2315.7800000000002</v>
      </c>
      <c r="M956" s="4">
        <f t="shared" si="72"/>
        <v>0.6</v>
      </c>
      <c r="N956" s="1">
        <f t="shared" si="73"/>
        <v>45803</v>
      </c>
      <c r="O956" s="3">
        <f>(Table13[[#This Row],[Units_Sold]]*Table13[[#This Row],[Unit_Price_Cleaned]]*(1-Table13[[#This Row],[Discount Cleaned]]))</f>
        <v>-1852.6240000000003</v>
      </c>
      <c r="P956" t="str">
        <f t="shared" si="74"/>
        <v>Loss</v>
      </c>
      <c r="Q956" t="str" cm="1">
        <f t="array" ref="Q956">IF(K956="",INDEX($K$2:$K$2501,MATCH(MAX(COUNTIF($K$2:$K$2501,$K$2:$K$2501)),COUNTIF($K$2:$K$2501,$K$2:$K$2501),0)),K956)</f>
        <v>B2B</v>
      </c>
    </row>
    <row r="957" spans="1:17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 s="3">
        <f t="shared" si="70"/>
        <v>2787.46</v>
      </c>
      <c r="I957" s="1">
        <v>45668</v>
      </c>
      <c r="J957" t="s">
        <v>22</v>
      </c>
      <c r="K957" t="s">
        <v>23</v>
      </c>
      <c r="L957" s="2">
        <f t="shared" si="71"/>
        <v>2787.46</v>
      </c>
      <c r="M957" s="4">
        <f t="shared" si="72"/>
        <v>0.92</v>
      </c>
      <c r="N957" s="1">
        <f t="shared" si="73"/>
        <v>45668</v>
      </c>
      <c r="O957" s="3">
        <f>(Table13[[#This Row],[Units_Sold]]*Table13[[#This Row],[Unit_Price_Cleaned]]*(1-Table13[[#This Row],[Discount Cleaned]]))</f>
        <v>222.99679999999989</v>
      </c>
      <c r="P957" t="str">
        <f t="shared" si="74"/>
        <v>Loss</v>
      </c>
      <c r="Q957" t="str" cm="1">
        <f t="array" ref="Q957">IF(K957="",INDEX($K$2:$K$2501,MATCH(MAX(COUNTIF($K$2:$K$2501,$K$2:$K$2501)),COUNTIF($K$2:$K$2501,$K$2:$K$2501),0)),K957)</f>
        <v>B2B</v>
      </c>
    </row>
    <row r="958" spans="1:17" x14ac:dyDescent="0.3">
      <c r="A958">
        <v>1956</v>
      </c>
      <c r="B958" t="s">
        <v>1001</v>
      </c>
      <c r="C958" t="s">
        <v>20</v>
      </c>
      <c r="D958" t="s">
        <v>21</v>
      </c>
      <c r="E958">
        <v>2</v>
      </c>
      <c r="H958" s="3">
        <f t="shared" si="70"/>
        <v>5362.348727272727</v>
      </c>
      <c r="I958" s="1">
        <v>45661</v>
      </c>
      <c r="J958" t="s">
        <v>40</v>
      </c>
      <c r="K958" t="s">
        <v>23</v>
      </c>
      <c r="L958" s="2">
        <f t="shared" si="71"/>
        <v>2681.1743636363635</v>
      </c>
      <c r="M958" s="4">
        <f t="shared" si="72"/>
        <v>0.6</v>
      </c>
      <c r="N958" s="1">
        <f t="shared" si="73"/>
        <v>45661</v>
      </c>
      <c r="O958" s="3">
        <f>(Table13[[#This Row],[Units_Sold]]*Table13[[#This Row],[Unit_Price_Cleaned]]*(1-Table13[[#This Row],[Discount Cleaned]]))</f>
        <v>2144.9394909090911</v>
      </c>
      <c r="P958" t="str">
        <f t="shared" si="74"/>
        <v>Profit</v>
      </c>
      <c r="Q958" t="str" cm="1">
        <f t="array" ref="Q958">IF(K958="",INDEX($K$2:$K$2501,MATCH(MAX(COUNTIF($K$2:$K$2501,$K$2:$K$2501)),COUNTIF($K$2:$K$2501,$K$2:$K$2501),0)),K958)</f>
        <v>B2B</v>
      </c>
    </row>
    <row r="959" spans="1:17" x14ac:dyDescent="0.3">
      <c r="A959">
        <v>1957</v>
      </c>
      <c r="B959" t="s">
        <v>1002</v>
      </c>
      <c r="C959" t="s">
        <v>29</v>
      </c>
      <c r="D959" t="s">
        <v>120</v>
      </c>
      <c r="E959">
        <v>2</v>
      </c>
      <c r="F959">
        <v>494.81</v>
      </c>
      <c r="H959" s="3">
        <f t="shared" si="70"/>
        <v>989.62</v>
      </c>
      <c r="I959" s="1">
        <v>45256</v>
      </c>
      <c r="J959" t="s">
        <v>56</v>
      </c>
      <c r="L959" s="2">
        <f t="shared" si="71"/>
        <v>494.81</v>
      </c>
      <c r="M959" s="4">
        <f t="shared" si="72"/>
        <v>0.6</v>
      </c>
      <c r="N959" s="1">
        <f t="shared" si="73"/>
        <v>45256</v>
      </c>
      <c r="O959" s="3">
        <f>(Table13[[#This Row],[Units_Sold]]*Table13[[#This Row],[Unit_Price_Cleaned]]*(1-Table13[[#This Row],[Discount Cleaned]]))</f>
        <v>395.84800000000001</v>
      </c>
      <c r="P959" t="str">
        <f t="shared" si="74"/>
        <v>Loss</v>
      </c>
      <c r="Q959" t="str" cm="1">
        <f t="array" ref="Q959">IF(K959="",INDEX($K$2:$K$2501,MATCH(MAX(COUNTIF($K$2:$K$2501,$K$2:$K$2501)),COUNTIF($K$2:$K$2501,$K$2:$K$2501),0)),K959)</f>
        <v>B2B</v>
      </c>
    </row>
    <row r="960" spans="1:17" x14ac:dyDescent="0.3">
      <c r="A960">
        <v>1958</v>
      </c>
      <c r="B960" t="s">
        <v>1003</v>
      </c>
      <c r="C960" t="s">
        <v>33</v>
      </c>
      <c r="D960" t="s">
        <v>34</v>
      </c>
      <c r="E960">
        <v>2</v>
      </c>
      <c r="F960">
        <v>3068.38</v>
      </c>
      <c r="H960" s="3">
        <f t="shared" si="70"/>
        <v>6136.76</v>
      </c>
      <c r="I960" s="1">
        <v>45502</v>
      </c>
      <c r="J960" t="s">
        <v>40</v>
      </c>
      <c r="L960" s="2">
        <f t="shared" si="71"/>
        <v>3068.38</v>
      </c>
      <c r="M960" s="4">
        <f t="shared" si="72"/>
        <v>0.6</v>
      </c>
      <c r="N960" s="1">
        <f t="shared" si="73"/>
        <v>45502</v>
      </c>
      <c r="O960" s="3">
        <f>(Table13[[#This Row],[Units_Sold]]*Table13[[#This Row],[Unit_Price_Cleaned]]*(1-Table13[[#This Row],[Discount Cleaned]]))</f>
        <v>2454.7040000000002</v>
      </c>
      <c r="P960" t="str">
        <f t="shared" si="74"/>
        <v>Profit</v>
      </c>
      <c r="Q960" t="str" cm="1">
        <f t="array" ref="Q960">IF(K960="",INDEX($K$2:$K$2501,MATCH(MAX(COUNTIF($K$2:$K$2501,$K$2:$K$2501)),COUNTIF($K$2:$K$2501,$K$2:$K$2501),0)),K960)</f>
        <v>B2B</v>
      </c>
    </row>
    <row r="961" spans="1:17" x14ac:dyDescent="0.3">
      <c r="A961">
        <v>1959</v>
      </c>
      <c r="B961" t="s">
        <v>1004</v>
      </c>
      <c r="C961" t="s">
        <v>20</v>
      </c>
      <c r="D961" t="s">
        <v>88</v>
      </c>
      <c r="E961">
        <v>2</v>
      </c>
      <c r="F961">
        <v>3805.09</v>
      </c>
      <c r="H961" s="3">
        <f t="shared" si="70"/>
        <v>7610.18</v>
      </c>
      <c r="J961" t="s">
        <v>18</v>
      </c>
      <c r="L961" s="2">
        <f t="shared" si="71"/>
        <v>3805.09</v>
      </c>
      <c r="M961" s="4">
        <f t="shared" si="72"/>
        <v>0.6</v>
      </c>
      <c r="N961" s="1">
        <f t="shared" si="73"/>
        <v>45782</v>
      </c>
      <c r="O961" s="3">
        <f>(Table13[[#This Row],[Units_Sold]]*Table13[[#This Row],[Unit_Price_Cleaned]]*(1-Table13[[#This Row],[Discount Cleaned]]))</f>
        <v>3044.0720000000001</v>
      </c>
      <c r="P961" t="str">
        <f t="shared" si="74"/>
        <v>Profit</v>
      </c>
      <c r="Q961" t="str" cm="1">
        <f t="array" ref="Q961">IF(K961="",INDEX($K$2:$K$2501,MATCH(MAX(COUNTIF($K$2:$K$2501,$K$2:$K$2501)),COUNTIF($K$2:$K$2501,$K$2:$K$2501),0)),K961)</f>
        <v>B2B</v>
      </c>
    </row>
    <row r="962" spans="1:17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 s="3">
        <f t="shared" ref="H962:H1025" si="75">(L962*E962)</f>
        <v>2739.62</v>
      </c>
      <c r="I962" s="1">
        <v>45612</v>
      </c>
      <c r="J962" t="s">
        <v>46</v>
      </c>
      <c r="K962" t="s">
        <v>23</v>
      </c>
      <c r="L962" s="2">
        <f t="shared" ref="L962:L1025" si="76">IF(F962="",AVERAGEIF($D$2:$D$2501,D962,$F$2:$F$2501),F962)</f>
        <v>1369.81</v>
      </c>
      <c r="M962" s="4">
        <f t="shared" ref="M962:M1025" si="77">IF(G962="",MEDIAN($G$2,$G$2501),G962)</f>
        <v>0.67</v>
      </c>
      <c r="N962" s="1">
        <f t="shared" ref="N962:N1025" si="78">IF(I962="",MODE($I$32:$I$2501),I962)</f>
        <v>45612</v>
      </c>
      <c r="O962" s="3">
        <f>(Table13[[#This Row],[Units_Sold]]*Table13[[#This Row],[Unit_Price_Cleaned]]*(1-Table13[[#This Row],[Discount Cleaned]]))</f>
        <v>904.0745999999998</v>
      </c>
      <c r="P962" t="str">
        <f t="shared" ref="P962:P1025" si="79">IF(O962&gt;500,"Profit","Loss")</f>
        <v>Profit</v>
      </c>
      <c r="Q962" t="str" cm="1">
        <f t="array" ref="Q962">IF(K962="",INDEX($K$2:$K$2501,MATCH(MAX(COUNTIF($K$2:$K$2501,$K$2:$K$2501)),COUNTIF($K$2:$K$2501,$K$2:$K$2501),0)),K962)</f>
        <v>B2B</v>
      </c>
    </row>
    <row r="963" spans="1:17" x14ac:dyDescent="0.3">
      <c r="A963">
        <v>1961</v>
      </c>
      <c r="B963" t="s">
        <v>1006</v>
      </c>
      <c r="C963" t="s">
        <v>20</v>
      </c>
      <c r="D963" t="s">
        <v>88</v>
      </c>
      <c r="E963">
        <v>2</v>
      </c>
      <c r="F963">
        <v>2204.39</v>
      </c>
      <c r="H963" s="3">
        <f t="shared" si="75"/>
        <v>4408.78</v>
      </c>
      <c r="I963" s="1">
        <v>45374</v>
      </c>
      <c r="J963" t="s">
        <v>46</v>
      </c>
      <c r="K963" t="s">
        <v>23</v>
      </c>
      <c r="L963" s="2">
        <f t="shared" si="76"/>
        <v>2204.39</v>
      </c>
      <c r="M963" s="4">
        <f t="shared" si="77"/>
        <v>0.6</v>
      </c>
      <c r="N963" s="1">
        <f t="shared" si="78"/>
        <v>45374</v>
      </c>
      <c r="O963" s="3">
        <f>(Table13[[#This Row],[Units_Sold]]*Table13[[#This Row],[Unit_Price_Cleaned]]*(1-Table13[[#This Row],[Discount Cleaned]]))</f>
        <v>1763.5119999999999</v>
      </c>
      <c r="P963" t="str">
        <f t="shared" si="79"/>
        <v>Profit</v>
      </c>
      <c r="Q963" t="str" cm="1">
        <f t="array" ref="Q963">IF(K963="",INDEX($K$2:$K$2501,MATCH(MAX(COUNTIF($K$2:$K$2501,$K$2:$K$2501)),COUNTIF($K$2:$K$2501,$K$2:$K$2501),0)),K963)</f>
        <v>B2B</v>
      </c>
    </row>
    <row r="964" spans="1:17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 s="3">
        <f t="shared" si="75"/>
        <v>-5060.7673076923093</v>
      </c>
      <c r="I964" s="1">
        <v>45267</v>
      </c>
      <c r="J964" t="s">
        <v>15</v>
      </c>
      <c r="K964" t="s">
        <v>23</v>
      </c>
      <c r="L964" s="2">
        <f t="shared" si="76"/>
        <v>2530.3836538461546</v>
      </c>
      <c r="M964" s="4">
        <f t="shared" si="77"/>
        <v>0.6</v>
      </c>
      <c r="N964" s="1">
        <f t="shared" si="78"/>
        <v>45267</v>
      </c>
      <c r="O964" s="3">
        <f>(Table13[[#This Row],[Units_Sold]]*Table13[[#This Row],[Unit_Price_Cleaned]]*(1-Table13[[#This Row],[Discount Cleaned]]))</f>
        <v>-2024.3069230769238</v>
      </c>
      <c r="P964" t="str">
        <f t="shared" si="79"/>
        <v>Loss</v>
      </c>
      <c r="Q964" t="str" cm="1">
        <f t="array" ref="Q964">IF(K964="",INDEX($K$2:$K$2501,MATCH(MAX(COUNTIF($K$2:$K$2501,$K$2:$K$2501)),COUNTIF($K$2:$K$2501,$K$2:$K$2501),0)),K964)</f>
        <v>B2B</v>
      </c>
    </row>
    <row r="965" spans="1:17" x14ac:dyDescent="0.3">
      <c r="A965">
        <v>1963</v>
      </c>
      <c r="B965" t="s">
        <v>1008</v>
      </c>
      <c r="C965" t="s">
        <v>25</v>
      </c>
      <c r="D965" t="s">
        <v>86</v>
      </c>
      <c r="E965">
        <v>2</v>
      </c>
      <c r="F965">
        <v>1935.29</v>
      </c>
      <c r="H965" s="3">
        <f t="shared" si="75"/>
        <v>3870.58</v>
      </c>
      <c r="I965" s="1">
        <v>45525</v>
      </c>
      <c r="J965" t="s">
        <v>22</v>
      </c>
      <c r="K965" t="s">
        <v>23</v>
      </c>
      <c r="L965" s="2">
        <f t="shared" si="76"/>
        <v>1935.29</v>
      </c>
      <c r="M965" s="4">
        <f t="shared" si="77"/>
        <v>0.6</v>
      </c>
      <c r="N965" s="1">
        <f t="shared" si="78"/>
        <v>45525</v>
      </c>
      <c r="O965" s="3">
        <f>(Table13[[#This Row],[Units_Sold]]*Table13[[#This Row],[Unit_Price_Cleaned]]*(1-Table13[[#This Row],[Discount Cleaned]]))</f>
        <v>1548.232</v>
      </c>
      <c r="P965" t="str">
        <f t="shared" si="79"/>
        <v>Profit</v>
      </c>
      <c r="Q965" t="str" cm="1">
        <f t="array" ref="Q965">IF(K965="",INDEX($K$2:$K$2501,MATCH(MAX(COUNTIF($K$2:$K$2501,$K$2:$K$2501)),COUNTIF($K$2:$K$2501,$K$2:$K$2501),0)),K965)</f>
        <v>B2B</v>
      </c>
    </row>
    <row r="966" spans="1:17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 s="3">
        <f t="shared" si="75"/>
        <v>-5683.5261224489814</v>
      </c>
      <c r="J966" t="s">
        <v>40</v>
      </c>
      <c r="K966" t="s">
        <v>23</v>
      </c>
      <c r="L966" s="2">
        <f t="shared" si="76"/>
        <v>2841.7630612244907</v>
      </c>
      <c r="M966" s="4">
        <f t="shared" si="77"/>
        <v>0.6</v>
      </c>
      <c r="N966" s="1">
        <f t="shared" si="78"/>
        <v>45782</v>
      </c>
      <c r="O966" s="3">
        <f>(Table13[[#This Row],[Units_Sold]]*Table13[[#This Row],[Unit_Price_Cleaned]]*(1-Table13[[#This Row],[Discount Cleaned]]))</f>
        <v>-2273.4104489795927</v>
      </c>
      <c r="P966" t="str">
        <f t="shared" si="79"/>
        <v>Loss</v>
      </c>
      <c r="Q966" t="str" cm="1">
        <f t="array" ref="Q966">IF(K966="",INDEX($K$2:$K$2501,MATCH(MAX(COUNTIF($K$2:$K$2501,$K$2:$K$2501)),COUNTIF($K$2:$K$2501,$K$2:$K$2501),0)),K966)</f>
        <v>B2B</v>
      </c>
    </row>
    <row r="967" spans="1:17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 s="3">
        <f t="shared" si="75"/>
        <v>0</v>
      </c>
      <c r="I967" s="1">
        <v>45689</v>
      </c>
      <c r="J967" t="s">
        <v>46</v>
      </c>
      <c r="K967" t="s">
        <v>23</v>
      </c>
      <c r="L967" s="2">
        <f t="shared" si="76"/>
        <v>2868.7768181818178</v>
      </c>
      <c r="M967" s="4">
        <f t="shared" si="77"/>
        <v>0.6</v>
      </c>
      <c r="N967" s="1">
        <f t="shared" si="78"/>
        <v>45689</v>
      </c>
      <c r="O967" s="3">
        <f>(Table13[[#This Row],[Units_Sold]]*Table13[[#This Row],[Unit_Price_Cleaned]]*(1-Table13[[#This Row],[Discount Cleaned]]))</f>
        <v>0</v>
      </c>
      <c r="P967" t="str">
        <f t="shared" si="79"/>
        <v>Loss</v>
      </c>
      <c r="Q967" t="str" cm="1">
        <f t="array" ref="Q967">IF(K967="",INDEX($K$2:$K$2501,MATCH(MAX(COUNTIF($K$2:$K$2501,$K$2:$K$2501)),COUNTIF($K$2:$K$2501,$K$2:$K$2501),0)),K967)</f>
        <v>B2B</v>
      </c>
    </row>
    <row r="968" spans="1:17" x14ac:dyDescent="0.3">
      <c r="A968">
        <v>1966</v>
      </c>
      <c r="B968" t="s">
        <v>1011</v>
      </c>
      <c r="C968" t="s">
        <v>25</v>
      </c>
      <c r="D968" t="s">
        <v>26</v>
      </c>
      <c r="E968">
        <v>2</v>
      </c>
      <c r="H968" s="3">
        <f t="shared" si="75"/>
        <v>5777.7428571428572</v>
      </c>
      <c r="J968" t="s">
        <v>46</v>
      </c>
      <c r="K968" t="s">
        <v>23</v>
      </c>
      <c r="L968" s="2">
        <f t="shared" si="76"/>
        <v>2888.8714285714286</v>
      </c>
      <c r="M968" s="4">
        <f t="shared" si="77"/>
        <v>0.6</v>
      </c>
      <c r="N968" s="1">
        <f t="shared" si="78"/>
        <v>45782</v>
      </c>
      <c r="O968" s="3">
        <f>(Table13[[#This Row],[Units_Sold]]*Table13[[#This Row],[Unit_Price_Cleaned]]*(1-Table13[[#This Row],[Discount Cleaned]]))</f>
        <v>2311.0971428571429</v>
      </c>
      <c r="P968" t="str">
        <f t="shared" si="79"/>
        <v>Profit</v>
      </c>
      <c r="Q968" t="str" cm="1">
        <f t="array" ref="Q968">IF(K968="",INDEX($K$2:$K$2501,MATCH(MAX(COUNTIF($K$2:$K$2501,$K$2:$K$2501)),COUNTIF($K$2:$K$2501,$K$2:$K$2501),0)),K968)</f>
        <v>B2B</v>
      </c>
    </row>
    <row r="969" spans="1:17" x14ac:dyDescent="0.3">
      <c r="A969">
        <v>1967</v>
      </c>
      <c r="B969" t="s">
        <v>1012</v>
      </c>
      <c r="C969" t="s">
        <v>33</v>
      </c>
      <c r="D969" t="s">
        <v>82</v>
      </c>
      <c r="E969">
        <v>2</v>
      </c>
      <c r="H969" s="3">
        <f t="shared" si="75"/>
        <v>5552.4404000000004</v>
      </c>
      <c r="J969" t="s">
        <v>18</v>
      </c>
      <c r="K969" t="s">
        <v>23</v>
      </c>
      <c r="L969" s="2">
        <f t="shared" si="76"/>
        <v>2776.2202000000002</v>
      </c>
      <c r="M969" s="4">
        <f t="shared" si="77"/>
        <v>0.6</v>
      </c>
      <c r="N969" s="1">
        <f t="shared" si="78"/>
        <v>45782</v>
      </c>
      <c r="O969" s="3">
        <f>(Table13[[#This Row],[Units_Sold]]*Table13[[#This Row],[Unit_Price_Cleaned]]*(1-Table13[[#This Row],[Discount Cleaned]]))</f>
        <v>2220.9761600000002</v>
      </c>
      <c r="P969" t="str">
        <f t="shared" si="79"/>
        <v>Profit</v>
      </c>
      <c r="Q969" t="str" cm="1">
        <f t="array" ref="Q969">IF(K969="",INDEX($K$2:$K$2501,MATCH(MAX(COUNTIF($K$2:$K$2501,$K$2:$K$2501)),COUNTIF($K$2:$K$2501,$K$2:$K$2501),0)),K969)</f>
        <v>B2B</v>
      </c>
    </row>
    <row r="970" spans="1:17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 s="3">
        <f t="shared" si="75"/>
        <v>13405.871818181819</v>
      </c>
      <c r="I970" s="1">
        <v>45855</v>
      </c>
      <c r="J970" t="s">
        <v>40</v>
      </c>
      <c r="L970" s="2">
        <f t="shared" si="76"/>
        <v>2681.1743636363635</v>
      </c>
      <c r="M970" s="4">
        <f t="shared" si="77"/>
        <v>0.6</v>
      </c>
      <c r="N970" s="1">
        <f t="shared" si="78"/>
        <v>45855</v>
      </c>
      <c r="O970" s="3">
        <f>(Table13[[#This Row],[Units_Sold]]*Table13[[#This Row],[Unit_Price_Cleaned]]*(1-Table13[[#This Row],[Discount Cleaned]]))</f>
        <v>5362.348727272728</v>
      </c>
      <c r="P970" t="str">
        <f t="shared" si="79"/>
        <v>Profit</v>
      </c>
      <c r="Q970" t="str" cm="1">
        <f t="array" ref="Q970">IF(K970="",INDEX($K$2:$K$2501,MATCH(MAX(COUNTIF($K$2:$K$2501,$K$2:$K$2501)),COUNTIF($K$2:$K$2501,$K$2:$K$2501),0)),K970)</f>
        <v>B2B</v>
      </c>
    </row>
    <row r="971" spans="1:17" x14ac:dyDescent="0.3">
      <c r="A971">
        <v>1969</v>
      </c>
      <c r="B971" t="s">
        <v>1014</v>
      </c>
      <c r="C971" t="s">
        <v>13</v>
      </c>
      <c r="D971" t="s">
        <v>14</v>
      </c>
      <c r="E971">
        <v>2</v>
      </c>
      <c r="F971">
        <v>2153.5700000000002</v>
      </c>
      <c r="H971" s="3">
        <f t="shared" si="75"/>
        <v>4307.1400000000003</v>
      </c>
      <c r="I971" s="1">
        <v>45612</v>
      </c>
      <c r="J971" t="s">
        <v>22</v>
      </c>
      <c r="K971" t="s">
        <v>16</v>
      </c>
      <c r="L971" s="2">
        <f t="shared" si="76"/>
        <v>2153.5700000000002</v>
      </c>
      <c r="M971" s="4">
        <f t="shared" si="77"/>
        <v>0.6</v>
      </c>
      <c r="N971" s="1">
        <f t="shared" si="78"/>
        <v>45612</v>
      </c>
      <c r="O971" s="3">
        <f>(Table13[[#This Row],[Units_Sold]]*Table13[[#This Row],[Unit_Price_Cleaned]]*(1-Table13[[#This Row],[Discount Cleaned]]))</f>
        <v>1722.8560000000002</v>
      </c>
      <c r="P971" t="str">
        <f t="shared" si="79"/>
        <v>Profit</v>
      </c>
      <c r="Q971" t="str" cm="1">
        <f t="array" ref="Q971">IF(K971="",INDEX($K$2:$K$2501,MATCH(MAX(COUNTIF($K$2:$K$2501,$K$2:$K$2501)),COUNTIF($K$2:$K$2501,$K$2:$K$2501),0)),K971)</f>
        <v>B2C</v>
      </c>
    </row>
    <row r="972" spans="1:17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 s="3">
        <f t="shared" si="75"/>
        <v>16355.134285714288</v>
      </c>
      <c r="J972" t="s">
        <v>46</v>
      </c>
      <c r="L972" s="2">
        <f t="shared" si="76"/>
        <v>2725.8557142857148</v>
      </c>
      <c r="M972" s="4">
        <f t="shared" si="77"/>
        <v>0.6</v>
      </c>
      <c r="N972" s="1">
        <f t="shared" si="78"/>
        <v>45782</v>
      </c>
      <c r="O972" s="3">
        <f>(Table13[[#This Row],[Units_Sold]]*Table13[[#This Row],[Unit_Price_Cleaned]]*(1-Table13[[#This Row],[Discount Cleaned]]))</f>
        <v>6542.0537142857156</v>
      </c>
      <c r="P972" t="str">
        <f t="shared" si="79"/>
        <v>Profit</v>
      </c>
      <c r="Q972" t="str" cm="1">
        <f t="array" ref="Q972">IF(K972="",INDEX($K$2:$K$2501,MATCH(MAX(COUNTIF($K$2:$K$2501,$K$2:$K$2501)),COUNTIF($K$2:$K$2501,$K$2:$K$2501),0)),K972)</f>
        <v>B2B</v>
      </c>
    </row>
    <row r="973" spans="1:17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 s="3">
        <f t="shared" si="75"/>
        <v>0</v>
      </c>
      <c r="I973" s="1">
        <v>45629</v>
      </c>
      <c r="J973" t="s">
        <v>22</v>
      </c>
      <c r="K973" t="s">
        <v>23</v>
      </c>
      <c r="L973" s="2">
        <f t="shared" si="76"/>
        <v>4746.5200000000004</v>
      </c>
      <c r="M973" s="4">
        <f t="shared" si="77"/>
        <v>0.6</v>
      </c>
      <c r="N973" s="1">
        <f t="shared" si="78"/>
        <v>45629</v>
      </c>
      <c r="O973" s="3">
        <f>(Table13[[#This Row],[Units_Sold]]*Table13[[#This Row],[Unit_Price_Cleaned]]*(1-Table13[[#This Row],[Discount Cleaned]]))</f>
        <v>0</v>
      </c>
      <c r="P973" t="str">
        <f t="shared" si="79"/>
        <v>Loss</v>
      </c>
      <c r="Q973" t="str" cm="1">
        <f t="array" ref="Q973">IF(K973="",INDEX($K$2:$K$2501,MATCH(MAX(COUNTIF($K$2:$K$2501,$K$2:$K$2501)),COUNTIF($K$2:$K$2501,$K$2:$K$2501),0)),K973)</f>
        <v>B2B</v>
      </c>
    </row>
    <row r="974" spans="1:17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 s="3">
        <f t="shared" si="75"/>
        <v>-2483.5844000000002</v>
      </c>
      <c r="I974" s="1">
        <v>45525</v>
      </c>
      <c r="J974" t="s">
        <v>15</v>
      </c>
      <c r="K974" t="s">
        <v>16</v>
      </c>
      <c r="L974" s="2">
        <f t="shared" si="76"/>
        <v>2483.5844000000002</v>
      </c>
      <c r="M974" s="4">
        <f t="shared" si="77"/>
        <v>0.6</v>
      </c>
      <c r="N974" s="1">
        <f t="shared" si="78"/>
        <v>45525</v>
      </c>
      <c r="O974" s="3">
        <f>(Table13[[#This Row],[Units_Sold]]*Table13[[#This Row],[Unit_Price_Cleaned]]*(1-Table13[[#This Row],[Discount Cleaned]]))</f>
        <v>-993.43376000000012</v>
      </c>
      <c r="P974" t="str">
        <f t="shared" si="79"/>
        <v>Loss</v>
      </c>
      <c r="Q974" t="str" cm="1">
        <f t="array" ref="Q974">IF(K974="",INDEX($K$2:$K$2501,MATCH(MAX(COUNTIF($K$2:$K$2501,$K$2:$K$2501)),COUNTIF($K$2:$K$2501,$K$2:$K$2501),0)),K974)</f>
        <v>B2C</v>
      </c>
    </row>
    <row r="975" spans="1:17" x14ac:dyDescent="0.3">
      <c r="A975">
        <v>1973</v>
      </c>
      <c r="B975" t="s">
        <v>1018</v>
      </c>
      <c r="C975" t="s">
        <v>29</v>
      </c>
      <c r="D975" t="s">
        <v>141</v>
      </c>
      <c r="E975">
        <v>2</v>
      </c>
      <c r="H975" s="3">
        <f t="shared" si="75"/>
        <v>4925.58</v>
      </c>
      <c r="I975" s="1">
        <v>45745</v>
      </c>
      <c r="J975" t="s">
        <v>46</v>
      </c>
      <c r="K975" t="s">
        <v>16</v>
      </c>
      <c r="L975" s="2">
        <f t="shared" si="76"/>
        <v>2462.79</v>
      </c>
      <c r="M975" s="4">
        <f t="shared" si="77"/>
        <v>0.6</v>
      </c>
      <c r="N975" s="1">
        <f t="shared" si="78"/>
        <v>45745</v>
      </c>
      <c r="O975" s="3">
        <f>(Table13[[#This Row],[Units_Sold]]*Table13[[#This Row],[Unit_Price_Cleaned]]*(1-Table13[[#This Row],[Discount Cleaned]]))</f>
        <v>1970.232</v>
      </c>
      <c r="P975" t="str">
        <f t="shared" si="79"/>
        <v>Profit</v>
      </c>
      <c r="Q975" t="str" cm="1">
        <f t="array" ref="Q975">IF(K975="",INDEX($K$2:$K$2501,MATCH(MAX(COUNTIF($K$2:$K$2501,$K$2:$K$2501)),COUNTIF($K$2:$K$2501,$K$2:$K$2501),0)),K975)</f>
        <v>B2C</v>
      </c>
    </row>
    <row r="976" spans="1:17" x14ac:dyDescent="0.3">
      <c r="A976">
        <v>1974</v>
      </c>
      <c r="B976" t="s">
        <v>1019</v>
      </c>
      <c r="C976" t="s">
        <v>13</v>
      </c>
      <c r="D976" t="s">
        <v>102</v>
      </c>
      <c r="E976">
        <v>2</v>
      </c>
      <c r="F976">
        <v>3286.66</v>
      </c>
      <c r="H976" s="3">
        <f t="shared" si="75"/>
        <v>6573.32</v>
      </c>
      <c r="J976" t="s">
        <v>18</v>
      </c>
      <c r="K976" t="s">
        <v>23</v>
      </c>
      <c r="L976" s="2">
        <f t="shared" si="76"/>
        <v>3286.66</v>
      </c>
      <c r="M976" s="4">
        <f t="shared" si="77"/>
        <v>0.6</v>
      </c>
      <c r="N976" s="1">
        <f t="shared" si="78"/>
        <v>45782</v>
      </c>
      <c r="O976" s="3">
        <f>(Table13[[#This Row],[Units_Sold]]*Table13[[#This Row],[Unit_Price_Cleaned]]*(1-Table13[[#This Row],[Discount Cleaned]]))</f>
        <v>2629.328</v>
      </c>
      <c r="P976" t="str">
        <f t="shared" si="79"/>
        <v>Profit</v>
      </c>
      <c r="Q976" t="str" cm="1">
        <f t="array" ref="Q976">IF(K976="",INDEX($K$2:$K$2501,MATCH(MAX(COUNTIF($K$2:$K$2501,$K$2:$K$2501)),COUNTIF($K$2:$K$2501,$K$2:$K$2501),0)),K976)</f>
        <v>B2B</v>
      </c>
    </row>
    <row r="977" spans="1:17" x14ac:dyDescent="0.3">
      <c r="A977">
        <v>1975</v>
      </c>
      <c r="B977" t="s">
        <v>1020</v>
      </c>
      <c r="C977" t="s">
        <v>33</v>
      </c>
      <c r="D977" t="s">
        <v>72</v>
      </c>
      <c r="E977">
        <v>2</v>
      </c>
      <c r="F977">
        <v>3853.49</v>
      </c>
      <c r="H977" s="3">
        <f t="shared" si="75"/>
        <v>7706.98</v>
      </c>
      <c r="J977" t="s">
        <v>22</v>
      </c>
      <c r="K977" t="s">
        <v>23</v>
      </c>
      <c r="L977" s="2">
        <f t="shared" si="76"/>
        <v>3853.49</v>
      </c>
      <c r="M977" s="4">
        <f t="shared" si="77"/>
        <v>0.6</v>
      </c>
      <c r="N977" s="1">
        <f t="shared" si="78"/>
        <v>45782</v>
      </c>
      <c r="O977" s="3">
        <f>(Table13[[#This Row],[Units_Sold]]*Table13[[#This Row],[Unit_Price_Cleaned]]*(1-Table13[[#This Row],[Discount Cleaned]]))</f>
        <v>3082.7919999999999</v>
      </c>
      <c r="P977" t="str">
        <f t="shared" si="79"/>
        <v>Profit</v>
      </c>
      <c r="Q977" t="str" cm="1">
        <f t="array" ref="Q977">IF(K977="",INDEX($K$2:$K$2501,MATCH(MAX(COUNTIF($K$2:$K$2501,$K$2:$K$2501)),COUNTIF($K$2:$K$2501,$K$2:$K$2501),0)),K977)</f>
        <v>B2B</v>
      </c>
    </row>
    <row r="978" spans="1:17" x14ac:dyDescent="0.3">
      <c r="A978">
        <v>1976</v>
      </c>
      <c r="B978" t="s">
        <v>1021</v>
      </c>
      <c r="C978" t="s">
        <v>13</v>
      </c>
      <c r="D978" t="s">
        <v>102</v>
      </c>
      <c r="E978">
        <v>2</v>
      </c>
      <c r="F978">
        <v>4363.08</v>
      </c>
      <c r="H978" s="3">
        <f t="shared" si="75"/>
        <v>8726.16</v>
      </c>
      <c r="I978" s="1">
        <v>45803</v>
      </c>
      <c r="J978" t="s">
        <v>15</v>
      </c>
      <c r="K978" t="s">
        <v>16</v>
      </c>
      <c r="L978" s="2">
        <f t="shared" si="76"/>
        <v>4363.08</v>
      </c>
      <c r="M978" s="4">
        <f t="shared" si="77"/>
        <v>0.6</v>
      </c>
      <c r="N978" s="1">
        <f t="shared" si="78"/>
        <v>45803</v>
      </c>
      <c r="O978" s="3">
        <f>(Table13[[#This Row],[Units_Sold]]*Table13[[#This Row],[Unit_Price_Cleaned]]*(1-Table13[[#This Row],[Discount Cleaned]]))</f>
        <v>3490.4639999999999</v>
      </c>
      <c r="P978" t="str">
        <f t="shared" si="79"/>
        <v>Profit</v>
      </c>
      <c r="Q978" t="str" cm="1">
        <f t="array" ref="Q978">IF(K978="",INDEX($K$2:$K$2501,MATCH(MAX(COUNTIF($K$2:$K$2501,$K$2:$K$2501)),COUNTIF($K$2:$K$2501,$K$2:$K$2501),0)),K978)</f>
        <v>B2C</v>
      </c>
    </row>
    <row r="979" spans="1:17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 s="3">
        <f t="shared" si="75"/>
        <v>8252.58</v>
      </c>
      <c r="J979" t="s">
        <v>22</v>
      </c>
      <c r="L979" s="2">
        <f t="shared" si="76"/>
        <v>4126.29</v>
      </c>
      <c r="M979" s="4">
        <f t="shared" si="77"/>
        <v>0.6</v>
      </c>
      <c r="N979" s="1">
        <f t="shared" si="78"/>
        <v>45782</v>
      </c>
      <c r="O979" s="3">
        <f>(Table13[[#This Row],[Units_Sold]]*Table13[[#This Row],[Unit_Price_Cleaned]]*(1-Table13[[#This Row],[Discount Cleaned]]))</f>
        <v>3301.0320000000002</v>
      </c>
      <c r="P979" t="str">
        <f t="shared" si="79"/>
        <v>Profit</v>
      </c>
      <c r="Q979" t="str" cm="1">
        <f t="array" ref="Q979">IF(K979="",INDEX($K$2:$K$2501,MATCH(MAX(COUNTIF($K$2:$K$2501,$K$2:$K$2501)),COUNTIF($K$2:$K$2501,$K$2:$K$2501),0)),K979)</f>
        <v>B2B</v>
      </c>
    </row>
    <row r="980" spans="1:17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 s="3">
        <f t="shared" si="75"/>
        <v>10862.18339622641</v>
      </c>
      <c r="I980" s="1">
        <v>45522</v>
      </c>
      <c r="J980" t="s">
        <v>22</v>
      </c>
      <c r="L980" s="2">
        <f t="shared" si="76"/>
        <v>2715.5458490566025</v>
      </c>
      <c r="M980" s="4">
        <f t="shared" si="77"/>
        <v>0.6</v>
      </c>
      <c r="N980" s="1">
        <f t="shared" si="78"/>
        <v>45522</v>
      </c>
      <c r="O980" s="3">
        <f>(Table13[[#This Row],[Units_Sold]]*Table13[[#This Row],[Unit_Price_Cleaned]]*(1-Table13[[#This Row],[Discount Cleaned]]))</f>
        <v>4344.873358490564</v>
      </c>
      <c r="P980" t="str">
        <f t="shared" si="79"/>
        <v>Profit</v>
      </c>
      <c r="Q980" t="str" cm="1">
        <f t="array" ref="Q980">IF(K980="",INDEX($K$2:$K$2501,MATCH(MAX(COUNTIF($K$2:$K$2501,$K$2:$K$2501)),COUNTIF($K$2:$K$2501,$K$2:$K$2501),0)),K980)</f>
        <v>B2B</v>
      </c>
    </row>
    <row r="981" spans="1:17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 s="3">
        <f t="shared" si="75"/>
        <v>-8751.4</v>
      </c>
      <c r="I981" s="1">
        <v>45821</v>
      </c>
      <c r="J981" t="s">
        <v>40</v>
      </c>
      <c r="K981" t="s">
        <v>23</v>
      </c>
      <c r="L981" s="2">
        <f t="shared" si="76"/>
        <v>4375.7</v>
      </c>
      <c r="M981" s="4">
        <f t="shared" si="77"/>
        <v>0.91</v>
      </c>
      <c r="N981" s="1">
        <f t="shared" si="78"/>
        <v>45821</v>
      </c>
      <c r="O981" s="3">
        <f>(Table13[[#This Row],[Units_Sold]]*Table13[[#This Row],[Unit_Price_Cleaned]]*(1-Table13[[#This Row],[Discount Cleaned]]))</f>
        <v>-787.62599999999975</v>
      </c>
      <c r="P981" t="str">
        <f t="shared" si="79"/>
        <v>Loss</v>
      </c>
      <c r="Q981" t="str" cm="1">
        <f t="array" ref="Q981">IF(K981="",INDEX($K$2:$K$2501,MATCH(MAX(COUNTIF($K$2:$K$2501,$K$2:$K$2501)),COUNTIF($K$2:$K$2501,$K$2:$K$2501),0)),K981)</f>
        <v>B2B</v>
      </c>
    </row>
    <row r="982" spans="1:17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 s="3">
        <f t="shared" si="75"/>
        <v>1426.73</v>
      </c>
      <c r="I982" s="1">
        <v>45207</v>
      </c>
      <c r="J982" t="s">
        <v>46</v>
      </c>
      <c r="K982" t="s">
        <v>16</v>
      </c>
      <c r="L982" s="2">
        <f t="shared" si="76"/>
        <v>1426.73</v>
      </c>
      <c r="M982" s="4">
        <f t="shared" si="77"/>
        <v>0.6</v>
      </c>
      <c r="N982" s="1">
        <f t="shared" si="78"/>
        <v>45207</v>
      </c>
      <c r="O982" s="3">
        <f>(Table13[[#This Row],[Units_Sold]]*Table13[[#This Row],[Unit_Price_Cleaned]]*(1-Table13[[#This Row],[Discount Cleaned]]))</f>
        <v>570.69200000000001</v>
      </c>
      <c r="P982" t="str">
        <f t="shared" si="79"/>
        <v>Profit</v>
      </c>
      <c r="Q982" t="str" cm="1">
        <f t="array" ref="Q982">IF(K982="",INDEX($K$2:$K$2501,MATCH(MAX(COUNTIF($K$2:$K$2501,$K$2:$K$2501)),COUNTIF($K$2:$K$2501,$K$2:$K$2501),0)),K982)</f>
        <v>B2C</v>
      </c>
    </row>
    <row r="983" spans="1:17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 s="3">
        <f t="shared" si="75"/>
        <v>0</v>
      </c>
      <c r="J983" t="s">
        <v>15</v>
      </c>
      <c r="K983" t="s">
        <v>23</v>
      </c>
      <c r="L983" s="2">
        <f t="shared" si="76"/>
        <v>2804.2651923076919</v>
      </c>
      <c r="M983" s="4">
        <f t="shared" si="77"/>
        <v>0.6</v>
      </c>
      <c r="N983" s="1">
        <f t="shared" si="78"/>
        <v>45782</v>
      </c>
      <c r="O983" s="3">
        <f>(Table13[[#This Row],[Units_Sold]]*Table13[[#This Row],[Unit_Price_Cleaned]]*(1-Table13[[#This Row],[Discount Cleaned]]))</f>
        <v>0</v>
      </c>
      <c r="P983" t="str">
        <f t="shared" si="79"/>
        <v>Loss</v>
      </c>
      <c r="Q983" t="str" cm="1">
        <f t="array" ref="Q983">IF(K983="",INDEX($K$2:$K$2501,MATCH(MAX(COUNTIF($K$2:$K$2501,$K$2:$K$2501)),COUNTIF($K$2:$K$2501,$K$2:$K$2501),0)),K983)</f>
        <v>B2B</v>
      </c>
    </row>
    <row r="984" spans="1:17" x14ac:dyDescent="0.3">
      <c r="A984">
        <v>1982</v>
      </c>
      <c r="B984" t="s">
        <v>1027</v>
      </c>
      <c r="C984" t="s">
        <v>38</v>
      </c>
      <c r="D984" t="s">
        <v>63</v>
      </c>
      <c r="E984">
        <v>2</v>
      </c>
      <c r="F984">
        <v>3701.72</v>
      </c>
      <c r="H984" s="3">
        <f t="shared" si="75"/>
        <v>7403.44</v>
      </c>
      <c r="J984" t="s">
        <v>18</v>
      </c>
      <c r="L984" s="2">
        <f t="shared" si="76"/>
        <v>3701.72</v>
      </c>
      <c r="M984" s="4">
        <f t="shared" si="77"/>
        <v>0.6</v>
      </c>
      <c r="N984" s="1">
        <f t="shared" si="78"/>
        <v>45782</v>
      </c>
      <c r="O984" s="3">
        <f>(Table13[[#This Row],[Units_Sold]]*Table13[[#This Row],[Unit_Price_Cleaned]]*(1-Table13[[#This Row],[Discount Cleaned]]))</f>
        <v>2961.3760000000002</v>
      </c>
      <c r="P984" t="str">
        <f t="shared" si="79"/>
        <v>Profit</v>
      </c>
      <c r="Q984" t="str" cm="1">
        <f t="array" ref="Q984">IF(K984="",INDEX($K$2:$K$2501,MATCH(MAX(COUNTIF($K$2:$K$2501,$K$2:$K$2501)),COUNTIF($K$2:$K$2501,$K$2:$K$2501),0)),K984)</f>
        <v>B2B</v>
      </c>
    </row>
    <row r="985" spans="1:17" x14ac:dyDescent="0.3">
      <c r="A985">
        <v>1983</v>
      </c>
      <c r="B985" t="s">
        <v>1028</v>
      </c>
      <c r="C985" t="s">
        <v>20</v>
      </c>
      <c r="D985" t="s">
        <v>80</v>
      </c>
      <c r="E985">
        <v>2</v>
      </c>
      <c r="F985">
        <v>2348.2600000000002</v>
      </c>
      <c r="H985" s="3">
        <f t="shared" si="75"/>
        <v>4696.5200000000004</v>
      </c>
      <c r="I985" s="1">
        <v>45756</v>
      </c>
      <c r="J985" t="s">
        <v>40</v>
      </c>
      <c r="K985" t="s">
        <v>23</v>
      </c>
      <c r="L985" s="2">
        <f t="shared" si="76"/>
        <v>2348.2600000000002</v>
      </c>
      <c r="M985" s="4">
        <f t="shared" si="77"/>
        <v>0.6</v>
      </c>
      <c r="N985" s="1">
        <f t="shared" si="78"/>
        <v>45756</v>
      </c>
      <c r="O985" s="3">
        <f>(Table13[[#This Row],[Units_Sold]]*Table13[[#This Row],[Unit_Price_Cleaned]]*(1-Table13[[#This Row],[Discount Cleaned]]))</f>
        <v>1878.6080000000002</v>
      </c>
      <c r="P985" t="str">
        <f t="shared" si="79"/>
        <v>Profit</v>
      </c>
      <c r="Q985" t="str" cm="1">
        <f t="array" ref="Q985">IF(K985="",INDEX($K$2:$K$2501,MATCH(MAX(COUNTIF($K$2:$K$2501,$K$2:$K$2501)),COUNTIF($K$2:$K$2501,$K$2:$K$2501),0)),K985)</f>
        <v>B2B</v>
      </c>
    </row>
    <row r="986" spans="1:17" x14ac:dyDescent="0.3">
      <c r="A986">
        <v>1984</v>
      </c>
      <c r="B986" t="s">
        <v>1029</v>
      </c>
      <c r="C986" t="s">
        <v>38</v>
      </c>
      <c r="D986" t="s">
        <v>59</v>
      </c>
      <c r="E986">
        <v>2</v>
      </c>
      <c r="G986">
        <v>1.25</v>
      </c>
      <c r="H986" s="3">
        <f t="shared" si="75"/>
        <v>5608.5303846153838</v>
      </c>
      <c r="I986" s="1">
        <v>45555</v>
      </c>
      <c r="J986" t="s">
        <v>40</v>
      </c>
      <c r="K986" t="s">
        <v>23</v>
      </c>
      <c r="L986" s="2">
        <f t="shared" si="76"/>
        <v>2804.2651923076919</v>
      </c>
      <c r="M986" s="4">
        <f t="shared" si="77"/>
        <v>1.25</v>
      </c>
      <c r="N986" s="1">
        <f t="shared" si="78"/>
        <v>45555</v>
      </c>
      <c r="O986" s="3">
        <f>(Table13[[#This Row],[Units_Sold]]*Table13[[#This Row],[Unit_Price_Cleaned]]*(1-Table13[[#This Row],[Discount Cleaned]]))</f>
        <v>-1402.132596153846</v>
      </c>
      <c r="P986" t="str">
        <f t="shared" si="79"/>
        <v>Loss</v>
      </c>
      <c r="Q986" t="str" cm="1">
        <f t="array" ref="Q986">IF(K986="",INDEX($K$2:$K$2501,MATCH(MAX(COUNTIF($K$2:$K$2501,$K$2:$K$2501)),COUNTIF($K$2:$K$2501,$K$2:$K$2501),0)),K986)</f>
        <v>B2B</v>
      </c>
    </row>
    <row r="987" spans="1:17" x14ac:dyDescent="0.3">
      <c r="A987">
        <v>1985</v>
      </c>
      <c r="B987" t="s">
        <v>1030</v>
      </c>
      <c r="C987" t="s">
        <v>25</v>
      </c>
      <c r="D987" t="s">
        <v>86</v>
      </c>
      <c r="E987">
        <v>2</v>
      </c>
      <c r="F987">
        <v>1668.18</v>
      </c>
      <c r="G987">
        <v>0.63</v>
      </c>
      <c r="H987" s="3">
        <f t="shared" si="75"/>
        <v>3336.36</v>
      </c>
      <c r="I987" s="1">
        <v>45638</v>
      </c>
      <c r="J987" t="s">
        <v>15</v>
      </c>
      <c r="L987" s="2">
        <f t="shared" si="76"/>
        <v>1668.18</v>
      </c>
      <c r="M987" s="4">
        <f t="shared" si="77"/>
        <v>0.63</v>
      </c>
      <c r="N987" s="1">
        <f t="shared" si="78"/>
        <v>45638</v>
      </c>
      <c r="O987" s="3">
        <f>(Table13[[#This Row],[Units_Sold]]*Table13[[#This Row],[Unit_Price_Cleaned]]*(1-Table13[[#This Row],[Discount Cleaned]]))</f>
        <v>1234.4531999999999</v>
      </c>
      <c r="P987" t="str">
        <f t="shared" si="79"/>
        <v>Profit</v>
      </c>
      <c r="Q987" t="str" cm="1">
        <f t="array" ref="Q987">IF(K987="",INDEX($K$2:$K$2501,MATCH(MAX(COUNTIF($K$2:$K$2501,$K$2:$K$2501)),COUNTIF($K$2:$K$2501,$K$2:$K$2501),0)),K987)</f>
        <v>B2B</v>
      </c>
    </row>
    <row r="988" spans="1:17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 s="3">
        <f t="shared" si="75"/>
        <v>0</v>
      </c>
      <c r="I988" s="1">
        <v>45672</v>
      </c>
      <c r="J988" t="s">
        <v>56</v>
      </c>
      <c r="L988" s="2">
        <f t="shared" si="76"/>
        <v>3008.3844444444444</v>
      </c>
      <c r="M988" s="4">
        <f t="shared" si="77"/>
        <v>0.06</v>
      </c>
      <c r="N988" s="1">
        <f t="shared" si="78"/>
        <v>45672</v>
      </c>
      <c r="O988" s="3">
        <f>(Table13[[#This Row],[Units_Sold]]*Table13[[#This Row],[Unit_Price_Cleaned]]*(1-Table13[[#This Row],[Discount Cleaned]]))</f>
        <v>0</v>
      </c>
      <c r="P988" t="str">
        <f t="shared" si="79"/>
        <v>Loss</v>
      </c>
      <c r="Q988" t="str" cm="1">
        <f t="array" ref="Q988">IF(K988="",INDEX($K$2:$K$2501,MATCH(MAX(COUNTIF($K$2:$K$2501,$K$2:$K$2501)),COUNTIF($K$2:$K$2501,$K$2:$K$2501),0)),K988)</f>
        <v>B2B</v>
      </c>
    </row>
    <row r="989" spans="1:17" x14ac:dyDescent="0.3">
      <c r="A989">
        <v>1987</v>
      </c>
      <c r="B989" t="s">
        <v>1032</v>
      </c>
      <c r="C989" t="s">
        <v>29</v>
      </c>
      <c r="D989" t="s">
        <v>30</v>
      </c>
      <c r="E989">
        <v>2</v>
      </c>
      <c r="G989">
        <v>0.8</v>
      </c>
      <c r="H989" s="3">
        <f t="shared" si="75"/>
        <v>5235.2780769230776</v>
      </c>
      <c r="I989" s="1">
        <v>45667</v>
      </c>
      <c r="J989" t="s">
        <v>56</v>
      </c>
      <c r="L989" s="2">
        <f t="shared" si="76"/>
        <v>2617.6390384615388</v>
      </c>
      <c r="M989" s="4">
        <f t="shared" si="77"/>
        <v>0.8</v>
      </c>
      <c r="N989" s="1">
        <f t="shared" si="78"/>
        <v>45667</v>
      </c>
      <c r="O989" s="3">
        <f>(Table13[[#This Row],[Units_Sold]]*Table13[[#This Row],[Unit_Price_Cleaned]]*(1-Table13[[#This Row],[Discount Cleaned]]))</f>
        <v>1047.0556153846153</v>
      </c>
      <c r="P989" t="str">
        <f t="shared" si="79"/>
        <v>Profit</v>
      </c>
      <c r="Q989" t="str" cm="1">
        <f t="array" ref="Q989">IF(K989="",INDEX($K$2:$K$2501,MATCH(MAX(COUNTIF($K$2:$K$2501,$K$2:$K$2501)),COUNTIF($K$2:$K$2501,$K$2:$K$2501),0)),K989)</f>
        <v>B2B</v>
      </c>
    </row>
    <row r="990" spans="1:17" x14ac:dyDescent="0.3">
      <c r="A990">
        <v>1988</v>
      </c>
      <c r="B990" t="s">
        <v>1033</v>
      </c>
      <c r="C990" t="s">
        <v>25</v>
      </c>
      <c r="D990" t="s">
        <v>86</v>
      </c>
      <c r="E990">
        <v>2</v>
      </c>
      <c r="H990" s="3">
        <f t="shared" si="75"/>
        <v>5003.0619999999999</v>
      </c>
      <c r="I990" s="1">
        <v>45741</v>
      </c>
      <c r="J990" t="s">
        <v>40</v>
      </c>
      <c r="K990" t="s">
        <v>23</v>
      </c>
      <c r="L990" s="2">
        <f t="shared" si="76"/>
        <v>2501.5309999999999</v>
      </c>
      <c r="M990" s="4">
        <f t="shared" si="77"/>
        <v>0.6</v>
      </c>
      <c r="N990" s="1">
        <f t="shared" si="78"/>
        <v>45741</v>
      </c>
      <c r="O990" s="3">
        <f>(Table13[[#This Row],[Units_Sold]]*Table13[[#This Row],[Unit_Price_Cleaned]]*(1-Table13[[#This Row],[Discount Cleaned]]))</f>
        <v>2001.2248</v>
      </c>
      <c r="P990" t="str">
        <f t="shared" si="79"/>
        <v>Profit</v>
      </c>
      <c r="Q990" t="str" cm="1">
        <f t="array" ref="Q990">IF(K990="",INDEX($K$2:$K$2501,MATCH(MAX(COUNTIF($K$2:$K$2501,$K$2:$K$2501)),COUNTIF($K$2:$K$2501,$K$2:$K$2501),0)),K990)</f>
        <v>B2B</v>
      </c>
    </row>
    <row r="991" spans="1:17" x14ac:dyDescent="0.3">
      <c r="A991">
        <v>1989</v>
      </c>
      <c r="B991" t="s">
        <v>1034</v>
      </c>
      <c r="C991" t="s">
        <v>33</v>
      </c>
      <c r="D991" t="s">
        <v>34</v>
      </c>
      <c r="E991">
        <v>2</v>
      </c>
      <c r="H991" s="3">
        <f t="shared" si="75"/>
        <v>4974.07923076923</v>
      </c>
      <c r="I991" s="1">
        <v>45740</v>
      </c>
      <c r="J991" t="s">
        <v>18</v>
      </c>
      <c r="L991" s="2">
        <f t="shared" si="76"/>
        <v>2487.039615384615</v>
      </c>
      <c r="M991" s="4">
        <f t="shared" si="77"/>
        <v>0.6</v>
      </c>
      <c r="N991" s="1">
        <f t="shared" si="78"/>
        <v>45740</v>
      </c>
      <c r="O991" s="3">
        <f>(Table13[[#This Row],[Units_Sold]]*Table13[[#This Row],[Unit_Price_Cleaned]]*(1-Table13[[#This Row],[Discount Cleaned]]))</f>
        <v>1989.631692307692</v>
      </c>
      <c r="P991" t="str">
        <f t="shared" si="79"/>
        <v>Profit</v>
      </c>
      <c r="Q991" t="str" cm="1">
        <f t="array" ref="Q991">IF(K991="",INDEX($K$2:$K$2501,MATCH(MAX(COUNTIF($K$2:$K$2501,$K$2:$K$2501)),COUNTIF($K$2:$K$2501,$K$2:$K$2501),0)),K991)</f>
        <v>B2B</v>
      </c>
    </row>
    <row r="992" spans="1:17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 s="3">
        <f t="shared" si="75"/>
        <v>-1203.45</v>
      </c>
      <c r="I992" s="1">
        <v>45774</v>
      </c>
      <c r="J992" t="s">
        <v>15</v>
      </c>
      <c r="K992" t="s">
        <v>16</v>
      </c>
      <c r="L992" s="2">
        <f t="shared" si="76"/>
        <v>1203.45</v>
      </c>
      <c r="M992" s="4">
        <f t="shared" si="77"/>
        <v>0.6</v>
      </c>
      <c r="N992" s="1">
        <f t="shared" si="78"/>
        <v>45774</v>
      </c>
      <c r="O992" s="3">
        <f>(Table13[[#This Row],[Units_Sold]]*Table13[[#This Row],[Unit_Price_Cleaned]]*(1-Table13[[#This Row],[Discount Cleaned]]))</f>
        <v>-481.38000000000005</v>
      </c>
      <c r="P992" t="str">
        <f t="shared" si="79"/>
        <v>Loss</v>
      </c>
      <c r="Q992" t="str" cm="1">
        <f t="array" ref="Q992">IF(K992="",INDEX($K$2:$K$2501,MATCH(MAX(COUNTIF($K$2:$K$2501,$K$2:$K$2501)),COUNTIF($K$2:$K$2501,$K$2:$K$2501),0)),K992)</f>
        <v>B2C</v>
      </c>
    </row>
    <row r="993" spans="1:17" x14ac:dyDescent="0.3">
      <c r="A993">
        <v>1991</v>
      </c>
      <c r="B993" t="s">
        <v>1036</v>
      </c>
      <c r="C993" t="s">
        <v>20</v>
      </c>
      <c r="D993" t="s">
        <v>122</v>
      </c>
      <c r="E993">
        <v>2</v>
      </c>
      <c r="F993">
        <v>2808.46</v>
      </c>
      <c r="G993">
        <v>0.67</v>
      </c>
      <c r="H993" s="3">
        <f t="shared" si="75"/>
        <v>5616.92</v>
      </c>
      <c r="J993" t="s">
        <v>22</v>
      </c>
      <c r="K993" t="s">
        <v>16</v>
      </c>
      <c r="L993" s="2">
        <f t="shared" si="76"/>
        <v>2808.46</v>
      </c>
      <c r="M993" s="4">
        <f t="shared" si="77"/>
        <v>0.67</v>
      </c>
      <c r="N993" s="1">
        <f t="shared" si="78"/>
        <v>45782</v>
      </c>
      <c r="O993" s="3">
        <f>(Table13[[#This Row],[Units_Sold]]*Table13[[#This Row],[Unit_Price_Cleaned]]*(1-Table13[[#This Row],[Discount Cleaned]]))</f>
        <v>1853.5835999999997</v>
      </c>
      <c r="P993" t="str">
        <f t="shared" si="79"/>
        <v>Profit</v>
      </c>
      <c r="Q993" t="str" cm="1">
        <f t="array" ref="Q993">IF(K993="",INDEX($K$2:$K$2501,MATCH(MAX(COUNTIF($K$2:$K$2501,$K$2:$K$2501)),COUNTIF($K$2:$K$2501,$K$2:$K$2501),0)),K993)</f>
        <v>B2C</v>
      </c>
    </row>
    <row r="994" spans="1:17" x14ac:dyDescent="0.3">
      <c r="A994">
        <v>1992</v>
      </c>
      <c r="B994" t="s">
        <v>1037</v>
      </c>
      <c r="C994" t="s">
        <v>33</v>
      </c>
      <c r="D994" t="s">
        <v>72</v>
      </c>
      <c r="E994">
        <v>2</v>
      </c>
      <c r="G994">
        <v>0.72</v>
      </c>
      <c r="H994" s="3">
        <f t="shared" si="75"/>
        <v>5431.091698113205</v>
      </c>
      <c r="J994" t="s">
        <v>40</v>
      </c>
      <c r="K994" t="s">
        <v>23</v>
      </c>
      <c r="L994" s="2">
        <f t="shared" si="76"/>
        <v>2715.5458490566025</v>
      </c>
      <c r="M994" s="4">
        <f t="shared" si="77"/>
        <v>0.72</v>
      </c>
      <c r="N994" s="1">
        <f t="shared" si="78"/>
        <v>45782</v>
      </c>
      <c r="O994" s="3">
        <f>(Table13[[#This Row],[Units_Sold]]*Table13[[#This Row],[Unit_Price_Cleaned]]*(1-Table13[[#This Row],[Discount Cleaned]]))</f>
        <v>1520.7056754716975</v>
      </c>
      <c r="P994" t="str">
        <f t="shared" si="79"/>
        <v>Profit</v>
      </c>
      <c r="Q994" t="str" cm="1">
        <f t="array" ref="Q994">IF(K994="",INDEX($K$2:$K$2501,MATCH(MAX(COUNTIF($K$2:$K$2501,$K$2:$K$2501)),COUNTIF($K$2:$K$2501,$K$2:$K$2501),0)),K994)</f>
        <v>B2B</v>
      </c>
    </row>
    <row r="995" spans="1:17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 s="3">
        <f t="shared" si="75"/>
        <v>0</v>
      </c>
      <c r="I995" s="1">
        <v>45213</v>
      </c>
      <c r="J995" t="s">
        <v>46</v>
      </c>
      <c r="K995" t="s">
        <v>16</v>
      </c>
      <c r="L995" s="2">
        <f t="shared" si="76"/>
        <v>2501.5309999999999</v>
      </c>
      <c r="M995" s="4">
        <f t="shared" si="77"/>
        <v>0.6</v>
      </c>
      <c r="N995" s="1">
        <f t="shared" si="78"/>
        <v>45213</v>
      </c>
      <c r="O995" s="3">
        <f>(Table13[[#This Row],[Units_Sold]]*Table13[[#This Row],[Unit_Price_Cleaned]]*(1-Table13[[#This Row],[Discount Cleaned]]))</f>
        <v>0</v>
      </c>
      <c r="P995" t="str">
        <f t="shared" si="79"/>
        <v>Loss</v>
      </c>
      <c r="Q995" t="str" cm="1">
        <f t="array" ref="Q995">IF(K995="",INDEX($K$2:$K$2501,MATCH(MAX(COUNTIF($K$2:$K$2501,$K$2:$K$2501)),COUNTIF($K$2:$K$2501,$K$2:$K$2501),0)),K995)</f>
        <v>B2C</v>
      </c>
    </row>
    <row r="996" spans="1:17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 s="3">
        <f t="shared" si="75"/>
        <v>-1010.48</v>
      </c>
      <c r="I996" s="1">
        <v>45499</v>
      </c>
      <c r="J996" t="s">
        <v>56</v>
      </c>
      <c r="K996" t="s">
        <v>16</v>
      </c>
      <c r="L996" s="2">
        <f t="shared" si="76"/>
        <v>1010.48</v>
      </c>
      <c r="M996" s="4">
        <f t="shared" si="77"/>
        <v>0.6</v>
      </c>
      <c r="N996" s="1">
        <f t="shared" si="78"/>
        <v>45499</v>
      </c>
      <c r="O996" s="3">
        <f>(Table13[[#This Row],[Units_Sold]]*Table13[[#This Row],[Unit_Price_Cleaned]]*(1-Table13[[#This Row],[Discount Cleaned]]))</f>
        <v>-404.19200000000001</v>
      </c>
      <c r="P996" t="str">
        <f t="shared" si="79"/>
        <v>Loss</v>
      </c>
      <c r="Q996" t="str" cm="1">
        <f t="array" ref="Q996">IF(K996="",INDEX($K$2:$K$2501,MATCH(MAX(COUNTIF($K$2:$K$2501,$K$2:$K$2501)),COUNTIF($K$2:$K$2501,$K$2:$K$2501),0)),K996)</f>
        <v>B2C</v>
      </c>
    </row>
    <row r="997" spans="1:17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 s="3">
        <f t="shared" si="75"/>
        <v>10800.505217391301</v>
      </c>
      <c r="I997" s="1">
        <v>45721</v>
      </c>
      <c r="J997" t="s">
        <v>15</v>
      </c>
      <c r="K997" t="s">
        <v>16</v>
      </c>
      <c r="L997" s="2">
        <f t="shared" si="76"/>
        <v>2700.1263043478252</v>
      </c>
      <c r="M997" s="4">
        <f t="shared" si="77"/>
        <v>0.6</v>
      </c>
      <c r="N997" s="1">
        <f t="shared" si="78"/>
        <v>45721</v>
      </c>
      <c r="O997" s="3">
        <f>(Table13[[#This Row],[Units_Sold]]*Table13[[#This Row],[Unit_Price_Cleaned]]*(1-Table13[[#This Row],[Discount Cleaned]]))</f>
        <v>4320.2020869565204</v>
      </c>
      <c r="P997" t="str">
        <f t="shared" si="79"/>
        <v>Profit</v>
      </c>
      <c r="Q997" t="str" cm="1">
        <f t="array" ref="Q997">IF(K997="",INDEX($K$2:$K$2501,MATCH(MAX(COUNTIF($K$2:$K$2501,$K$2:$K$2501)),COUNTIF($K$2:$K$2501,$K$2:$K$2501),0)),K997)</f>
        <v>B2C</v>
      </c>
    </row>
    <row r="998" spans="1:17" x14ac:dyDescent="0.3">
      <c r="A998">
        <v>1996</v>
      </c>
      <c r="B998" t="s">
        <v>1041</v>
      </c>
      <c r="C998" t="s">
        <v>29</v>
      </c>
      <c r="D998" t="s">
        <v>120</v>
      </c>
      <c r="E998">
        <v>2</v>
      </c>
      <c r="H998" s="3">
        <f t="shared" si="75"/>
        <v>5660.2651428571462</v>
      </c>
      <c r="I998" s="1">
        <v>45777</v>
      </c>
      <c r="J998" t="s">
        <v>22</v>
      </c>
      <c r="L998" s="2">
        <f t="shared" si="76"/>
        <v>2830.1325714285731</v>
      </c>
      <c r="M998" s="4">
        <f t="shared" si="77"/>
        <v>0.6</v>
      </c>
      <c r="N998" s="1">
        <f t="shared" si="78"/>
        <v>45777</v>
      </c>
      <c r="O998" s="3">
        <f>(Table13[[#This Row],[Units_Sold]]*Table13[[#This Row],[Unit_Price_Cleaned]]*(1-Table13[[#This Row],[Discount Cleaned]]))</f>
        <v>2264.1060571428584</v>
      </c>
      <c r="P998" t="str">
        <f t="shared" si="79"/>
        <v>Profit</v>
      </c>
      <c r="Q998" t="str" cm="1">
        <f t="array" ref="Q998">IF(K998="",INDEX($K$2:$K$2501,MATCH(MAX(COUNTIF($K$2:$K$2501,$K$2:$K$2501)),COUNTIF($K$2:$K$2501,$K$2:$K$2501),0)),K998)</f>
        <v>B2B</v>
      </c>
    </row>
    <row r="999" spans="1:17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 s="3">
        <f t="shared" si="75"/>
        <v>10724.697454545454</v>
      </c>
      <c r="I999" s="1">
        <v>45726</v>
      </c>
      <c r="J999" t="s">
        <v>15</v>
      </c>
      <c r="K999" t="s">
        <v>16</v>
      </c>
      <c r="L999" s="2">
        <f t="shared" si="76"/>
        <v>2681.1743636363635</v>
      </c>
      <c r="M999" s="4">
        <f t="shared" si="77"/>
        <v>0.53</v>
      </c>
      <c r="N999" s="1">
        <f t="shared" si="78"/>
        <v>45726</v>
      </c>
      <c r="O999" s="3">
        <f>(Table13[[#This Row],[Units_Sold]]*Table13[[#This Row],[Unit_Price_Cleaned]]*(1-Table13[[#This Row],[Discount Cleaned]]))</f>
        <v>5040.6078036363633</v>
      </c>
      <c r="P999" t="str">
        <f t="shared" si="79"/>
        <v>Profit</v>
      </c>
      <c r="Q999" t="str" cm="1">
        <f t="array" ref="Q999">IF(K999="",INDEX($K$2:$K$2501,MATCH(MAX(COUNTIF($K$2:$K$2501,$K$2:$K$2501)),COUNTIF($K$2:$K$2501,$K$2:$K$2501),0)),K999)</f>
        <v>B2C</v>
      </c>
    </row>
    <row r="1000" spans="1:17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 s="3">
        <f t="shared" si="75"/>
        <v>12837.95</v>
      </c>
      <c r="I1000" s="1">
        <v>45203</v>
      </c>
      <c r="J1000" t="s">
        <v>15</v>
      </c>
      <c r="K1000" t="s">
        <v>16</v>
      </c>
      <c r="L1000" s="2">
        <f t="shared" si="76"/>
        <v>2567.59</v>
      </c>
      <c r="M1000" s="4">
        <f t="shared" si="77"/>
        <v>0.6</v>
      </c>
      <c r="N1000" s="1">
        <f t="shared" si="78"/>
        <v>45203</v>
      </c>
      <c r="O1000" s="3">
        <f>(Table13[[#This Row],[Units_Sold]]*Table13[[#This Row],[Unit_Price_Cleaned]]*(1-Table13[[#This Row],[Discount Cleaned]]))</f>
        <v>5135.18</v>
      </c>
      <c r="P1000" t="str">
        <f t="shared" si="79"/>
        <v>Profit</v>
      </c>
      <c r="Q1000" t="str" cm="1">
        <f t="array" ref="Q1000">IF(K1000="",INDEX($K$2:$K$2501,MATCH(MAX(COUNTIF($K$2:$K$2501,$K$2:$K$2501)),COUNTIF($K$2:$K$2501,$K$2:$K$2501),0)),K1000)</f>
        <v>B2C</v>
      </c>
    </row>
    <row r="1001" spans="1:17" x14ac:dyDescent="0.3">
      <c r="A1001">
        <v>1999</v>
      </c>
      <c r="B1001" t="s">
        <v>1044</v>
      </c>
      <c r="C1001" t="s">
        <v>25</v>
      </c>
      <c r="D1001" t="s">
        <v>66</v>
      </c>
      <c r="E1001">
        <v>2</v>
      </c>
      <c r="G1001">
        <v>0.81</v>
      </c>
      <c r="H1001" s="3">
        <f t="shared" si="75"/>
        <v>5145.5528000000013</v>
      </c>
      <c r="I1001" s="1">
        <v>45773</v>
      </c>
      <c r="J1001" t="s">
        <v>56</v>
      </c>
      <c r="K1001" t="s">
        <v>16</v>
      </c>
      <c r="L1001" s="2">
        <f t="shared" si="76"/>
        <v>2572.7764000000006</v>
      </c>
      <c r="M1001" s="4">
        <f t="shared" si="77"/>
        <v>0.81</v>
      </c>
      <c r="N1001" s="1">
        <f t="shared" si="78"/>
        <v>45773</v>
      </c>
      <c r="O1001" s="3">
        <f>(Table13[[#This Row],[Units_Sold]]*Table13[[#This Row],[Unit_Price_Cleaned]]*(1-Table13[[#This Row],[Discount Cleaned]]))</f>
        <v>977.65503200000001</v>
      </c>
      <c r="P1001" t="str">
        <f t="shared" si="79"/>
        <v>Profit</v>
      </c>
      <c r="Q1001" t="str" cm="1">
        <f t="array" ref="Q1001">IF(K1001="",INDEX($K$2:$K$2501,MATCH(MAX(COUNTIF($K$2:$K$2501,$K$2:$K$2501)),COUNTIF($K$2:$K$2501,$K$2:$K$2501),0)),K1001)</f>
        <v>B2C</v>
      </c>
    </row>
    <row r="1002" spans="1:17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 s="3">
        <f t="shared" si="75"/>
        <v>-1966.21</v>
      </c>
      <c r="I1002" s="1">
        <v>45520</v>
      </c>
      <c r="J1002" t="s">
        <v>40</v>
      </c>
      <c r="L1002" s="2">
        <f t="shared" si="76"/>
        <v>1966.21</v>
      </c>
      <c r="M1002" s="4">
        <f t="shared" si="77"/>
        <v>0.6</v>
      </c>
      <c r="N1002" s="1">
        <f t="shared" si="78"/>
        <v>45520</v>
      </c>
      <c r="O1002" s="3">
        <f>(Table13[[#This Row],[Units_Sold]]*Table13[[#This Row],[Unit_Price_Cleaned]]*(1-Table13[[#This Row],[Discount Cleaned]]))</f>
        <v>-786.48400000000004</v>
      </c>
      <c r="P1002" t="str">
        <f t="shared" si="79"/>
        <v>Loss</v>
      </c>
      <c r="Q1002" t="str" cm="1">
        <f t="array" ref="Q1002">IF(K1002="",INDEX($K$2:$K$2501,MATCH(MAX(COUNTIF($K$2:$K$2501,$K$2:$K$2501)),COUNTIF($K$2:$K$2501,$K$2:$K$2501),0)),K1002)</f>
        <v>B2B</v>
      </c>
    </row>
    <row r="1003" spans="1:17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 s="3">
        <f t="shared" si="75"/>
        <v>2845.2419672131159</v>
      </c>
      <c r="J1003" t="s">
        <v>22</v>
      </c>
      <c r="K1003" t="s">
        <v>16</v>
      </c>
      <c r="L1003" s="2">
        <f t="shared" si="76"/>
        <v>2845.2419672131159</v>
      </c>
      <c r="M1003" s="4">
        <f t="shared" si="77"/>
        <v>0.6</v>
      </c>
      <c r="N1003" s="1">
        <f t="shared" si="78"/>
        <v>45782</v>
      </c>
      <c r="O1003" s="3">
        <f>(Table13[[#This Row],[Units_Sold]]*Table13[[#This Row],[Unit_Price_Cleaned]]*(1-Table13[[#This Row],[Discount Cleaned]]))</f>
        <v>1138.0967868852465</v>
      </c>
      <c r="P1003" t="str">
        <f t="shared" si="79"/>
        <v>Profit</v>
      </c>
      <c r="Q1003" t="str" cm="1">
        <f t="array" ref="Q1003">IF(K1003="",INDEX($K$2:$K$2501,MATCH(MAX(COUNTIF($K$2:$K$2501,$K$2:$K$2501)),COUNTIF($K$2:$K$2501,$K$2:$K$2501),0)),K1003)</f>
        <v>B2C</v>
      </c>
    </row>
    <row r="1004" spans="1:17" x14ac:dyDescent="0.3">
      <c r="A1004">
        <v>2002</v>
      </c>
      <c r="B1004" t="s">
        <v>1047</v>
      </c>
      <c r="C1004" t="s">
        <v>33</v>
      </c>
      <c r="D1004" t="s">
        <v>34</v>
      </c>
      <c r="E1004">
        <v>2</v>
      </c>
      <c r="F1004">
        <v>1335.29</v>
      </c>
      <c r="H1004" s="3">
        <f t="shared" si="75"/>
        <v>2670.58</v>
      </c>
      <c r="I1004" s="1">
        <v>45623</v>
      </c>
      <c r="J1004" t="s">
        <v>18</v>
      </c>
      <c r="K1004" t="s">
        <v>16</v>
      </c>
      <c r="L1004" s="2">
        <f t="shared" si="76"/>
        <v>1335.29</v>
      </c>
      <c r="M1004" s="4">
        <f t="shared" si="77"/>
        <v>0.6</v>
      </c>
      <c r="N1004" s="1">
        <f t="shared" si="78"/>
        <v>45623</v>
      </c>
      <c r="O1004" s="3">
        <f>(Table13[[#This Row],[Units_Sold]]*Table13[[#This Row],[Unit_Price_Cleaned]]*(1-Table13[[#This Row],[Discount Cleaned]]))</f>
        <v>1068.232</v>
      </c>
      <c r="P1004" t="str">
        <f t="shared" si="79"/>
        <v>Profit</v>
      </c>
      <c r="Q1004" t="str" cm="1">
        <f t="array" ref="Q1004">IF(K1004="",INDEX($K$2:$K$2501,MATCH(MAX(COUNTIF($K$2:$K$2501,$K$2:$K$2501)),COUNTIF($K$2:$K$2501,$K$2:$K$2501),0)),K1004)</f>
        <v>B2C</v>
      </c>
    </row>
    <row r="1005" spans="1:17" x14ac:dyDescent="0.3">
      <c r="A1005">
        <v>2003</v>
      </c>
      <c r="B1005" t="s">
        <v>1048</v>
      </c>
      <c r="C1005" t="s">
        <v>20</v>
      </c>
      <c r="D1005" t="s">
        <v>88</v>
      </c>
      <c r="E1005">
        <v>2</v>
      </c>
      <c r="F1005">
        <v>2910.84</v>
      </c>
      <c r="H1005" s="3">
        <f t="shared" si="75"/>
        <v>5821.68</v>
      </c>
      <c r="I1005" s="1">
        <v>45577</v>
      </c>
      <c r="J1005" t="s">
        <v>18</v>
      </c>
      <c r="K1005" t="s">
        <v>16</v>
      </c>
      <c r="L1005" s="2">
        <f t="shared" si="76"/>
        <v>2910.84</v>
      </c>
      <c r="M1005" s="4">
        <f t="shared" si="77"/>
        <v>0.6</v>
      </c>
      <c r="N1005" s="1">
        <f t="shared" si="78"/>
        <v>45577</v>
      </c>
      <c r="O1005" s="3">
        <f>(Table13[[#This Row],[Units_Sold]]*Table13[[#This Row],[Unit_Price_Cleaned]]*(1-Table13[[#This Row],[Discount Cleaned]]))</f>
        <v>2328.672</v>
      </c>
      <c r="P1005" t="str">
        <f t="shared" si="79"/>
        <v>Profit</v>
      </c>
      <c r="Q1005" t="str" cm="1">
        <f t="array" ref="Q1005">IF(K1005="",INDEX($K$2:$K$2501,MATCH(MAX(COUNTIF($K$2:$K$2501,$K$2:$K$2501)),COUNTIF($K$2:$K$2501,$K$2:$K$2501),0)),K1005)</f>
        <v>B2C</v>
      </c>
    </row>
    <row r="1006" spans="1:17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 s="3">
        <f t="shared" si="75"/>
        <v>-2483.5844000000002</v>
      </c>
      <c r="I1006" s="1">
        <v>45605</v>
      </c>
      <c r="J1006" t="s">
        <v>22</v>
      </c>
      <c r="K1006" t="s">
        <v>23</v>
      </c>
      <c r="L1006" s="2">
        <f t="shared" si="76"/>
        <v>2483.5844000000002</v>
      </c>
      <c r="M1006" s="4">
        <f t="shared" si="77"/>
        <v>0.6</v>
      </c>
      <c r="N1006" s="1">
        <f t="shared" si="78"/>
        <v>45605</v>
      </c>
      <c r="O1006" s="3">
        <f>(Table13[[#This Row],[Units_Sold]]*Table13[[#This Row],[Unit_Price_Cleaned]]*(1-Table13[[#This Row],[Discount Cleaned]]))</f>
        <v>-993.43376000000012</v>
      </c>
      <c r="P1006" t="str">
        <f t="shared" si="79"/>
        <v>Loss</v>
      </c>
      <c r="Q1006" t="str" cm="1">
        <f t="array" ref="Q1006">IF(K1006="",INDEX($K$2:$K$2501,MATCH(MAX(COUNTIF($K$2:$K$2501,$K$2:$K$2501)),COUNTIF($K$2:$K$2501,$K$2:$K$2501),0)),K1006)</f>
        <v>B2B</v>
      </c>
    </row>
    <row r="1007" spans="1:17" x14ac:dyDescent="0.3">
      <c r="A1007">
        <v>2005</v>
      </c>
      <c r="B1007" t="s">
        <v>1050</v>
      </c>
      <c r="C1007" t="s">
        <v>13</v>
      </c>
      <c r="D1007" t="s">
        <v>49</v>
      </c>
      <c r="E1007">
        <v>2</v>
      </c>
      <c r="H1007" s="3">
        <f t="shared" si="75"/>
        <v>5570.1755932203387</v>
      </c>
      <c r="I1007" s="1">
        <v>45559</v>
      </c>
      <c r="J1007" t="s">
        <v>15</v>
      </c>
      <c r="L1007" s="2">
        <f t="shared" si="76"/>
        <v>2785.0877966101693</v>
      </c>
      <c r="M1007" s="4">
        <f t="shared" si="77"/>
        <v>0.6</v>
      </c>
      <c r="N1007" s="1">
        <f t="shared" si="78"/>
        <v>45559</v>
      </c>
      <c r="O1007" s="3">
        <f>(Table13[[#This Row],[Units_Sold]]*Table13[[#This Row],[Unit_Price_Cleaned]]*(1-Table13[[#This Row],[Discount Cleaned]]))</f>
        <v>2228.0702372881356</v>
      </c>
      <c r="P1007" t="str">
        <f t="shared" si="79"/>
        <v>Profit</v>
      </c>
      <c r="Q1007" t="str" cm="1">
        <f t="array" ref="Q1007">IF(K1007="",INDEX($K$2:$K$2501,MATCH(MAX(COUNTIF($K$2:$K$2501,$K$2:$K$2501)),COUNTIF($K$2:$K$2501,$K$2:$K$2501),0)),K1007)</f>
        <v>B2B</v>
      </c>
    </row>
    <row r="1008" spans="1:17" x14ac:dyDescent="0.3">
      <c r="A1008">
        <v>2006</v>
      </c>
      <c r="B1008" t="s">
        <v>1051</v>
      </c>
      <c r="C1008" t="s">
        <v>29</v>
      </c>
      <c r="D1008" t="s">
        <v>141</v>
      </c>
      <c r="E1008">
        <v>2</v>
      </c>
      <c r="F1008">
        <v>1283.6199999999999</v>
      </c>
      <c r="H1008" s="3">
        <f t="shared" si="75"/>
        <v>2567.2399999999998</v>
      </c>
      <c r="J1008" t="s">
        <v>18</v>
      </c>
      <c r="K1008" t="s">
        <v>16</v>
      </c>
      <c r="L1008" s="2">
        <f t="shared" si="76"/>
        <v>1283.6199999999999</v>
      </c>
      <c r="M1008" s="4">
        <f t="shared" si="77"/>
        <v>0.6</v>
      </c>
      <c r="N1008" s="1">
        <f t="shared" si="78"/>
        <v>45782</v>
      </c>
      <c r="O1008" s="3">
        <f>(Table13[[#This Row],[Units_Sold]]*Table13[[#This Row],[Unit_Price_Cleaned]]*(1-Table13[[#This Row],[Discount Cleaned]]))</f>
        <v>1026.896</v>
      </c>
      <c r="P1008" t="str">
        <f t="shared" si="79"/>
        <v>Profit</v>
      </c>
      <c r="Q1008" t="str" cm="1">
        <f t="array" ref="Q1008">IF(K1008="",INDEX($K$2:$K$2501,MATCH(MAX(COUNTIF($K$2:$K$2501,$K$2:$K$2501)),COUNTIF($K$2:$K$2501,$K$2:$K$2501),0)),K1008)</f>
        <v>B2C</v>
      </c>
    </row>
    <row r="1009" spans="1:17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 s="3">
        <f t="shared" si="75"/>
        <v>10239.33</v>
      </c>
      <c r="J1009" t="s">
        <v>56</v>
      </c>
      <c r="K1009" t="s">
        <v>23</v>
      </c>
      <c r="L1009" s="2">
        <f t="shared" si="76"/>
        <v>3413.11</v>
      </c>
      <c r="M1009" s="4">
        <f t="shared" si="77"/>
        <v>0.9</v>
      </c>
      <c r="N1009" s="1">
        <f t="shared" si="78"/>
        <v>45782</v>
      </c>
      <c r="O1009" s="3">
        <f>(Table13[[#This Row],[Units_Sold]]*Table13[[#This Row],[Unit_Price_Cleaned]]*(1-Table13[[#This Row],[Discount Cleaned]]))</f>
        <v>1023.9329999999998</v>
      </c>
      <c r="P1009" t="str">
        <f t="shared" si="79"/>
        <v>Profit</v>
      </c>
      <c r="Q1009" t="str" cm="1">
        <f t="array" ref="Q1009">IF(K1009="",INDEX($K$2:$K$2501,MATCH(MAX(COUNTIF($K$2:$K$2501,$K$2:$K$2501)),COUNTIF($K$2:$K$2501,$K$2:$K$2501),0)),K1009)</f>
        <v>B2B</v>
      </c>
    </row>
    <row r="1010" spans="1:17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 s="3">
        <f t="shared" si="75"/>
        <v>3853.08</v>
      </c>
      <c r="J1010" t="s">
        <v>18</v>
      </c>
      <c r="K1010" t="s">
        <v>16</v>
      </c>
      <c r="L1010" s="2">
        <f t="shared" si="76"/>
        <v>1284.3599999999999</v>
      </c>
      <c r="M1010" s="4">
        <f t="shared" si="77"/>
        <v>0.6</v>
      </c>
      <c r="N1010" s="1">
        <f t="shared" si="78"/>
        <v>45782</v>
      </c>
      <c r="O1010" s="3">
        <f>(Table13[[#This Row],[Units_Sold]]*Table13[[#This Row],[Unit_Price_Cleaned]]*(1-Table13[[#This Row],[Discount Cleaned]]))</f>
        <v>1541.232</v>
      </c>
      <c r="P1010" t="str">
        <f t="shared" si="79"/>
        <v>Profit</v>
      </c>
      <c r="Q1010" t="str" cm="1">
        <f t="array" ref="Q1010">IF(K1010="",INDEX($K$2:$K$2501,MATCH(MAX(COUNTIF($K$2:$K$2501,$K$2:$K$2501)),COUNTIF($K$2:$K$2501,$K$2:$K$2501),0)),K1010)</f>
        <v>B2C</v>
      </c>
    </row>
    <row r="1011" spans="1:17" x14ac:dyDescent="0.3">
      <c r="A1011">
        <v>2009</v>
      </c>
      <c r="B1011" t="s">
        <v>1054</v>
      </c>
      <c r="C1011" t="s">
        <v>13</v>
      </c>
      <c r="D1011" t="s">
        <v>49</v>
      </c>
      <c r="E1011">
        <v>2</v>
      </c>
      <c r="F1011">
        <v>3385.59</v>
      </c>
      <c r="G1011">
        <v>0.02</v>
      </c>
      <c r="H1011" s="3">
        <f t="shared" si="75"/>
        <v>6771.18</v>
      </c>
      <c r="I1011" s="1">
        <v>45520</v>
      </c>
      <c r="J1011" t="s">
        <v>40</v>
      </c>
      <c r="K1011" t="s">
        <v>23</v>
      </c>
      <c r="L1011" s="2">
        <f t="shared" si="76"/>
        <v>3385.59</v>
      </c>
      <c r="M1011" s="4">
        <f t="shared" si="77"/>
        <v>0.02</v>
      </c>
      <c r="N1011" s="1">
        <f t="shared" si="78"/>
        <v>45520</v>
      </c>
      <c r="O1011" s="3">
        <f>(Table13[[#This Row],[Units_Sold]]*Table13[[#This Row],[Unit_Price_Cleaned]]*(1-Table13[[#This Row],[Discount Cleaned]]))</f>
        <v>6635.7564000000002</v>
      </c>
      <c r="P1011" t="str">
        <f t="shared" si="79"/>
        <v>Profit</v>
      </c>
      <c r="Q1011" t="str" cm="1">
        <f t="array" ref="Q1011">IF(K1011="",INDEX($K$2:$K$2501,MATCH(MAX(COUNTIF($K$2:$K$2501,$K$2:$K$2501)),COUNTIF($K$2:$K$2501,$K$2:$K$2501),0)),K1011)</f>
        <v>B2B</v>
      </c>
    </row>
    <row r="1012" spans="1:17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 s="3">
        <f t="shared" si="75"/>
        <v>-3630.24</v>
      </c>
      <c r="I1012" s="1">
        <v>45582</v>
      </c>
      <c r="J1012" t="s">
        <v>18</v>
      </c>
      <c r="L1012" s="2">
        <f t="shared" si="76"/>
        <v>3630.24</v>
      </c>
      <c r="M1012" s="4">
        <f t="shared" si="77"/>
        <v>0.6</v>
      </c>
      <c r="N1012" s="1">
        <f t="shared" si="78"/>
        <v>45582</v>
      </c>
      <c r="O1012" s="3">
        <f>(Table13[[#This Row],[Units_Sold]]*Table13[[#This Row],[Unit_Price_Cleaned]]*(1-Table13[[#This Row],[Discount Cleaned]]))</f>
        <v>-1452.096</v>
      </c>
      <c r="P1012" t="str">
        <f t="shared" si="79"/>
        <v>Loss</v>
      </c>
      <c r="Q1012" t="str" cm="1">
        <f t="array" ref="Q1012">IF(K1012="",INDEX($K$2:$K$2501,MATCH(MAX(COUNTIF($K$2:$K$2501,$K$2:$K$2501)),COUNTIF($K$2:$K$2501,$K$2:$K$2501),0)),K1012)</f>
        <v>B2B</v>
      </c>
    </row>
    <row r="1013" spans="1:17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 s="3">
        <f t="shared" si="75"/>
        <v>3989.68</v>
      </c>
      <c r="I1013" s="1">
        <v>45747</v>
      </c>
      <c r="J1013" t="s">
        <v>22</v>
      </c>
      <c r="K1013" t="s">
        <v>16</v>
      </c>
      <c r="L1013" s="2">
        <f t="shared" si="76"/>
        <v>3989.68</v>
      </c>
      <c r="M1013" s="4">
        <f t="shared" si="77"/>
        <v>0.6</v>
      </c>
      <c r="N1013" s="1">
        <f t="shared" si="78"/>
        <v>45747</v>
      </c>
      <c r="O1013" s="3">
        <f>(Table13[[#This Row],[Units_Sold]]*Table13[[#This Row],[Unit_Price_Cleaned]]*(1-Table13[[#This Row],[Discount Cleaned]]))</f>
        <v>1595.8720000000001</v>
      </c>
      <c r="P1013" t="str">
        <f t="shared" si="79"/>
        <v>Profit</v>
      </c>
      <c r="Q1013" t="str" cm="1">
        <f t="array" ref="Q1013">IF(K1013="",INDEX($K$2:$K$2501,MATCH(MAX(COUNTIF($K$2:$K$2501,$K$2:$K$2501)),COUNTIF($K$2:$K$2501,$K$2:$K$2501),0)),K1013)</f>
        <v>B2C</v>
      </c>
    </row>
    <row r="1014" spans="1:17" x14ac:dyDescent="0.3">
      <c r="A1014">
        <v>2012</v>
      </c>
      <c r="B1014" t="s">
        <v>1057</v>
      </c>
      <c r="C1014" t="s">
        <v>33</v>
      </c>
      <c r="D1014" t="s">
        <v>44</v>
      </c>
      <c r="E1014">
        <v>2</v>
      </c>
      <c r="F1014">
        <v>2674.79</v>
      </c>
      <c r="G1014">
        <v>0.8</v>
      </c>
      <c r="H1014" s="3">
        <f t="shared" si="75"/>
        <v>5349.58</v>
      </c>
      <c r="I1014" s="1">
        <v>45737</v>
      </c>
      <c r="J1014" t="s">
        <v>18</v>
      </c>
      <c r="K1014" t="s">
        <v>16</v>
      </c>
      <c r="L1014" s="2">
        <f t="shared" si="76"/>
        <v>2674.79</v>
      </c>
      <c r="M1014" s="4">
        <f t="shared" si="77"/>
        <v>0.8</v>
      </c>
      <c r="N1014" s="1">
        <f t="shared" si="78"/>
        <v>45737</v>
      </c>
      <c r="O1014" s="3">
        <f>(Table13[[#This Row],[Units_Sold]]*Table13[[#This Row],[Unit_Price_Cleaned]]*(1-Table13[[#This Row],[Discount Cleaned]]))</f>
        <v>1069.9159999999997</v>
      </c>
      <c r="P1014" t="str">
        <f t="shared" si="79"/>
        <v>Profit</v>
      </c>
      <c r="Q1014" t="str" cm="1">
        <f t="array" ref="Q1014">IF(K1014="",INDEX($K$2:$K$2501,MATCH(MAX(COUNTIF($K$2:$K$2501,$K$2:$K$2501)),COUNTIF($K$2:$K$2501,$K$2:$K$2501),0)),K1014)</f>
        <v>B2C</v>
      </c>
    </row>
    <row r="1015" spans="1:17" x14ac:dyDescent="0.3">
      <c r="A1015">
        <v>2013</v>
      </c>
      <c r="B1015" t="s">
        <v>1058</v>
      </c>
      <c r="C1015" t="s">
        <v>25</v>
      </c>
      <c r="D1015" t="s">
        <v>54</v>
      </c>
      <c r="E1015">
        <v>2</v>
      </c>
      <c r="H1015" s="3">
        <f t="shared" si="75"/>
        <v>5060.7673076923093</v>
      </c>
      <c r="I1015" s="1">
        <v>45796</v>
      </c>
      <c r="J1015" t="s">
        <v>22</v>
      </c>
      <c r="K1015" t="s">
        <v>16</v>
      </c>
      <c r="L1015" s="2">
        <f t="shared" si="76"/>
        <v>2530.3836538461546</v>
      </c>
      <c r="M1015" s="4">
        <f t="shared" si="77"/>
        <v>0.6</v>
      </c>
      <c r="N1015" s="1">
        <f t="shared" si="78"/>
        <v>45796</v>
      </c>
      <c r="O1015" s="3">
        <f>(Table13[[#This Row],[Units_Sold]]*Table13[[#This Row],[Unit_Price_Cleaned]]*(1-Table13[[#This Row],[Discount Cleaned]]))</f>
        <v>2024.3069230769238</v>
      </c>
      <c r="P1015" t="str">
        <f t="shared" si="79"/>
        <v>Profit</v>
      </c>
      <c r="Q1015" t="str" cm="1">
        <f t="array" ref="Q1015">IF(K1015="",INDEX($K$2:$K$2501,MATCH(MAX(COUNTIF($K$2:$K$2501,$K$2:$K$2501)),COUNTIF($K$2:$K$2501,$K$2:$K$2501),0)),K1015)</f>
        <v>B2C</v>
      </c>
    </row>
    <row r="1016" spans="1:17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 s="3">
        <f t="shared" si="75"/>
        <v>5400.2526086956505</v>
      </c>
      <c r="J1016" t="s">
        <v>15</v>
      </c>
      <c r="L1016" s="2">
        <f t="shared" si="76"/>
        <v>2700.1263043478252</v>
      </c>
      <c r="M1016" s="4">
        <f t="shared" si="77"/>
        <v>0.6</v>
      </c>
      <c r="N1016" s="1">
        <f t="shared" si="78"/>
        <v>45782</v>
      </c>
      <c r="O1016" s="3">
        <f>(Table13[[#This Row],[Units_Sold]]*Table13[[#This Row],[Unit_Price_Cleaned]]*(1-Table13[[#This Row],[Discount Cleaned]]))</f>
        <v>2160.1010434782602</v>
      </c>
      <c r="P1016" t="str">
        <f t="shared" si="79"/>
        <v>Profit</v>
      </c>
      <c r="Q1016" t="str" cm="1">
        <f t="array" ref="Q1016">IF(K1016="",INDEX($K$2:$K$2501,MATCH(MAX(COUNTIF($K$2:$K$2501,$K$2:$K$2501)),COUNTIF($K$2:$K$2501,$K$2:$K$2501),0)),K1016)</f>
        <v>B2B</v>
      </c>
    </row>
    <row r="1017" spans="1:17" x14ac:dyDescent="0.3">
      <c r="A1017">
        <v>2015</v>
      </c>
      <c r="B1017" t="s">
        <v>1060</v>
      </c>
      <c r="C1017" t="s">
        <v>38</v>
      </c>
      <c r="D1017" t="s">
        <v>39</v>
      </c>
      <c r="E1017">
        <v>2</v>
      </c>
      <c r="H1017" s="3">
        <f t="shared" si="75"/>
        <v>6016.7688888888888</v>
      </c>
      <c r="I1017" s="1">
        <v>45735</v>
      </c>
      <c r="J1017" t="s">
        <v>15</v>
      </c>
      <c r="K1017" t="s">
        <v>23</v>
      </c>
      <c r="L1017" s="2">
        <f t="shared" si="76"/>
        <v>3008.3844444444444</v>
      </c>
      <c r="M1017" s="4">
        <f t="shared" si="77"/>
        <v>0.6</v>
      </c>
      <c r="N1017" s="1">
        <f t="shared" si="78"/>
        <v>45735</v>
      </c>
      <c r="O1017" s="3">
        <f>(Table13[[#This Row],[Units_Sold]]*Table13[[#This Row],[Unit_Price_Cleaned]]*(1-Table13[[#This Row],[Discount Cleaned]]))</f>
        <v>2406.7075555555557</v>
      </c>
      <c r="P1017" t="str">
        <f t="shared" si="79"/>
        <v>Profit</v>
      </c>
      <c r="Q1017" t="str" cm="1">
        <f t="array" ref="Q1017">IF(K1017="",INDEX($K$2:$K$2501,MATCH(MAX(COUNTIF($K$2:$K$2501,$K$2:$K$2501)),COUNTIF($K$2:$K$2501,$K$2:$K$2501),0)),K1017)</f>
        <v>B2B</v>
      </c>
    </row>
    <row r="1018" spans="1:17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 s="3">
        <f t="shared" si="75"/>
        <v>-2871.7</v>
      </c>
      <c r="I1018" s="1">
        <v>45786</v>
      </c>
      <c r="J1018" t="s">
        <v>56</v>
      </c>
      <c r="K1018" t="s">
        <v>23</v>
      </c>
      <c r="L1018" s="2">
        <f t="shared" si="76"/>
        <v>1435.85</v>
      </c>
      <c r="M1018" s="4">
        <f t="shared" si="77"/>
        <v>0.6</v>
      </c>
      <c r="N1018" s="1">
        <f t="shared" si="78"/>
        <v>45786</v>
      </c>
      <c r="O1018" s="3">
        <f>(Table13[[#This Row],[Units_Sold]]*Table13[[#This Row],[Unit_Price_Cleaned]]*(1-Table13[[#This Row],[Discount Cleaned]]))</f>
        <v>-1148.68</v>
      </c>
      <c r="P1018" t="str">
        <f t="shared" si="79"/>
        <v>Loss</v>
      </c>
      <c r="Q1018" t="str" cm="1">
        <f t="array" ref="Q1018">IF(K1018="",INDEX($K$2:$K$2501,MATCH(MAX(COUNTIF($K$2:$K$2501,$K$2:$K$2501)),COUNTIF($K$2:$K$2501,$K$2:$K$2501),0)),K1018)</f>
        <v>B2B</v>
      </c>
    </row>
    <row r="1019" spans="1:17" x14ac:dyDescent="0.3">
      <c r="A1019">
        <v>2017</v>
      </c>
      <c r="B1019" t="s">
        <v>1062</v>
      </c>
      <c r="C1019" t="s">
        <v>13</v>
      </c>
      <c r="D1019" t="s">
        <v>102</v>
      </c>
      <c r="E1019">
        <v>2</v>
      </c>
      <c r="F1019">
        <v>3549.93</v>
      </c>
      <c r="H1019" s="3">
        <f t="shared" si="75"/>
        <v>7099.86</v>
      </c>
      <c r="J1019" t="s">
        <v>18</v>
      </c>
      <c r="K1019" t="s">
        <v>16</v>
      </c>
      <c r="L1019" s="2">
        <f t="shared" si="76"/>
        <v>3549.93</v>
      </c>
      <c r="M1019" s="4">
        <f t="shared" si="77"/>
        <v>0.6</v>
      </c>
      <c r="N1019" s="1">
        <f t="shared" si="78"/>
        <v>45782</v>
      </c>
      <c r="O1019" s="3">
        <f>(Table13[[#This Row],[Units_Sold]]*Table13[[#This Row],[Unit_Price_Cleaned]]*(1-Table13[[#This Row],[Discount Cleaned]]))</f>
        <v>2839.944</v>
      </c>
      <c r="P1019" t="str">
        <f t="shared" si="79"/>
        <v>Profit</v>
      </c>
      <c r="Q1019" t="str" cm="1">
        <f t="array" ref="Q1019">IF(K1019="",INDEX($K$2:$K$2501,MATCH(MAX(COUNTIF($K$2:$K$2501,$K$2:$K$2501)),COUNTIF($K$2:$K$2501,$K$2:$K$2501),0)),K1019)</f>
        <v>B2C</v>
      </c>
    </row>
    <row r="1020" spans="1:17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 s="3">
        <f t="shared" si="75"/>
        <v>12881.528448275858</v>
      </c>
      <c r="I1020" s="1">
        <v>45551</v>
      </c>
      <c r="J1020" t="s">
        <v>22</v>
      </c>
      <c r="K1020" t="s">
        <v>16</v>
      </c>
      <c r="L1020" s="2">
        <f t="shared" si="76"/>
        <v>2576.3056896551716</v>
      </c>
      <c r="M1020" s="4">
        <f t="shared" si="77"/>
        <v>0.91</v>
      </c>
      <c r="N1020" s="1">
        <f t="shared" si="78"/>
        <v>45551</v>
      </c>
      <c r="O1020" s="3">
        <f>(Table13[[#This Row],[Units_Sold]]*Table13[[#This Row],[Unit_Price_Cleaned]]*(1-Table13[[#This Row],[Discount Cleaned]]))</f>
        <v>1159.3375603448269</v>
      </c>
      <c r="P1020" t="str">
        <f t="shared" si="79"/>
        <v>Profit</v>
      </c>
      <c r="Q1020" t="str" cm="1">
        <f t="array" ref="Q1020">IF(K1020="",INDEX($K$2:$K$2501,MATCH(MAX(COUNTIF($K$2:$K$2501,$K$2:$K$2501)),COUNTIF($K$2:$K$2501,$K$2:$K$2501),0)),K1020)</f>
        <v>B2C</v>
      </c>
    </row>
    <row r="1021" spans="1:17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 s="3">
        <f t="shared" si="75"/>
        <v>3595.82</v>
      </c>
      <c r="I1021" s="1">
        <v>45680</v>
      </c>
      <c r="J1021" t="s">
        <v>18</v>
      </c>
      <c r="K1021" t="s">
        <v>16</v>
      </c>
      <c r="L1021" s="2">
        <f t="shared" si="76"/>
        <v>1797.91</v>
      </c>
      <c r="M1021" s="4">
        <f t="shared" si="77"/>
        <v>0.6</v>
      </c>
      <c r="N1021" s="1">
        <f t="shared" si="78"/>
        <v>45680</v>
      </c>
      <c r="O1021" s="3">
        <f>(Table13[[#This Row],[Units_Sold]]*Table13[[#This Row],[Unit_Price_Cleaned]]*(1-Table13[[#This Row],[Discount Cleaned]]))</f>
        <v>1438.3280000000002</v>
      </c>
      <c r="P1021" t="str">
        <f t="shared" si="79"/>
        <v>Profit</v>
      </c>
      <c r="Q1021" t="str" cm="1">
        <f t="array" ref="Q1021">IF(K1021="",INDEX($K$2:$K$2501,MATCH(MAX(COUNTIF($K$2:$K$2501,$K$2:$K$2501)),COUNTIF($K$2:$K$2501,$K$2:$K$2501),0)),K1021)</f>
        <v>B2C</v>
      </c>
    </row>
    <row r="1022" spans="1:17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 s="3">
        <f t="shared" si="75"/>
        <v>-7909.46</v>
      </c>
      <c r="I1022" s="1">
        <v>45788</v>
      </c>
      <c r="J1022" t="s">
        <v>40</v>
      </c>
      <c r="L1022" s="2">
        <f t="shared" si="76"/>
        <v>3954.73</v>
      </c>
      <c r="M1022" s="4">
        <f t="shared" si="77"/>
        <v>0.3</v>
      </c>
      <c r="N1022" s="1">
        <f t="shared" si="78"/>
        <v>45788</v>
      </c>
      <c r="O1022" s="3">
        <f>(Table13[[#This Row],[Units_Sold]]*Table13[[#This Row],[Unit_Price_Cleaned]]*(1-Table13[[#This Row],[Discount Cleaned]]))</f>
        <v>-5536.6219999999994</v>
      </c>
      <c r="P1022" t="str">
        <f t="shared" si="79"/>
        <v>Loss</v>
      </c>
      <c r="Q1022" t="str" cm="1">
        <f t="array" ref="Q1022">IF(K1022="",INDEX($K$2:$K$2501,MATCH(MAX(COUNTIF($K$2:$K$2501,$K$2:$K$2501)),COUNTIF($K$2:$K$2501,$K$2:$K$2501),0)),K1022)</f>
        <v>B2B</v>
      </c>
    </row>
    <row r="1023" spans="1:17" x14ac:dyDescent="0.3">
      <c r="A1023">
        <v>2021</v>
      </c>
      <c r="B1023" t="s">
        <v>1066</v>
      </c>
      <c r="C1023" t="s">
        <v>25</v>
      </c>
      <c r="D1023" t="s">
        <v>54</v>
      </c>
      <c r="E1023">
        <v>2</v>
      </c>
      <c r="F1023">
        <v>4178.18</v>
      </c>
      <c r="G1023">
        <v>1.27</v>
      </c>
      <c r="H1023" s="3">
        <f t="shared" si="75"/>
        <v>8356.36</v>
      </c>
      <c r="I1023" s="1">
        <v>45153</v>
      </c>
      <c r="J1023" t="s">
        <v>22</v>
      </c>
      <c r="L1023" s="2">
        <f t="shared" si="76"/>
        <v>4178.18</v>
      </c>
      <c r="M1023" s="4">
        <f t="shared" si="77"/>
        <v>1.27</v>
      </c>
      <c r="N1023" s="1">
        <f t="shared" si="78"/>
        <v>45153</v>
      </c>
      <c r="O1023" s="3">
        <f>(Table13[[#This Row],[Units_Sold]]*Table13[[#This Row],[Unit_Price_Cleaned]]*(1-Table13[[#This Row],[Discount Cleaned]]))</f>
        <v>-2256.2172000000005</v>
      </c>
      <c r="P1023" t="str">
        <f t="shared" si="79"/>
        <v>Loss</v>
      </c>
      <c r="Q1023" t="str" cm="1">
        <f t="array" ref="Q1023">IF(K1023="",INDEX($K$2:$K$2501,MATCH(MAX(COUNTIF($K$2:$K$2501,$K$2:$K$2501)),COUNTIF($K$2:$K$2501,$K$2:$K$2501),0)),K1023)</f>
        <v>B2B</v>
      </c>
    </row>
    <row r="1024" spans="1:17" x14ac:dyDescent="0.3">
      <c r="A1024">
        <v>2022</v>
      </c>
      <c r="B1024" t="s">
        <v>1067</v>
      </c>
      <c r="C1024" t="s">
        <v>25</v>
      </c>
      <c r="D1024" t="s">
        <v>26</v>
      </c>
      <c r="E1024">
        <v>2</v>
      </c>
      <c r="F1024">
        <v>3094.77</v>
      </c>
      <c r="H1024" s="3">
        <f t="shared" si="75"/>
        <v>6189.54</v>
      </c>
      <c r="I1024" s="1">
        <v>45817</v>
      </c>
      <c r="J1024" t="s">
        <v>46</v>
      </c>
      <c r="K1024" t="s">
        <v>23</v>
      </c>
      <c r="L1024" s="2">
        <f t="shared" si="76"/>
        <v>3094.77</v>
      </c>
      <c r="M1024" s="4">
        <f t="shared" si="77"/>
        <v>0.6</v>
      </c>
      <c r="N1024" s="1">
        <f t="shared" si="78"/>
        <v>45817</v>
      </c>
      <c r="O1024" s="3">
        <f>(Table13[[#This Row],[Units_Sold]]*Table13[[#This Row],[Unit_Price_Cleaned]]*(1-Table13[[#This Row],[Discount Cleaned]]))</f>
        <v>2475.8160000000003</v>
      </c>
      <c r="P1024" t="str">
        <f t="shared" si="79"/>
        <v>Profit</v>
      </c>
      <c r="Q1024" t="str" cm="1">
        <f t="array" ref="Q1024">IF(K1024="",INDEX($K$2:$K$2501,MATCH(MAX(COUNTIF($K$2:$K$2501,$K$2:$K$2501)),COUNTIF($K$2:$K$2501,$K$2:$K$2501),0)),K1024)</f>
        <v>B2B</v>
      </c>
    </row>
    <row r="1025" spans="1:17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 s="3">
        <f t="shared" si="75"/>
        <v>1854.54</v>
      </c>
      <c r="J1025" t="s">
        <v>18</v>
      </c>
      <c r="K1025" t="s">
        <v>16</v>
      </c>
      <c r="L1025" s="2">
        <f t="shared" si="76"/>
        <v>618.17999999999995</v>
      </c>
      <c r="M1025" s="4">
        <f t="shared" si="77"/>
        <v>0.6</v>
      </c>
      <c r="N1025" s="1">
        <f t="shared" si="78"/>
        <v>45782</v>
      </c>
      <c r="O1025" s="3">
        <f>(Table13[[#This Row],[Units_Sold]]*Table13[[#This Row],[Unit_Price_Cleaned]]*(1-Table13[[#This Row],[Discount Cleaned]]))</f>
        <v>741.81600000000003</v>
      </c>
      <c r="P1025" t="str">
        <f t="shared" si="79"/>
        <v>Profit</v>
      </c>
      <c r="Q1025" t="str" cm="1">
        <f t="array" ref="Q1025">IF(K1025="",INDEX($K$2:$K$2501,MATCH(MAX(COUNTIF($K$2:$K$2501,$K$2:$K$2501)),COUNTIF($K$2:$K$2501,$K$2:$K$2501),0)),K1025)</f>
        <v>B2C</v>
      </c>
    </row>
    <row r="1026" spans="1:17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 s="3">
        <f t="shared" ref="H1026:H1089" si="80">(L1026*E1026)</f>
        <v>16880.8</v>
      </c>
      <c r="I1026" s="1">
        <v>45274</v>
      </c>
      <c r="J1026" t="s">
        <v>15</v>
      </c>
      <c r="K1026" t="s">
        <v>16</v>
      </c>
      <c r="L1026" s="2">
        <f t="shared" ref="L1026:L1089" si="81">IF(F1026="",AVERAGEIF($D$2:$D$2501,D1026,$F$2:$F$2501),F1026)</f>
        <v>4220.2</v>
      </c>
      <c r="M1026" s="4">
        <f t="shared" ref="M1026:M1089" si="82">IF(G1026="",MEDIAN($G$2,$G$2501),G1026)</f>
        <v>0.6</v>
      </c>
      <c r="N1026" s="1">
        <f t="shared" ref="N1026:N1089" si="83">IF(I1026="",MODE($I$32:$I$2501),I1026)</f>
        <v>45274</v>
      </c>
      <c r="O1026" s="3">
        <f>(Table13[[#This Row],[Units_Sold]]*Table13[[#This Row],[Unit_Price_Cleaned]]*(1-Table13[[#This Row],[Discount Cleaned]]))</f>
        <v>6752.32</v>
      </c>
      <c r="P1026" t="str">
        <f t="shared" ref="P1026:P1089" si="84">IF(O1026&gt;500,"Profit","Loss")</f>
        <v>Profit</v>
      </c>
      <c r="Q1026" t="str" cm="1">
        <f t="array" ref="Q1026">IF(K1026="",INDEX($K$2:$K$2501,MATCH(MAX(COUNTIF($K$2:$K$2501,$K$2:$K$2501)),COUNTIF($K$2:$K$2501,$K$2:$K$2501),0)),K1026)</f>
        <v>B2C</v>
      </c>
    </row>
    <row r="1027" spans="1:17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 s="3">
        <f t="shared" si="80"/>
        <v>11320.530285714292</v>
      </c>
      <c r="I1027" s="1">
        <v>45750</v>
      </c>
      <c r="J1027" t="s">
        <v>15</v>
      </c>
      <c r="K1027" t="s">
        <v>23</v>
      </c>
      <c r="L1027" s="2">
        <f t="shared" si="81"/>
        <v>2830.1325714285731</v>
      </c>
      <c r="M1027" s="4">
        <f t="shared" si="82"/>
        <v>0.6</v>
      </c>
      <c r="N1027" s="1">
        <f t="shared" si="83"/>
        <v>45750</v>
      </c>
      <c r="O1027" s="3">
        <f>(Table13[[#This Row],[Units_Sold]]*Table13[[#This Row],[Unit_Price_Cleaned]]*(1-Table13[[#This Row],[Discount Cleaned]]))</f>
        <v>4528.2121142857168</v>
      </c>
      <c r="P1027" t="str">
        <f t="shared" si="84"/>
        <v>Profit</v>
      </c>
      <c r="Q1027" t="str" cm="1">
        <f t="array" ref="Q1027">IF(K1027="",INDEX($K$2:$K$2501,MATCH(MAX(COUNTIF($K$2:$K$2501,$K$2:$K$2501)),COUNTIF($K$2:$K$2501,$K$2:$K$2501),0)),K1027)</f>
        <v>B2B</v>
      </c>
    </row>
    <row r="1028" spans="1:17" x14ac:dyDescent="0.3">
      <c r="A1028">
        <v>2026</v>
      </c>
      <c r="B1028" t="s">
        <v>1071</v>
      </c>
      <c r="C1028" t="s">
        <v>25</v>
      </c>
      <c r="D1028" t="s">
        <v>54</v>
      </c>
      <c r="E1028">
        <v>2</v>
      </c>
      <c r="H1028" s="3">
        <f t="shared" si="80"/>
        <v>5060.7673076923093</v>
      </c>
      <c r="I1028" s="1">
        <v>45812</v>
      </c>
      <c r="J1028" t="s">
        <v>18</v>
      </c>
      <c r="L1028" s="2">
        <f t="shared" si="81"/>
        <v>2530.3836538461546</v>
      </c>
      <c r="M1028" s="4">
        <f t="shared" si="82"/>
        <v>0.6</v>
      </c>
      <c r="N1028" s="1">
        <f t="shared" si="83"/>
        <v>45812</v>
      </c>
      <c r="O1028" s="3">
        <f>(Table13[[#This Row],[Units_Sold]]*Table13[[#This Row],[Unit_Price_Cleaned]]*(1-Table13[[#This Row],[Discount Cleaned]]))</f>
        <v>2024.3069230769238</v>
      </c>
      <c r="P1028" t="str">
        <f t="shared" si="84"/>
        <v>Profit</v>
      </c>
      <c r="Q1028" t="str" cm="1">
        <f t="array" ref="Q1028">IF(K1028="",INDEX($K$2:$K$2501,MATCH(MAX(COUNTIF($K$2:$K$2501,$K$2:$K$2501)),COUNTIF($K$2:$K$2501,$K$2:$K$2501),0)),K1028)</f>
        <v>B2B</v>
      </c>
    </row>
    <row r="1029" spans="1:17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 s="3">
        <f t="shared" si="80"/>
        <v>13674.75</v>
      </c>
      <c r="I1029" s="1">
        <v>45661</v>
      </c>
      <c r="J1029" t="s">
        <v>22</v>
      </c>
      <c r="K1029" t="s">
        <v>16</v>
      </c>
      <c r="L1029" s="2">
        <f t="shared" si="81"/>
        <v>2734.95</v>
      </c>
      <c r="M1029" s="4">
        <f t="shared" si="82"/>
        <v>0.17</v>
      </c>
      <c r="N1029" s="1">
        <f t="shared" si="83"/>
        <v>45661</v>
      </c>
      <c r="O1029" s="3">
        <f>(Table13[[#This Row],[Units_Sold]]*Table13[[#This Row],[Unit_Price_Cleaned]]*(1-Table13[[#This Row],[Discount Cleaned]]))</f>
        <v>11350.0425</v>
      </c>
      <c r="P1029" t="str">
        <f t="shared" si="84"/>
        <v>Profit</v>
      </c>
      <c r="Q1029" t="str" cm="1">
        <f t="array" ref="Q1029">IF(K1029="",INDEX($K$2:$K$2501,MATCH(MAX(COUNTIF($K$2:$K$2501,$K$2:$K$2501)),COUNTIF($K$2:$K$2501,$K$2:$K$2501),0)),K1029)</f>
        <v>B2C</v>
      </c>
    </row>
    <row r="1030" spans="1:17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 s="3">
        <f t="shared" si="80"/>
        <v>5400.2526086956505</v>
      </c>
      <c r="I1030" s="1">
        <v>45549</v>
      </c>
      <c r="J1030" t="s">
        <v>40</v>
      </c>
      <c r="K1030" t="s">
        <v>23</v>
      </c>
      <c r="L1030" s="2">
        <f t="shared" si="81"/>
        <v>2700.1263043478252</v>
      </c>
      <c r="M1030" s="4">
        <f t="shared" si="82"/>
        <v>0.6</v>
      </c>
      <c r="N1030" s="1">
        <f t="shared" si="83"/>
        <v>45549</v>
      </c>
      <c r="O1030" s="3">
        <f>(Table13[[#This Row],[Units_Sold]]*Table13[[#This Row],[Unit_Price_Cleaned]]*(1-Table13[[#This Row],[Discount Cleaned]]))</f>
        <v>2160.1010434782602</v>
      </c>
      <c r="P1030" t="str">
        <f t="shared" si="84"/>
        <v>Profit</v>
      </c>
      <c r="Q1030" t="str" cm="1">
        <f t="array" ref="Q1030">IF(K1030="",INDEX($K$2:$K$2501,MATCH(MAX(COUNTIF($K$2:$K$2501,$K$2:$K$2501)),COUNTIF($K$2:$K$2501,$K$2:$K$2501),0)),K1030)</f>
        <v>B2B</v>
      </c>
    </row>
    <row r="1031" spans="1:17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 s="3">
        <f t="shared" si="80"/>
        <v>14901.506400000002</v>
      </c>
      <c r="I1031" s="1">
        <v>45625</v>
      </c>
      <c r="J1031" t="s">
        <v>40</v>
      </c>
      <c r="K1031" t="s">
        <v>23</v>
      </c>
      <c r="L1031" s="2">
        <f t="shared" si="81"/>
        <v>2483.5844000000002</v>
      </c>
      <c r="M1031" s="4">
        <f t="shared" si="82"/>
        <v>0.6</v>
      </c>
      <c r="N1031" s="1">
        <f t="shared" si="83"/>
        <v>45625</v>
      </c>
      <c r="O1031" s="3">
        <f>(Table13[[#This Row],[Units_Sold]]*Table13[[#This Row],[Unit_Price_Cleaned]]*(1-Table13[[#This Row],[Discount Cleaned]]))</f>
        <v>5960.6025600000012</v>
      </c>
      <c r="P1031" t="str">
        <f t="shared" si="84"/>
        <v>Profit</v>
      </c>
      <c r="Q1031" t="str" cm="1">
        <f t="array" ref="Q1031">IF(K1031="",INDEX($K$2:$K$2501,MATCH(MAX(COUNTIF($K$2:$K$2501,$K$2:$K$2501)),COUNTIF($K$2:$K$2501,$K$2:$K$2501),0)),K1031)</f>
        <v>B2B</v>
      </c>
    </row>
    <row r="1032" spans="1:17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 s="3">
        <f t="shared" si="80"/>
        <v>1354.69</v>
      </c>
      <c r="I1032" s="1">
        <v>45637</v>
      </c>
      <c r="J1032" t="s">
        <v>56</v>
      </c>
      <c r="K1032" t="s">
        <v>16</v>
      </c>
      <c r="L1032" s="2">
        <f t="shared" si="81"/>
        <v>1354.69</v>
      </c>
      <c r="M1032" s="4">
        <f t="shared" si="82"/>
        <v>0.6</v>
      </c>
      <c r="N1032" s="1">
        <f t="shared" si="83"/>
        <v>45637</v>
      </c>
      <c r="O1032" s="3">
        <f>(Table13[[#This Row],[Units_Sold]]*Table13[[#This Row],[Unit_Price_Cleaned]]*(1-Table13[[#This Row],[Discount Cleaned]]))</f>
        <v>541.87600000000009</v>
      </c>
      <c r="P1032" t="str">
        <f t="shared" si="84"/>
        <v>Profit</v>
      </c>
      <c r="Q1032" t="str" cm="1">
        <f t="array" ref="Q1032">IF(K1032="",INDEX($K$2:$K$2501,MATCH(MAX(COUNTIF($K$2:$K$2501,$K$2:$K$2501)),COUNTIF($K$2:$K$2501,$K$2:$K$2501),0)),K1032)</f>
        <v>B2C</v>
      </c>
    </row>
    <row r="1033" spans="1:17" x14ac:dyDescent="0.3">
      <c r="A1033">
        <v>2031</v>
      </c>
      <c r="B1033" t="s">
        <v>1076</v>
      </c>
      <c r="C1033" t="s">
        <v>38</v>
      </c>
      <c r="D1033" t="s">
        <v>59</v>
      </c>
      <c r="E1033">
        <v>2</v>
      </c>
      <c r="H1033" s="3">
        <f t="shared" si="80"/>
        <v>5608.5303846153838</v>
      </c>
      <c r="I1033" s="1">
        <v>45832</v>
      </c>
      <c r="J1033" t="s">
        <v>15</v>
      </c>
      <c r="L1033" s="2">
        <f t="shared" si="81"/>
        <v>2804.2651923076919</v>
      </c>
      <c r="M1033" s="4">
        <f t="shared" si="82"/>
        <v>0.6</v>
      </c>
      <c r="N1033" s="1">
        <f t="shared" si="83"/>
        <v>45832</v>
      </c>
      <c r="O1033" s="3">
        <f>(Table13[[#This Row],[Units_Sold]]*Table13[[#This Row],[Unit_Price_Cleaned]]*(1-Table13[[#This Row],[Discount Cleaned]]))</f>
        <v>2243.4121538461536</v>
      </c>
      <c r="P1033" t="str">
        <f t="shared" si="84"/>
        <v>Profit</v>
      </c>
      <c r="Q1033" t="str" cm="1">
        <f t="array" ref="Q1033">IF(K1033="",INDEX($K$2:$K$2501,MATCH(MAX(COUNTIF($K$2:$K$2501,$K$2:$K$2501)),COUNTIF($K$2:$K$2501,$K$2:$K$2501),0)),K1033)</f>
        <v>B2B</v>
      </c>
    </row>
    <row r="1034" spans="1:17" x14ac:dyDescent="0.3">
      <c r="A1034">
        <v>2032</v>
      </c>
      <c r="B1034" t="s">
        <v>1077</v>
      </c>
      <c r="C1034" t="s">
        <v>29</v>
      </c>
      <c r="D1034" t="s">
        <v>42</v>
      </c>
      <c r="E1034">
        <v>2</v>
      </c>
      <c r="F1034">
        <v>4910.91</v>
      </c>
      <c r="G1034">
        <v>1.1200000000000001</v>
      </c>
      <c r="H1034" s="3">
        <f t="shared" si="80"/>
        <v>9821.82</v>
      </c>
      <c r="I1034" s="1">
        <v>45153</v>
      </c>
      <c r="J1034" t="s">
        <v>56</v>
      </c>
      <c r="K1034" t="s">
        <v>23</v>
      </c>
      <c r="L1034" s="2">
        <f t="shared" si="81"/>
        <v>4910.91</v>
      </c>
      <c r="M1034" s="4">
        <f t="shared" si="82"/>
        <v>1.1200000000000001</v>
      </c>
      <c r="N1034" s="1">
        <f t="shared" si="83"/>
        <v>45153</v>
      </c>
      <c r="O1034" s="3">
        <f>(Table13[[#This Row],[Units_Sold]]*Table13[[#This Row],[Unit_Price_Cleaned]]*(1-Table13[[#This Row],[Discount Cleaned]]))</f>
        <v>-1178.618400000001</v>
      </c>
      <c r="P1034" t="str">
        <f t="shared" si="84"/>
        <v>Loss</v>
      </c>
      <c r="Q1034" t="str" cm="1">
        <f t="array" ref="Q1034">IF(K1034="",INDEX($K$2:$K$2501,MATCH(MAX(COUNTIF($K$2:$K$2501,$K$2:$K$2501)),COUNTIF($K$2:$K$2501,$K$2:$K$2501),0)),K1034)</f>
        <v>B2B</v>
      </c>
    </row>
    <row r="1035" spans="1:17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 s="3">
        <f t="shared" si="80"/>
        <v>18050.306666666667</v>
      </c>
      <c r="J1035" t="s">
        <v>56</v>
      </c>
      <c r="K1035" t="s">
        <v>23</v>
      </c>
      <c r="L1035" s="2">
        <f t="shared" si="81"/>
        <v>3008.3844444444444</v>
      </c>
      <c r="M1035" s="4">
        <f t="shared" si="82"/>
        <v>0.6</v>
      </c>
      <c r="N1035" s="1">
        <f t="shared" si="83"/>
        <v>45782</v>
      </c>
      <c r="O1035" s="3">
        <f>(Table13[[#This Row],[Units_Sold]]*Table13[[#This Row],[Unit_Price_Cleaned]]*(1-Table13[[#This Row],[Discount Cleaned]]))</f>
        <v>7220.1226666666671</v>
      </c>
      <c r="P1035" t="str">
        <f t="shared" si="84"/>
        <v>Profit</v>
      </c>
      <c r="Q1035" t="str" cm="1">
        <f t="array" ref="Q1035">IF(K1035="",INDEX($K$2:$K$2501,MATCH(MAX(COUNTIF($K$2:$K$2501,$K$2:$K$2501)),COUNTIF($K$2:$K$2501,$K$2:$K$2501),0)),K1035)</f>
        <v>B2B</v>
      </c>
    </row>
    <row r="1036" spans="1:17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 s="3">
        <f t="shared" si="80"/>
        <v>18480.72</v>
      </c>
      <c r="I1036" s="1">
        <v>45831</v>
      </c>
      <c r="J1036" t="s">
        <v>56</v>
      </c>
      <c r="K1036" t="s">
        <v>16</v>
      </c>
      <c r="L1036" s="2">
        <f t="shared" si="81"/>
        <v>3080.12</v>
      </c>
      <c r="M1036" s="4">
        <f t="shared" si="82"/>
        <v>0.26</v>
      </c>
      <c r="N1036" s="1">
        <f t="shared" si="83"/>
        <v>45831</v>
      </c>
      <c r="O1036" s="3">
        <f>(Table13[[#This Row],[Units_Sold]]*Table13[[#This Row],[Unit_Price_Cleaned]]*(1-Table13[[#This Row],[Discount Cleaned]]))</f>
        <v>13675.732800000002</v>
      </c>
      <c r="P1036" t="str">
        <f t="shared" si="84"/>
        <v>Profit</v>
      </c>
      <c r="Q1036" t="str" cm="1">
        <f t="array" ref="Q1036">IF(K1036="",INDEX($K$2:$K$2501,MATCH(MAX(COUNTIF($K$2:$K$2501,$K$2:$K$2501)),COUNTIF($K$2:$K$2501,$K$2:$K$2501),0)),K1036)</f>
        <v>B2C</v>
      </c>
    </row>
    <row r="1037" spans="1:17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 s="3">
        <f t="shared" si="80"/>
        <v>0</v>
      </c>
      <c r="I1037" s="1">
        <v>45769</v>
      </c>
      <c r="J1037" t="s">
        <v>18</v>
      </c>
      <c r="K1037" t="s">
        <v>16</v>
      </c>
      <c r="L1037" s="2">
        <f t="shared" si="81"/>
        <v>2516.6</v>
      </c>
      <c r="M1037" s="4">
        <f t="shared" si="82"/>
        <v>0.6</v>
      </c>
      <c r="N1037" s="1">
        <f t="shared" si="83"/>
        <v>45769</v>
      </c>
      <c r="O1037" s="3">
        <f>(Table13[[#This Row],[Units_Sold]]*Table13[[#This Row],[Unit_Price_Cleaned]]*(1-Table13[[#This Row],[Discount Cleaned]]))</f>
        <v>0</v>
      </c>
      <c r="P1037" t="str">
        <f t="shared" si="84"/>
        <v>Loss</v>
      </c>
      <c r="Q1037" t="str" cm="1">
        <f t="array" ref="Q1037">IF(K1037="",INDEX($K$2:$K$2501,MATCH(MAX(COUNTIF($K$2:$K$2501,$K$2:$K$2501)),COUNTIF($K$2:$K$2501,$K$2:$K$2501),0)),K1037)</f>
        <v>B2C</v>
      </c>
    </row>
    <row r="1038" spans="1:17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 s="3">
        <f t="shared" si="80"/>
        <v>-5552.4404000000004</v>
      </c>
      <c r="J1038" t="s">
        <v>18</v>
      </c>
      <c r="L1038" s="2">
        <f t="shared" si="81"/>
        <v>2776.2202000000002</v>
      </c>
      <c r="M1038" s="4">
        <f t="shared" si="82"/>
        <v>0.72</v>
      </c>
      <c r="N1038" s="1">
        <f t="shared" si="83"/>
        <v>45782</v>
      </c>
      <c r="O1038" s="3">
        <f>(Table13[[#This Row],[Units_Sold]]*Table13[[#This Row],[Unit_Price_Cleaned]]*(1-Table13[[#This Row],[Discount Cleaned]]))</f>
        <v>-1554.6833120000003</v>
      </c>
      <c r="P1038" t="str">
        <f t="shared" si="84"/>
        <v>Loss</v>
      </c>
      <c r="Q1038" t="str" cm="1">
        <f t="array" ref="Q1038">IF(K1038="",INDEX($K$2:$K$2501,MATCH(MAX(COUNTIF($K$2:$K$2501,$K$2:$K$2501)),COUNTIF($K$2:$K$2501,$K$2:$K$2501),0)),K1038)</f>
        <v>B2B</v>
      </c>
    </row>
    <row r="1039" spans="1:17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 s="3">
        <f t="shared" si="80"/>
        <v>1120.52</v>
      </c>
      <c r="I1039" s="1">
        <v>45849</v>
      </c>
      <c r="J1039" t="s">
        <v>56</v>
      </c>
      <c r="K1039" t="s">
        <v>23</v>
      </c>
      <c r="L1039" s="2">
        <f t="shared" si="81"/>
        <v>1120.52</v>
      </c>
      <c r="M1039" s="4">
        <f t="shared" si="82"/>
        <v>0.6</v>
      </c>
      <c r="N1039" s="1">
        <f t="shared" si="83"/>
        <v>45849</v>
      </c>
      <c r="O1039" s="3">
        <f>(Table13[[#This Row],[Units_Sold]]*Table13[[#This Row],[Unit_Price_Cleaned]]*(1-Table13[[#This Row],[Discount Cleaned]]))</f>
        <v>448.20800000000003</v>
      </c>
      <c r="P1039" t="str">
        <f t="shared" si="84"/>
        <v>Loss</v>
      </c>
      <c r="Q1039" t="str" cm="1">
        <f t="array" ref="Q1039">IF(K1039="",INDEX($K$2:$K$2501,MATCH(MAX(COUNTIF($K$2:$K$2501,$K$2:$K$2501)),COUNTIF($K$2:$K$2501,$K$2:$K$2501),0)),K1039)</f>
        <v>B2B</v>
      </c>
    </row>
    <row r="1040" spans="1:17" x14ac:dyDescent="0.3">
      <c r="A1040">
        <v>2038</v>
      </c>
      <c r="B1040" t="s">
        <v>1083</v>
      </c>
      <c r="C1040" t="s">
        <v>33</v>
      </c>
      <c r="D1040" t="s">
        <v>44</v>
      </c>
      <c r="E1040">
        <v>2</v>
      </c>
      <c r="H1040" s="3">
        <f t="shared" si="80"/>
        <v>5683.5261224489814</v>
      </c>
      <c r="I1040" s="1">
        <v>45367</v>
      </c>
      <c r="J1040" t="s">
        <v>56</v>
      </c>
      <c r="L1040" s="2">
        <f t="shared" si="81"/>
        <v>2841.7630612244907</v>
      </c>
      <c r="M1040" s="4">
        <f t="shared" si="82"/>
        <v>0.6</v>
      </c>
      <c r="N1040" s="1">
        <f t="shared" si="83"/>
        <v>45367</v>
      </c>
      <c r="O1040" s="3">
        <f>(Table13[[#This Row],[Units_Sold]]*Table13[[#This Row],[Unit_Price_Cleaned]]*(1-Table13[[#This Row],[Discount Cleaned]]))</f>
        <v>2273.4104489795927</v>
      </c>
      <c r="P1040" t="str">
        <f t="shared" si="84"/>
        <v>Profit</v>
      </c>
      <c r="Q1040" t="str" cm="1">
        <f t="array" ref="Q1040">IF(K1040="",INDEX($K$2:$K$2501,MATCH(MAX(COUNTIF($K$2:$K$2501,$K$2:$K$2501)),COUNTIF($K$2:$K$2501,$K$2:$K$2501),0)),K1040)</f>
        <v>B2B</v>
      </c>
    </row>
    <row r="1041" spans="1:17" x14ac:dyDescent="0.3">
      <c r="A1041">
        <v>2039</v>
      </c>
      <c r="B1041" t="s">
        <v>1084</v>
      </c>
      <c r="C1041" t="s">
        <v>20</v>
      </c>
      <c r="D1041" t="s">
        <v>21</v>
      </c>
      <c r="E1041">
        <v>2</v>
      </c>
      <c r="F1041">
        <v>1802.43</v>
      </c>
      <c r="H1041" s="3">
        <f t="shared" si="80"/>
        <v>3604.86</v>
      </c>
      <c r="J1041" t="s">
        <v>56</v>
      </c>
      <c r="K1041" t="s">
        <v>23</v>
      </c>
      <c r="L1041" s="2">
        <f t="shared" si="81"/>
        <v>1802.43</v>
      </c>
      <c r="M1041" s="4">
        <f t="shared" si="82"/>
        <v>0.6</v>
      </c>
      <c r="N1041" s="1">
        <f t="shared" si="83"/>
        <v>45782</v>
      </c>
      <c r="O1041" s="3">
        <f>(Table13[[#This Row],[Units_Sold]]*Table13[[#This Row],[Unit_Price_Cleaned]]*(1-Table13[[#This Row],[Discount Cleaned]]))</f>
        <v>1441.9440000000002</v>
      </c>
      <c r="P1041" t="str">
        <f t="shared" si="84"/>
        <v>Profit</v>
      </c>
      <c r="Q1041" t="str" cm="1">
        <f t="array" ref="Q1041">IF(K1041="",INDEX($K$2:$K$2501,MATCH(MAX(COUNTIF($K$2:$K$2501,$K$2:$K$2501)),COUNTIF($K$2:$K$2501,$K$2:$K$2501),0)),K1041)</f>
        <v>B2B</v>
      </c>
    </row>
    <row r="1042" spans="1:17" x14ac:dyDescent="0.3">
      <c r="A1042">
        <v>2040</v>
      </c>
      <c r="B1042" t="s">
        <v>1085</v>
      </c>
      <c r="C1042" t="s">
        <v>38</v>
      </c>
      <c r="D1042" t="s">
        <v>91</v>
      </c>
      <c r="E1042">
        <v>2</v>
      </c>
      <c r="G1042">
        <v>0.34</v>
      </c>
      <c r="H1042" s="3">
        <f t="shared" si="80"/>
        <v>5737.5536363636356</v>
      </c>
      <c r="I1042" s="1">
        <v>45531</v>
      </c>
      <c r="J1042" t="s">
        <v>56</v>
      </c>
      <c r="K1042" t="s">
        <v>16</v>
      </c>
      <c r="L1042" s="2">
        <f t="shared" si="81"/>
        <v>2868.7768181818178</v>
      </c>
      <c r="M1042" s="4">
        <f t="shared" si="82"/>
        <v>0.34</v>
      </c>
      <c r="N1042" s="1">
        <f t="shared" si="83"/>
        <v>45531</v>
      </c>
      <c r="O1042" s="3">
        <f>(Table13[[#This Row],[Units_Sold]]*Table13[[#This Row],[Unit_Price_Cleaned]]*(1-Table13[[#This Row],[Discount Cleaned]]))</f>
        <v>3786.7853999999988</v>
      </c>
      <c r="P1042" t="str">
        <f t="shared" si="84"/>
        <v>Profit</v>
      </c>
      <c r="Q1042" t="str" cm="1">
        <f t="array" ref="Q1042">IF(K1042="",INDEX($K$2:$K$2501,MATCH(MAX(COUNTIF($K$2:$K$2501,$K$2:$K$2501)),COUNTIF($K$2:$K$2501,$K$2:$K$2501),0)),K1042)</f>
        <v>B2C</v>
      </c>
    </row>
    <row r="1043" spans="1:17" x14ac:dyDescent="0.3">
      <c r="A1043">
        <v>2041</v>
      </c>
      <c r="B1043" t="s">
        <v>1086</v>
      </c>
      <c r="C1043" t="s">
        <v>38</v>
      </c>
      <c r="D1043" t="s">
        <v>91</v>
      </c>
      <c r="E1043">
        <v>2</v>
      </c>
      <c r="F1043">
        <v>854.8</v>
      </c>
      <c r="H1043" s="3">
        <f t="shared" si="80"/>
        <v>1709.6</v>
      </c>
      <c r="I1043" s="1">
        <v>45619</v>
      </c>
      <c r="J1043" t="s">
        <v>15</v>
      </c>
      <c r="K1043" t="s">
        <v>16</v>
      </c>
      <c r="L1043" s="2">
        <f t="shared" si="81"/>
        <v>854.8</v>
      </c>
      <c r="M1043" s="4">
        <f t="shared" si="82"/>
        <v>0.6</v>
      </c>
      <c r="N1043" s="1">
        <f t="shared" si="83"/>
        <v>45619</v>
      </c>
      <c r="O1043" s="3">
        <f>(Table13[[#This Row],[Units_Sold]]*Table13[[#This Row],[Unit_Price_Cleaned]]*(1-Table13[[#This Row],[Discount Cleaned]]))</f>
        <v>683.84</v>
      </c>
      <c r="P1043" t="str">
        <f t="shared" si="84"/>
        <v>Profit</v>
      </c>
      <c r="Q1043" t="str" cm="1">
        <f t="array" ref="Q1043">IF(K1043="",INDEX($K$2:$K$2501,MATCH(MAX(COUNTIF($K$2:$K$2501,$K$2:$K$2501)),COUNTIF($K$2:$K$2501,$K$2:$K$2501),0)),K1043)</f>
        <v>B2C</v>
      </c>
    </row>
    <row r="1044" spans="1:17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 s="3">
        <f t="shared" si="80"/>
        <v>8146.6375471698075</v>
      </c>
      <c r="J1044" t="s">
        <v>22</v>
      </c>
      <c r="K1044" t="s">
        <v>16</v>
      </c>
      <c r="L1044" s="2">
        <f t="shared" si="81"/>
        <v>2715.5458490566025</v>
      </c>
      <c r="M1044" s="4">
        <f t="shared" si="82"/>
        <v>0.6</v>
      </c>
      <c r="N1044" s="1">
        <f t="shared" si="83"/>
        <v>45782</v>
      </c>
      <c r="O1044" s="3">
        <f>(Table13[[#This Row],[Units_Sold]]*Table13[[#This Row],[Unit_Price_Cleaned]]*(1-Table13[[#This Row],[Discount Cleaned]]))</f>
        <v>3258.655018867923</v>
      </c>
      <c r="P1044" t="str">
        <f t="shared" si="84"/>
        <v>Profit</v>
      </c>
      <c r="Q1044" t="str" cm="1">
        <f t="array" ref="Q1044">IF(K1044="",INDEX($K$2:$K$2501,MATCH(MAX(COUNTIF($K$2:$K$2501,$K$2:$K$2501)),COUNTIF($K$2:$K$2501,$K$2:$K$2501),0)),K1044)</f>
        <v>B2C</v>
      </c>
    </row>
    <row r="1045" spans="1:17" x14ac:dyDescent="0.3">
      <c r="A1045">
        <v>2043</v>
      </c>
      <c r="B1045" t="s">
        <v>1088</v>
      </c>
      <c r="C1045" t="s">
        <v>33</v>
      </c>
      <c r="D1045" t="s">
        <v>34</v>
      </c>
      <c r="E1045">
        <v>2</v>
      </c>
      <c r="G1045">
        <v>0.74</v>
      </c>
      <c r="H1045" s="3">
        <f t="shared" si="80"/>
        <v>4974.07923076923</v>
      </c>
      <c r="I1045" s="1">
        <v>45801</v>
      </c>
      <c r="J1045" t="s">
        <v>40</v>
      </c>
      <c r="K1045" t="s">
        <v>16</v>
      </c>
      <c r="L1045" s="2">
        <f t="shared" si="81"/>
        <v>2487.039615384615</v>
      </c>
      <c r="M1045" s="4">
        <f t="shared" si="82"/>
        <v>0.74</v>
      </c>
      <c r="N1045" s="1">
        <f t="shared" si="83"/>
        <v>45801</v>
      </c>
      <c r="O1045" s="3">
        <f>(Table13[[#This Row],[Units_Sold]]*Table13[[#This Row],[Unit_Price_Cleaned]]*(1-Table13[[#This Row],[Discount Cleaned]]))</f>
        <v>1293.2605999999998</v>
      </c>
      <c r="P1045" t="str">
        <f t="shared" si="84"/>
        <v>Profit</v>
      </c>
      <c r="Q1045" t="str" cm="1">
        <f t="array" ref="Q1045">IF(K1045="",INDEX($K$2:$K$2501,MATCH(MAX(COUNTIF($K$2:$K$2501,$K$2:$K$2501)),COUNTIF($K$2:$K$2501,$K$2:$K$2501),0)),K1045)</f>
        <v>B2C</v>
      </c>
    </row>
    <row r="1046" spans="1:17" x14ac:dyDescent="0.3">
      <c r="A1046">
        <v>2044</v>
      </c>
      <c r="B1046" t="s">
        <v>1089</v>
      </c>
      <c r="C1046" t="s">
        <v>29</v>
      </c>
      <c r="D1046" t="s">
        <v>30</v>
      </c>
      <c r="E1046">
        <v>2</v>
      </c>
      <c r="F1046">
        <v>2912.48</v>
      </c>
      <c r="G1046">
        <v>0.39</v>
      </c>
      <c r="H1046" s="3">
        <f t="shared" si="80"/>
        <v>5824.96</v>
      </c>
      <c r="I1046" s="1">
        <v>45786</v>
      </c>
      <c r="J1046" t="s">
        <v>22</v>
      </c>
      <c r="K1046" t="s">
        <v>16</v>
      </c>
      <c r="L1046" s="2">
        <f t="shared" si="81"/>
        <v>2912.48</v>
      </c>
      <c r="M1046" s="4">
        <f t="shared" si="82"/>
        <v>0.39</v>
      </c>
      <c r="N1046" s="1">
        <f t="shared" si="83"/>
        <v>45786</v>
      </c>
      <c r="O1046" s="3">
        <f>(Table13[[#This Row],[Units_Sold]]*Table13[[#This Row],[Unit_Price_Cleaned]]*(1-Table13[[#This Row],[Discount Cleaned]]))</f>
        <v>3553.2255999999998</v>
      </c>
      <c r="P1046" t="str">
        <f t="shared" si="84"/>
        <v>Profit</v>
      </c>
      <c r="Q1046" t="str" cm="1">
        <f t="array" ref="Q1046">IF(K1046="",INDEX($K$2:$K$2501,MATCH(MAX(COUNTIF($K$2:$K$2501,$K$2:$K$2501)),COUNTIF($K$2:$K$2501,$K$2:$K$2501),0)),K1046)</f>
        <v>B2C</v>
      </c>
    </row>
    <row r="1047" spans="1:17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 s="3">
        <f t="shared" si="80"/>
        <v>-473.68</v>
      </c>
      <c r="J1047" t="s">
        <v>56</v>
      </c>
      <c r="K1047" t="s">
        <v>16</v>
      </c>
      <c r="L1047" s="2">
        <f t="shared" si="81"/>
        <v>473.68</v>
      </c>
      <c r="M1047" s="4">
        <f t="shared" si="82"/>
        <v>0.6</v>
      </c>
      <c r="N1047" s="1">
        <f t="shared" si="83"/>
        <v>45782</v>
      </c>
      <c r="O1047" s="3">
        <f>(Table13[[#This Row],[Units_Sold]]*Table13[[#This Row],[Unit_Price_Cleaned]]*(1-Table13[[#This Row],[Discount Cleaned]]))</f>
        <v>-189.47200000000001</v>
      </c>
      <c r="P1047" t="str">
        <f t="shared" si="84"/>
        <v>Loss</v>
      </c>
      <c r="Q1047" t="str" cm="1">
        <f t="array" ref="Q1047">IF(K1047="",INDEX($K$2:$K$2501,MATCH(MAX(COUNTIF($K$2:$K$2501,$K$2:$K$2501)),COUNTIF($K$2:$K$2501,$K$2:$K$2501),0)),K1047)</f>
        <v>B2C</v>
      </c>
    </row>
    <row r="1048" spans="1:17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 s="3">
        <f t="shared" si="80"/>
        <v>16980.795428571437</v>
      </c>
      <c r="I1048" s="1">
        <v>45242</v>
      </c>
      <c r="J1048" t="s">
        <v>22</v>
      </c>
      <c r="K1048" t="s">
        <v>16</v>
      </c>
      <c r="L1048" s="2">
        <f t="shared" si="81"/>
        <v>2830.1325714285731</v>
      </c>
      <c r="M1048" s="4">
        <f t="shared" si="82"/>
        <v>0.6</v>
      </c>
      <c r="N1048" s="1">
        <f t="shared" si="83"/>
        <v>45242</v>
      </c>
      <c r="O1048" s="3">
        <f>(Table13[[#This Row],[Units_Sold]]*Table13[[#This Row],[Unit_Price_Cleaned]]*(1-Table13[[#This Row],[Discount Cleaned]]))</f>
        <v>6792.3181714285747</v>
      </c>
      <c r="P1048" t="str">
        <f t="shared" si="84"/>
        <v>Profit</v>
      </c>
      <c r="Q1048" t="str" cm="1">
        <f t="array" ref="Q1048">IF(K1048="",INDEX($K$2:$K$2501,MATCH(MAX(COUNTIF($K$2:$K$2501,$K$2:$K$2501)),COUNTIF($K$2:$K$2501,$K$2:$K$2501),0)),K1048)</f>
        <v>B2C</v>
      </c>
    </row>
    <row r="1049" spans="1:17" x14ac:dyDescent="0.3">
      <c r="A1049">
        <v>2047</v>
      </c>
      <c r="B1049" t="s">
        <v>1092</v>
      </c>
      <c r="C1049" t="s">
        <v>13</v>
      </c>
      <c r="D1049" t="s">
        <v>36</v>
      </c>
      <c r="E1049">
        <v>2</v>
      </c>
      <c r="H1049" s="3">
        <f t="shared" si="80"/>
        <v>5765.0093103448271</v>
      </c>
      <c r="I1049" s="1">
        <v>45767</v>
      </c>
      <c r="J1049" t="s">
        <v>22</v>
      </c>
      <c r="K1049" t="s">
        <v>16</v>
      </c>
      <c r="L1049" s="2">
        <f t="shared" si="81"/>
        <v>2882.5046551724135</v>
      </c>
      <c r="M1049" s="4">
        <f t="shared" si="82"/>
        <v>0.6</v>
      </c>
      <c r="N1049" s="1">
        <f t="shared" si="83"/>
        <v>45767</v>
      </c>
      <c r="O1049" s="3">
        <f>(Table13[[#This Row],[Units_Sold]]*Table13[[#This Row],[Unit_Price_Cleaned]]*(1-Table13[[#This Row],[Discount Cleaned]]))</f>
        <v>2306.0037241379309</v>
      </c>
      <c r="P1049" t="str">
        <f t="shared" si="84"/>
        <v>Profit</v>
      </c>
      <c r="Q1049" t="str" cm="1">
        <f t="array" ref="Q1049">IF(K1049="",INDEX($K$2:$K$2501,MATCH(MAX(COUNTIF($K$2:$K$2501,$K$2:$K$2501)),COUNTIF($K$2:$K$2501,$K$2:$K$2501),0)),K1049)</f>
        <v>B2C</v>
      </c>
    </row>
    <row r="1050" spans="1:17" x14ac:dyDescent="0.3">
      <c r="A1050">
        <v>2048</v>
      </c>
      <c r="B1050" t="s">
        <v>1093</v>
      </c>
      <c r="C1050" t="s">
        <v>25</v>
      </c>
      <c r="D1050" t="s">
        <v>66</v>
      </c>
      <c r="E1050">
        <v>2</v>
      </c>
      <c r="F1050">
        <v>1469.13</v>
      </c>
      <c r="G1050">
        <v>0.11</v>
      </c>
      <c r="H1050" s="3">
        <f t="shared" si="80"/>
        <v>2938.26</v>
      </c>
      <c r="I1050" s="1">
        <v>45569</v>
      </c>
      <c r="J1050" t="s">
        <v>18</v>
      </c>
      <c r="K1050" t="s">
        <v>16</v>
      </c>
      <c r="L1050" s="2">
        <f t="shared" si="81"/>
        <v>1469.13</v>
      </c>
      <c r="M1050" s="4">
        <f t="shared" si="82"/>
        <v>0.11</v>
      </c>
      <c r="N1050" s="1">
        <f t="shared" si="83"/>
        <v>45569</v>
      </c>
      <c r="O1050" s="3">
        <f>(Table13[[#This Row],[Units_Sold]]*Table13[[#This Row],[Unit_Price_Cleaned]]*(1-Table13[[#This Row],[Discount Cleaned]]))</f>
        <v>2615.0514000000003</v>
      </c>
      <c r="P1050" t="str">
        <f t="shared" si="84"/>
        <v>Profit</v>
      </c>
      <c r="Q1050" t="str" cm="1">
        <f t="array" ref="Q1050">IF(K1050="",INDEX($K$2:$K$2501,MATCH(MAX(COUNTIF($K$2:$K$2501,$K$2:$K$2501)),COUNTIF($K$2:$K$2501,$K$2:$K$2501),0)),K1050)</f>
        <v>B2C</v>
      </c>
    </row>
    <row r="1051" spans="1:17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 s="3">
        <f t="shared" si="80"/>
        <v>-2462.92</v>
      </c>
      <c r="J1051" t="s">
        <v>15</v>
      </c>
      <c r="K1051" t="s">
        <v>23</v>
      </c>
      <c r="L1051" s="2">
        <f t="shared" si="81"/>
        <v>2462.92</v>
      </c>
      <c r="M1051" s="4">
        <f t="shared" si="82"/>
        <v>0.6</v>
      </c>
      <c r="N1051" s="1">
        <f t="shared" si="83"/>
        <v>45782</v>
      </c>
      <c r="O1051" s="3">
        <f>(Table13[[#This Row],[Units_Sold]]*Table13[[#This Row],[Unit_Price_Cleaned]]*(1-Table13[[#This Row],[Discount Cleaned]]))</f>
        <v>-985.16800000000012</v>
      </c>
      <c r="P1051" t="str">
        <f t="shared" si="84"/>
        <v>Loss</v>
      </c>
      <c r="Q1051" t="str" cm="1">
        <f t="array" ref="Q1051">IF(K1051="",INDEX($K$2:$K$2501,MATCH(MAX(COUNTIF($K$2:$K$2501,$K$2:$K$2501)),COUNTIF($K$2:$K$2501,$K$2:$K$2501),0)),K1051)</f>
        <v>B2B</v>
      </c>
    </row>
    <row r="1052" spans="1:17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 s="3">
        <f t="shared" si="80"/>
        <v>4234.28</v>
      </c>
      <c r="I1052" s="1">
        <v>45457</v>
      </c>
      <c r="J1052" t="s">
        <v>22</v>
      </c>
      <c r="K1052" t="s">
        <v>23</v>
      </c>
      <c r="L1052" s="2">
        <f t="shared" si="81"/>
        <v>4234.28</v>
      </c>
      <c r="M1052" s="4">
        <f t="shared" si="82"/>
        <v>1.03</v>
      </c>
      <c r="N1052" s="1">
        <f t="shared" si="83"/>
        <v>45457</v>
      </c>
      <c r="O1052" s="3">
        <f>(Table13[[#This Row],[Units_Sold]]*Table13[[#This Row],[Unit_Price_Cleaned]]*(1-Table13[[#This Row],[Discount Cleaned]]))</f>
        <v>-127.0284000000001</v>
      </c>
      <c r="P1052" t="str">
        <f t="shared" si="84"/>
        <v>Loss</v>
      </c>
      <c r="Q1052" t="str" cm="1">
        <f t="array" ref="Q1052">IF(K1052="",INDEX($K$2:$K$2501,MATCH(MAX(COUNTIF($K$2:$K$2501,$K$2:$K$2501)),COUNTIF($K$2:$K$2501,$K$2:$K$2501),0)),K1052)</f>
        <v>B2B</v>
      </c>
    </row>
    <row r="1053" spans="1:17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 s="3">
        <f t="shared" si="80"/>
        <v>2468.54</v>
      </c>
      <c r="I1053" s="1">
        <v>45716</v>
      </c>
      <c r="J1053" t="s">
        <v>46</v>
      </c>
      <c r="K1053" t="s">
        <v>23</v>
      </c>
      <c r="L1053" s="2">
        <f t="shared" si="81"/>
        <v>1234.27</v>
      </c>
      <c r="M1053" s="4">
        <f t="shared" si="82"/>
        <v>0.6</v>
      </c>
      <c r="N1053" s="1">
        <f t="shared" si="83"/>
        <v>45716</v>
      </c>
      <c r="O1053" s="3">
        <f>(Table13[[#This Row],[Units_Sold]]*Table13[[#This Row],[Unit_Price_Cleaned]]*(1-Table13[[#This Row],[Discount Cleaned]]))</f>
        <v>987.41600000000005</v>
      </c>
      <c r="P1053" t="str">
        <f t="shared" si="84"/>
        <v>Profit</v>
      </c>
      <c r="Q1053" t="str" cm="1">
        <f t="array" ref="Q1053">IF(K1053="",INDEX($K$2:$K$2501,MATCH(MAX(COUNTIF($K$2:$K$2501,$K$2:$K$2501)),COUNTIF($K$2:$K$2501,$K$2:$K$2501),0)),K1053)</f>
        <v>B2B</v>
      </c>
    </row>
    <row r="1054" spans="1:17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 s="3">
        <f t="shared" si="80"/>
        <v>14915.22</v>
      </c>
      <c r="I1054" s="1">
        <v>45443</v>
      </c>
      <c r="J1054" t="s">
        <v>40</v>
      </c>
      <c r="L1054" s="2">
        <f t="shared" si="81"/>
        <v>4971.74</v>
      </c>
      <c r="M1054" s="4">
        <f t="shared" si="82"/>
        <v>0.6</v>
      </c>
      <c r="N1054" s="1">
        <f t="shared" si="83"/>
        <v>45443</v>
      </c>
      <c r="O1054" s="3">
        <f>(Table13[[#This Row],[Units_Sold]]*Table13[[#This Row],[Unit_Price_Cleaned]]*(1-Table13[[#This Row],[Discount Cleaned]]))</f>
        <v>5966.0879999999997</v>
      </c>
      <c r="P1054" t="str">
        <f t="shared" si="84"/>
        <v>Profit</v>
      </c>
      <c r="Q1054" t="str" cm="1">
        <f t="array" ref="Q1054">IF(K1054="",INDEX($K$2:$K$2501,MATCH(MAX(COUNTIF($K$2:$K$2501,$K$2:$K$2501)),COUNTIF($K$2:$K$2501,$K$2:$K$2501),0)),K1054)</f>
        <v>B2B</v>
      </c>
    </row>
    <row r="1055" spans="1:17" x14ac:dyDescent="0.3">
      <c r="A1055">
        <v>2053</v>
      </c>
      <c r="B1055" t="s">
        <v>1098</v>
      </c>
      <c r="C1055" t="s">
        <v>29</v>
      </c>
      <c r="D1055" t="s">
        <v>30</v>
      </c>
      <c r="E1055">
        <v>2</v>
      </c>
      <c r="H1055" s="3">
        <f t="shared" si="80"/>
        <v>5235.2780769230776</v>
      </c>
      <c r="I1055" s="1">
        <v>45501</v>
      </c>
      <c r="J1055" t="s">
        <v>46</v>
      </c>
      <c r="K1055" t="s">
        <v>23</v>
      </c>
      <c r="L1055" s="2">
        <f t="shared" si="81"/>
        <v>2617.6390384615388</v>
      </c>
      <c r="M1055" s="4">
        <f t="shared" si="82"/>
        <v>0.6</v>
      </c>
      <c r="N1055" s="1">
        <f t="shared" si="83"/>
        <v>45501</v>
      </c>
      <c r="O1055" s="3">
        <f>(Table13[[#This Row],[Units_Sold]]*Table13[[#This Row],[Unit_Price_Cleaned]]*(1-Table13[[#This Row],[Discount Cleaned]]))</f>
        <v>2094.111230769231</v>
      </c>
      <c r="P1055" t="str">
        <f t="shared" si="84"/>
        <v>Profit</v>
      </c>
      <c r="Q1055" t="str" cm="1">
        <f t="array" ref="Q1055">IF(K1055="",INDEX($K$2:$K$2501,MATCH(MAX(COUNTIF($K$2:$K$2501,$K$2:$K$2501)),COUNTIF($K$2:$K$2501,$K$2:$K$2501),0)),K1055)</f>
        <v>B2B</v>
      </c>
    </row>
    <row r="1056" spans="1:17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 s="3">
        <f t="shared" si="80"/>
        <v>1254.77</v>
      </c>
      <c r="J1056" t="s">
        <v>56</v>
      </c>
      <c r="K1056" t="s">
        <v>23</v>
      </c>
      <c r="L1056" s="2">
        <f t="shared" si="81"/>
        <v>1254.77</v>
      </c>
      <c r="M1056" s="4">
        <f t="shared" si="82"/>
        <v>0.62</v>
      </c>
      <c r="N1056" s="1">
        <f t="shared" si="83"/>
        <v>45782</v>
      </c>
      <c r="O1056" s="3">
        <f>(Table13[[#This Row],[Units_Sold]]*Table13[[#This Row],[Unit_Price_Cleaned]]*(1-Table13[[#This Row],[Discount Cleaned]]))</f>
        <v>476.81259999999997</v>
      </c>
      <c r="P1056" t="str">
        <f t="shared" si="84"/>
        <v>Loss</v>
      </c>
      <c r="Q1056" t="str" cm="1">
        <f t="array" ref="Q1056">IF(K1056="",INDEX($K$2:$K$2501,MATCH(MAX(COUNTIF($K$2:$K$2501,$K$2:$K$2501)),COUNTIF($K$2:$K$2501,$K$2:$K$2501),0)),K1056)</f>
        <v>B2B</v>
      </c>
    </row>
    <row r="1057" spans="1:17" x14ac:dyDescent="0.3">
      <c r="A1057">
        <v>2055</v>
      </c>
      <c r="B1057" t="s">
        <v>1100</v>
      </c>
      <c r="C1057" t="s">
        <v>13</v>
      </c>
      <c r="D1057" t="s">
        <v>14</v>
      </c>
      <c r="E1057">
        <v>2</v>
      </c>
      <c r="F1057">
        <v>677.9</v>
      </c>
      <c r="G1057">
        <v>0.15</v>
      </c>
      <c r="H1057" s="3">
        <f t="shared" si="80"/>
        <v>1355.8</v>
      </c>
      <c r="J1057" t="s">
        <v>56</v>
      </c>
      <c r="L1057" s="2">
        <f t="shared" si="81"/>
        <v>677.9</v>
      </c>
      <c r="M1057" s="4">
        <f t="shared" si="82"/>
        <v>0.15</v>
      </c>
      <c r="N1057" s="1">
        <f t="shared" si="83"/>
        <v>45782</v>
      </c>
      <c r="O1057" s="3">
        <f>(Table13[[#This Row],[Units_Sold]]*Table13[[#This Row],[Unit_Price_Cleaned]]*(1-Table13[[#This Row],[Discount Cleaned]]))</f>
        <v>1152.4299999999998</v>
      </c>
      <c r="P1057" t="str">
        <f t="shared" si="84"/>
        <v>Profit</v>
      </c>
      <c r="Q1057" t="str" cm="1">
        <f t="array" ref="Q1057">IF(K1057="",INDEX($K$2:$K$2501,MATCH(MAX(COUNTIF($K$2:$K$2501,$K$2:$K$2501)),COUNTIF($K$2:$K$2501,$K$2:$K$2501),0)),K1057)</f>
        <v>B2B</v>
      </c>
    </row>
    <row r="1058" spans="1:17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 s="3">
        <f t="shared" si="80"/>
        <v>0</v>
      </c>
      <c r="I1058" s="1">
        <v>45184</v>
      </c>
      <c r="J1058" t="s">
        <v>18</v>
      </c>
      <c r="K1058" t="s">
        <v>23</v>
      </c>
      <c r="L1058" s="2">
        <f t="shared" si="81"/>
        <v>2845.2419672131159</v>
      </c>
      <c r="M1058" s="4">
        <f t="shared" si="82"/>
        <v>0.7</v>
      </c>
      <c r="N1058" s="1">
        <f t="shared" si="83"/>
        <v>45184</v>
      </c>
      <c r="O1058" s="3">
        <f>(Table13[[#This Row],[Units_Sold]]*Table13[[#This Row],[Unit_Price_Cleaned]]*(1-Table13[[#This Row],[Discount Cleaned]]))</f>
        <v>0</v>
      </c>
      <c r="P1058" t="str">
        <f t="shared" si="84"/>
        <v>Loss</v>
      </c>
      <c r="Q1058" t="str" cm="1">
        <f t="array" ref="Q1058">IF(K1058="",INDEX($K$2:$K$2501,MATCH(MAX(COUNTIF($K$2:$K$2501,$K$2:$K$2501)),COUNTIF($K$2:$K$2501,$K$2:$K$2501),0)),K1058)</f>
        <v>B2B</v>
      </c>
    </row>
    <row r="1059" spans="1:17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 s="3">
        <f t="shared" si="80"/>
        <v>-2576.3056896551716</v>
      </c>
      <c r="I1059" s="1">
        <v>45596</v>
      </c>
      <c r="J1059" t="s">
        <v>22</v>
      </c>
      <c r="K1059" t="s">
        <v>23</v>
      </c>
      <c r="L1059" s="2">
        <f t="shared" si="81"/>
        <v>2576.3056896551716</v>
      </c>
      <c r="M1059" s="4">
        <f t="shared" si="82"/>
        <v>0.6</v>
      </c>
      <c r="N1059" s="1">
        <f t="shared" si="83"/>
        <v>45596</v>
      </c>
      <c r="O1059" s="3">
        <f>(Table13[[#This Row],[Units_Sold]]*Table13[[#This Row],[Unit_Price_Cleaned]]*(1-Table13[[#This Row],[Discount Cleaned]]))</f>
        <v>-1030.5222758620687</v>
      </c>
      <c r="P1059" t="str">
        <f t="shared" si="84"/>
        <v>Loss</v>
      </c>
      <c r="Q1059" t="str" cm="1">
        <f t="array" ref="Q1059">IF(K1059="",INDEX($K$2:$K$2501,MATCH(MAX(COUNTIF($K$2:$K$2501,$K$2:$K$2501)),COUNTIF($K$2:$K$2501,$K$2:$K$2501),0)),K1059)</f>
        <v>B2B</v>
      </c>
    </row>
    <row r="1060" spans="1:17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 s="3">
        <f t="shared" si="80"/>
        <v>16293.275094339615</v>
      </c>
      <c r="I1060" s="1">
        <v>45573</v>
      </c>
      <c r="J1060" t="s">
        <v>18</v>
      </c>
      <c r="K1060" t="s">
        <v>23</v>
      </c>
      <c r="L1060" s="2">
        <f t="shared" si="81"/>
        <v>2715.5458490566025</v>
      </c>
      <c r="M1060" s="4">
        <f t="shared" si="82"/>
        <v>0.6</v>
      </c>
      <c r="N1060" s="1">
        <f t="shared" si="83"/>
        <v>45573</v>
      </c>
      <c r="O1060" s="3">
        <f>(Table13[[#This Row],[Units_Sold]]*Table13[[#This Row],[Unit_Price_Cleaned]]*(1-Table13[[#This Row],[Discount Cleaned]]))</f>
        <v>6517.310037735846</v>
      </c>
      <c r="P1060" t="str">
        <f t="shared" si="84"/>
        <v>Profit</v>
      </c>
      <c r="Q1060" t="str" cm="1">
        <f t="array" ref="Q1060">IF(K1060="",INDEX($K$2:$K$2501,MATCH(MAX(COUNTIF($K$2:$K$2501,$K$2:$K$2501)),COUNTIF($K$2:$K$2501,$K$2:$K$2501),0)),K1060)</f>
        <v>B2B</v>
      </c>
    </row>
    <row r="1061" spans="1:17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 s="3">
        <f t="shared" si="80"/>
        <v>3579.09</v>
      </c>
      <c r="I1061" s="1">
        <v>45723</v>
      </c>
      <c r="J1061" t="s">
        <v>22</v>
      </c>
      <c r="K1061" t="s">
        <v>23</v>
      </c>
      <c r="L1061" s="2">
        <f t="shared" si="81"/>
        <v>1193.03</v>
      </c>
      <c r="M1061" s="4">
        <f t="shared" si="82"/>
        <v>0.6</v>
      </c>
      <c r="N1061" s="1">
        <f t="shared" si="83"/>
        <v>45723</v>
      </c>
      <c r="O1061" s="3">
        <f>(Table13[[#This Row],[Units_Sold]]*Table13[[#This Row],[Unit_Price_Cleaned]]*(1-Table13[[#This Row],[Discount Cleaned]]))</f>
        <v>1431.6360000000002</v>
      </c>
      <c r="P1061" t="str">
        <f t="shared" si="84"/>
        <v>Profit</v>
      </c>
      <c r="Q1061" t="str" cm="1">
        <f t="array" ref="Q1061">IF(K1061="",INDEX($K$2:$K$2501,MATCH(MAX(COUNTIF($K$2:$K$2501,$K$2:$K$2501)),COUNTIF($K$2:$K$2501,$K$2:$K$2501),0)),K1061)</f>
        <v>B2B</v>
      </c>
    </row>
    <row r="1062" spans="1:17" x14ac:dyDescent="0.3">
      <c r="A1062">
        <v>2060</v>
      </c>
      <c r="B1062" t="s">
        <v>1105</v>
      </c>
      <c r="C1062" t="s">
        <v>33</v>
      </c>
      <c r="D1062" t="s">
        <v>44</v>
      </c>
      <c r="E1062">
        <v>2</v>
      </c>
      <c r="F1062">
        <v>3725.58</v>
      </c>
      <c r="H1062" s="3">
        <f t="shared" si="80"/>
        <v>7451.16</v>
      </c>
      <c r="I1062" s="1">
        <v>45581</v>
      </c>
      <c r="J1062" t="s">
        <v>46</v>
      </c>
      <c r="L1062" s="2">
        <f t="shared" si="81"/>
        <v>3725.58</v>
      </c>
      <c r="M1062" s="4">
        <f t="shared" si="82"/>
        <v>0.6</v>
      </c>
      <c r="N1062" s="1">
        <f t="shared" si="83"/>
        <v>45581</v>
      </c>
      <c r="O1062" s="3">
        <f>(Table13[[#This Row],[Units_Sold]]*Table13[[#This Row],[Unit_Price_Cleaned]]*(1-Table13[[#This Row],[Discount Cleaned]]))</f>
        <v>2980.4639999999999</v>
      </c>
      <c r="P1062" t="str">
        <f t="shared" si="84"/>
        <v>Profit</v>
      </c>
      <c r="Q1062" t="str" cm="1">
        <f t="array" ref="Q1062">IF(K1062="",INDEX($K$2:$K$2501,MATCH(MAX(COUNTIF($K$2:$K$2501,$K$2:$K$2501)),COUNTIF($K$2:$K$2501,$K$2:$K$2501),0)),K1062)</f>
        <v>B2B</v>
      </c>
    </row>
    <row r="1063" spans="1:17" x14ac:dyDescent="0.3">
      <c r="A1063">
        <v>2061</v>
      </c>
      <c r="B1063" t="s">
        <v>1106</v>
      </c>
      <c r="C1063" t="s">
        <v>25</v>
      </c>
      <c r="D1063" t="s">
        <v>86</v>
      </c>
      <c r="E1063">
        <v>2</v>
      </c>
      <c r="F1063">
        <v>2077.8200000000002</v>
      </c>
      <c r="H1063" s="3">
        <f t="shared" si="80"/>
        <v>4155.6400000000003</v>
      </c>
      <c r="I1063" s="1">
        <v>45722</v>
      </c>
      <c r="J1063" t="s">
        <v>46</v>
      </c>
      <c r="L1063" s="2">
        <f t="shared" si="81"/>
        <v>2077.8200000000002</v>
      </c>
      <c r="M1063" s="4">
        <f t="shared" si="82"/>
        <v>0.6</v>
      </c>
      <c r="N1063" s="1">
        <f t="shared" si="83"/>
        <v>45722</v>
      </c>
      <c r="O1063" s="3">
        <f>(Table13[[#This Row],[Units_Sold]]*Table13[[#This Row],[Unit_Price_Cleaned]]*(1-Table13[[#This Row],[Discount Cleaned]]))</f>
        <v>1662.2560000000003</v>
      </c>
      <c r="P1063" t="str">
        <f t="shared" si="84"/>
        <v>Profit</v>
      </c>
      <c r="Q1063" t="str" cm="1">
        <f t="array" ref="Q1063">IF(K1063="",INDEX($K$2:$K$2501,MATCH(MAX(COUNTIF($K$2:$K$2501,$K$2:$K$2501)),COUNTIF($K$2:$K$2501,$K$2:$K$2501),0)),K1063)</f>
        <v>B2B</v>
      </c>
    </row>
    <row r="1064" spans="1:17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 s="3">
        <f t="shared" si="80"/>
        <v>11902.56</v>
      </c>
      <c r="I1064" s="1">
        <v>45502</v>
      </c>
      <c r="J1064" t="s">
        <v>56</v>
      </c>
      <c r="L1064" s="2">
        <f t="shared" si="81"/>
        <v>2975.64</v>
      </c>
      <c r="M1064" s="4">
        <f t="shared" si="82"/>
        <v>0.6</v>
      </c>
      <c r="N1064" s="1">
        <f t="shared" si="83"/>
        <v>45502</v>
      </c>
      <c r="O1064" s="3">
        <f>(Table13[[#This Row],[Units_Sold]]*Table13[[#This Row],[Unit_Price_Cleaned]]*(1-Table13[[#This Row],[Discount Cleaned]]))</f>
        <v>4761.0240000000003</v>
      </c>
      <c r="P1064" t="str">
        <f t="shared" si="84"/>
        <v>Profit</v>
      </c>
      <c r="Q1064" t="str" cm="1">
        <f t="array" ref="Q1064">IF(K1064="",INDEX($K$2:$K$2501,MATCH(MAX(COUNTIF($K$2:$K$2501,$K$2:$K$2501)),COUNTIF($K$2:$K$2501,$K$2:$K$2501),0)),K1064)</f>
        <v>B2B</v>
      </c>
    </row>
    <row r="1065" spans="1:17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 s="3">
        <f t="shared" si="80"/>
        <v>14208.815306122453</v>
      </c>
      <c r="I1065" s="1">
        <v>45587</v>
      </c>
      <c r="J1065" t="s">
        <v>46</v>
      </c>
      <c r="L1065" s="2">
        <f t="shared" si="81"/>
        <v>2841.7630612244907</v>
      </c>
      <c r="M1065" s="4">
        <f t="shared" si="82"/>
        <v>0.6</v>
      </c>
      <c r="N1065" s="1">
        <f t="shared" si="83"/>
        <v>45587</v>
      </c>
      <c r="O1065" s="3">
        <f>(Table13[[#This Row],[Units_Sold]]*Table13[[#This Row],[Unit_Price_Cleaned]]*(1-Table13[[#This Row],[Discount Cleaned]]))</f>
        <v>5683.5261224489814</v>
      </c>
      <c r="P1065" t="str">
        <f t="shared" si="84"/>
        <v>Profit</v>
      </c>
      <c r="Q1065" t="str" cm="1">
        <f t="array" ref="Q1065">IF(K1065="",INDEX($K$2:$K$2501,MATCH(MAX(COUNTIF($K$2:$K$2501,$K$2:$K$2501)),COUNTIF($K$2:$K$2501,$K$2:$K$2501),0)),K1065)</f>
        <v>B2B</v>
      </c>
    </row>
    <row r="1066" spans="1:17" x14ac:dyDescent="0.3">
      <c r="A1066">
        <v>2064</v>
      </c>
      <c r="B1066" t="s">
        <v>1109</v>
      </c>
      <c r="C1066" t="s">
        <v>29</v>
      </c>
      <c r="D1066" t="s">
        <v>42</v>
      </c>
      <c r="E1066">
        <v>2</v>
      </c>
      <c r="F1066">
        <v>702.86</v>
      </c>
      <c r="H1066" s="3">
        <f t="shared" si="80"/>
        <v>1405.72</v>
      </c>
      <c r="I1066" s="1">
        <v>45596</v>
      </c>
      <c r="J1066" t="s">
        <v>46</v>
      </c>
      <c r="K1066" t="s">
        <v>16</v>
      </c>
      <c r="L1066" s="2">
        <f t="shared" si="81"/>
        <v>702.86</v>
      </c>
      <c r="M1066" s="4">
        <f t="shared" si="82"/>
        <v>0.6</v>
      </c>
      <c r="N1066" s="1">
        <f t="shared" si="83"/>
        <v>45596</v>
      </c>
      <c r="O1066" s="3">
        <f>(Table13[[#This Row],[Units_Sold]]*Table13[[#This Row],[Unit_Price_Cleaned]]*(1-Table13[[#This Row],[Discount Cleaned]]))</f>
        <v>562.28800000000001</v>
      </c>
      <c r="P1066" t="str">
        <f t="shared" si="84"/>
        <v>Profit</v>
      </c>
      <c r="Q1066" t="str" cm="1">
        <f t="array" ref="Q1066">IF(K1066="",INDEX($K$2:$K$2501,MATCH(MAX(COUNTIF($K$2:$K$2501,$K$2:$K$2501)),COUNTIF($K$2:$K$2501,$K$2:$K$2501),0)),K1066)</f>
        <v>B2C</v>
      </c>
    </row>
    <row r="1067" spans="1:17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 s="3">
        <f t="shared" si="80"/>
        <v>14361.6</v>
      </c>
      <c r="I1067" s="1">
        <v>45526</v>
      </c>
      <c r="J1067" t="s">
        <v>40</v>
      </c>
      <c r="L1067" s="2">
        <f t="shared" si="81"/>
        <v>3590.4</v>
      </c>
      <c r="M1067" s="4">
        <f t="shared" si="82"/>
        <v>0.6</v>
      </c>
      <c r="N1067" s="1">
        <f t="shared" si="83"/>
        <v>45526</v>
      </c>
      <c r="O1067" s="3">
        <f>(Table13[[#This Row],[Units_Sold]]*Table13[[#This Row],[Unit_Price_Cleaned]]*(1-Table13[[#This Row],[Discount Cleaned]]))</f>
        <v>5744.64</v>
      </c>
      <c r="P1067" t="str">
        <f t="shared" si="84"/>
        <v>Profit</v>
      </c>
      <c r="Q1067" t="str" cm="1">
        <f t="array" ref="Q1067">IF(K1067="",INDEX($K$2:$K$2501,MATCH(MAX(COUNTIF($K$2:$K$2501,$K$2:$K$2501)),COUNTIF($K$2:$K$2501,$K$2:$K$2501),0)),K1067)</f>
        <v>B2B</v>
      </c>
    </row>
    <row r="1068" spans="1:17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 s="3">
        <f t="shared" si="80"/>
        <v>0</v>
      </c>
      <c r="J1068" t="s">
        <v>22</v>
      </c>
      <c r="K1068" t="s">
        <v>16</v>
      </c>
      <c r="L1068" s="2">
        <f t="shared" si="81"/>
        <v>2785.0877966101693</v>
      </c>
      <c r="M1068" s="4">
        <f t="shared" si="82"/>
        <v>0.6</v>
      </c>
      <c r="N1068" s="1">
        <f t="shared" si="83"/>
        <v>45782</v>
      </c>
      <c r="O1068" s="3">
        <f>(Table13[[#This Row],[Units_Sold]]*Table13[[#This Row],[Unit_Price_Cleaned]]*(1-Table13[[#This Row],[Discount Cleaned]]))</f>
        <v>0</v>
      </c>
      <c r="P1068" t="str">
        <f t="shared" si="84"/>
        <v>Loss</v>
      </c>
      <c r="Q1068" t="str" cm="1">
        <f t="array" ref="Q1068">IF(K1068="",INDEX($K$2:$K$2501,MATCH(MAX(COUNTIF($K$2:$K$2501,$K$2:$K$2501)),COUNTIF($K$2:$K$2501,$K$2:$K$2501),0)),K1068)</f>
        <v>B2C</v>
      </c>
    </row>
    <row r="1069" spans="1:17" x14ac:dyDescent="0.3">
      <c r="A1069">
        <v>2067</v>
      </c>
      <c r="B1069" t="s">
        <v>559</v>
      </c>
      <c r="C1069" t="s">
        <v>38</v>
      </c>
      <c r="D1069" t="s">
        <v>63</v>
      </c>
      <c r="E1069">
        <v>2</v>
      </c>
      <c r="F1069">
        <v>2975.33</v>
      </c>
      <c r="H1069" s="3">
        <f t="shared" si="80"/>
        <v>5950.66</v>
      </c>
      <c r="I1069" s="1">
        <v>45749</v>
      </c>
      <c r="J1069" t="s">
        <v>56</v>
      </c>
      <c r="L1069" s="2">
        <f t="shared" si="81"/>
        <v>2975.33</v>
      </c>
      <c r="M1069" s="4">
        <f t="shared" si="82"/>
        <v>0.6</v>
      </c>
      <c r="N1069" s="1">
        <f t="shared" si="83"/>
        <v>45749</v>
      </c>
      <c r="O1069" s="3">
        <f>(Table13[[#This Row],[Units_Sold]]*Table13[[#This Row],[Unit_Price_Cleaned]]*(1-Table13[[#This Row],[Discount Cleaned]]))</f>
        <v>2380.2640000000001</v>
      </c>
      <c r="P1069" t="str">
        <f t="shared" si="84"/>
        <v>Profit</v>
      </c>
      <c r="Q1069" t="str" cm="1">
        <f t="array" ref="Q1069">IF(K1069="",INDEX($K$2:$K$2501,MATCH(MAX(COUNTIF($K$2:$K$2501,$K$2:$K$2501)),COUNTIF($K$2:$K$2501,$K$2:$K$2501),0)),K1069)</f>
        <v>B2B</v>
      </c>
    </row>
    <row r="1070" spans="1:17" x14ac:dyDescent="0.3">
      <c r="A1070">
        <v>2068</v>
      </c>
      <c r="B1070" t="s">
        <v>1112</v>
      </c>
      <c r="C1070" t="s">
        <v>25</v>
      </c>
      <c r="D1070" t="s">
        <v>66</v>
      </c>
      <c r="E1070">
        <v>2</v>
      </c>
      <c r="G1070">
        <v>1</v>
      </c>
      <c r="H1070" s="3">
        <f t="shared" si="80"/>
        <v>5145.5528000000013</v>
      </c>
      <c r="I1070" s="1">
        <v>45295</v>
      </c>
      <c r="J1070" t="s">
        <v>15</v>
      </c>
      <c r="L1070" s="2">
        <f t="shared" si="81"/>
        <v>2572.7764000000006</v>
      </c>
      <c r="M1070" s="4">
        <f t="shared" si="82"/>
        <v>1</v>
      </c>
      <c r="N1070" s="1">
        <f t="shared" si="83"/>
        <v>45295</v>
      </c>
      <c r="O1070" s="3">
        <f>(Table13[[#This Row],[Units_Sold]]*Table13[[#This Row],[Unit_Price_Cleaned]]*(1-Table13[[#This Row],[Discount Cleaned]]))</f>
        <v>0</v>
      </c>
      <c r="P1070" t="str">
        <f t="shared" si="84"/>
        <v>Loss</v>
      </c>
      <c r="Q1070" t="str" cm="1">
        <f t="array" ref="Q1070">IF(K1070="",INDEX($K$2:$K$2501,MATCH(MAX(COUNTIF($K$2:$K$2501,$K$2:$K$2501)),COUNTIF($K$2:$K$2501,$K$2:$K$2501),0)),K1070)</f>
        <v>B2B</v>
      </c>
    </row>
    <row r="1071" spans="1:17" x14ac:dyDescent="0.3">
      <c r="A1071">
        <v>2069</v>
      </c>
      <c r="B1071" t="s">
        <v>1113</v>
      </c>
      <c r="C1071" t="s">
        <v>33</v>
      </c>
      <c r="D1071" t="s">
        <v>82</v>
      </c>
      <c r="E1071">
        <v>2</v>
      </c>
      <c r="F1071">
        <v>3266.05</v>
      </c>
      <c r="H1071" s="3">
        <f t="shared" si="80"/>
        <v>6532.1</v>
      </c>
      <c r="I1071" s="1">
        <v>45500</v>
      </c>
      <c r="J1071" t="s">
        <v>22</v>
      </c>
      <c r="K1071" t="s">
        <v>16</v>
      </c>
      <c r="L1071" s="2">
        <f t="shared" si="81"/>
        <v>3266.05</v>
      </c>
      <c r="M1071" s="4">
        <f t="shared" si="82"/>
        <v>0.6</v>
      </c>
      <c r="N1071" s="1">
        <f t="shared" si="83"/>
        <v>45500</v>
      </c>
      <c r="O1071" s="3">
        <f>(Table13[[#This Row],[Units_Sold]]*Table13[[#This Row],[Unit_Price_Cleaned]]*(1-Table13[[#This Row],[Discount Cleaned]]))</f>
        <v>2612.84</v>
      </c>
      <c r="P1071" t="str">
        <f t="shared" si="84"/>
        <v>Profit</v>
      </c>
      <c r="Q1071" t="str" cm="1">
        <f t="array" ref="Q1071">IF(K1071="",INDEX($K$2:$K$2501,MATCH(MAX(COUNTIF($K$2:$K$2501,$K$2:$K$2501)),COUNTIF($K$2:$K$2501,$K$2:$K$2501),0)),K1071)</f>
        <v>B2C</v>
      </c>
    </row>
    <row r="1072" spans="1:17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 s="3">
        <f t="shared" si="80"/>
        <v>-2559.6667307692314</v>
      </c>
      <c r="I1072" s="1">
        <v>45726</v>
      </c>
      <c r="J1072" t="s">
        <v>22</v>
      </c>
      <c r="K1072" t="s">
        <v>23</v>
      </c>
      <c r="L1072" s="2">
        <f t="shared" si="81"/>
        <v>2559.6667307692314</v>
      </c>
      <c r="M1072" s="4">
        <f t="shared" si="82"/>
        <v>0.6</v>
      </c>
      <c r="N1072" s="1">
        <f t="shared" si="83"/>
        <v>45726</v>
      </c>
      <c r="O1072" s="3">
        <f>(Table13[[#This Row],[Units_Sold]]*Table13[[#This Row],[Unit_Price_Cleaned]]*(1-Table13[[#This Row],[Discount Cleaned]]))</f>
        <v>-1023.8666923076926</v>
      </c>
      <c r="P1072" t="str">
        <f t="shared" si="84"/>
        <v>Loss</v>
      </c>
      <c r="Q1072" t="str" cm="1">
        <f t="array" ref="Q1072">IF(K1072="",INDEX($K$2:$K$2501,MATCH(MAX(COUNTIF($K$2:$K$2501,$K$2:$K$2501)),COUNTIF($K$2:$K$2501,$K$2:$K$2501),0)),K1072)</f>
        <v>B2B</v>
      </c>
    </row>
    <row r="1073" spans="1:17" x14ac:dyDescent="0.3">
      <c r="A1073">
        <v>2071</v>
      </c>
      <c r="B1073" t="s">
        <v>1115</v>
      </c>
      <c r="C1073" t="s">
        <v>25</v>
      </c>
      <c r="D1073" t="s">
        <v>66</v>
      </c>
      <c r="E1073">
        <v>2</v>
      </c>
      <c r="G1073">
        <v>0.98</v>
      </c>
      <c r="H1073" s="3">
        <f t="shared" si="80"/>
        <v>5145.5528000000013</v>
      </c>
      <c r="I1073" s="1">
        <v>45834</v>
      </c>
      <c r="J1073" t="s">
        <v>22</v>
      </c>
      <c r="K1073" t="s">
        <v>16</v>
      </c>
      <c r="L1073" s="2">
        <f t="shared" si="81"/>
        <v>2572.7764000000006</v>
      </c>
      <c r="M1073" s="4">
        <f t="shared" si="82"/>
        <v>0.98</v>
      </c>
      <c r="N1073" s="1">
        <f t="shared" si="83"/>
        <v>45834</v>
      </c>
      <c r="O1073" s="3">
        <f>(Table13[[#This Row],[Units_Sold]]*Table13[[#This Row],[Unit_Price_Cleaned]]*(1-Table13[[#This Row],[Discount Cleaned]]))</f>
        <v>102.91105600000012</v>
      </c>
      <c r="P1073" t="str">
        <f t="shared" si="84"/>
        <v>Loss</v>
      </c>
      <c r="Q1073" t="str" cm="1">
        <f t="array" ref="Q1073">IF(K1073="",INDEX($K$2:$K$2501,MATCH(MAX(COUNTIF($K$2:$K$2501,$K$2:$K$2501)),COUNTIF($K$2:$K$2501,$K$2:$K$2501),0)),K1073)</f>
        <v>B2C</v>
      </c>
    </row>
    <row r="1074" spans="1:17" x14ac:dyDescent="0.3">
      <c r="A1074">
        <v>2072</v>
      </c>
      <c r="B1074" t="s">
        <v>1116</v>
      </c>
      <c r="C1074" t="s">
        <v>38</v>
      </c>
      <c r="D1074" t="s">
        <v>39</v>
      </c>
      <c r="E1074">
        <v>2</v>
      </c>
      <c r="H1074" s="3">
        <f t="shared" si="80"/>
        <v>6016.7688888888888</v>
      </c>
      <c r="I1074" s="1">
        <v>45778</v>
      </c>
      <c r="J1074" t="s">
        <v>56</v>
      </c>
      <c r="L1074" s="2">
        <f t="shared" si="81"/>
        <v>3008.3844444444444</v>
      </c>
      <c r="M1074" s="4">
        <f t="shared" si="82"/>
        <v>0.6</v>
      </c>
      <c r="N1074" s="1">
        <f t="shared" si="83"/>
        <v>45778</v>
      </c>
      <c r="O1074" s="3">
        <f>(Table13[[#This Row],[Units_Sold]]*Table13[[#This Row],[Unit_Price_Cleaned]]*(1-Table13[[#This Row],[Discount Cleaned]]))</f>
        <v>2406.7075555555557</v>
      </c>
      <c r="P1074" t="str">
        <f t="shared" si="84"/>
        <v>Profit</v>
      </c>
      <c r="Q1074" t="str" cm="1">
        <f t="array" ref="Q1074">IF(K1074="",INDEX($K$2:$K$2501,MATCH(MAX(COUNTIF($K$2:$K$2501,$K$2:$K$2501)),COUNTIF($K$2:$K$2501,$K$2:$K$2501),0)),K1074)</f>
        <v>B2B</v>
      </c>
    </row>
    <row r="1075" spans="1:17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 s="3">
        <f t="shared" si="80"/>
        <v>4788.0599999999995</v>
      </c>
      <c r="J1075" t="s">
        <v>18</v>
      </c>
      <c r="K1075" t="s">
        <v>16</v>
      </c>
      <c r="L1075" s="2">
        <f t="shared" si="81"/>
        <v>1596.02</v>
      </c>
      <c r="M1075" s="4">
        <f t="shared" si="82"/>
        <v>0.6</v>
      </c>
      <c r="N1075" s="1">
        <f t="shared" si="83"/>
        <v>45782</v>
      </c>
      <c r="O1075" s="3">
        <f>(Table13[[#This Row],[Units_Sold]]*Table13[[#This Row],[Unit_Price_Cleaned]]*(1-Table13[[#This Row],[Discount Cleaned]]))</f>
        <v>1915.2239999999999</v>
      </c>
      <c r="P1075" t="str">
        <f t="shared" si="84"/>
        <v>Profit</v>
      </c>
      <c r="Q1075" t="str" cm="1">
        <f t="array" ref="Q1075">IF(K1075="",INDEX($K$2:$K$2501,MATCH(MAX(COUNTIF($K$2:$K$2501,$K$2:$K$2501)),COUNTIF($K$2:$K$2501,$K$2:$K$2501),0)),K1075)</f>
        <v>B2C</v>
      </c>
    </row>
    <row r="1076" spans="1:17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 s="3">
        <f t="shared" si="80"/>
        <v>9851.16</v>
      </c>
      <c r="I1076" s="1">
        <v>45573</v>
      </c>
      <c r="J1076" t="s">
        <v>40</v>
      </c>
      <c r="K1076" t="s">
        <v>16</v>
      </c>
      <c r="L1076" s="2">
        <f t="shared" si="81"/>
        <v>2462.79</v>
      </c>
      <c r="M1076" s="4">
        <f t="shared" si="82"/>
        <v>0.6</v>
      </c>
      <c r="N1076" s="1">
        <f t="shared" si="83"/>
        <v>45573</v>
      </c>
      <c r="O1076" s="3">
        <f>(Table13[[#This Row],[Units_Sold]]*Table13[[#This Row],[Unit_Price_Cleaned]]*(1-Table13[[#This Row],[Discount Cleaned]]))</f>
        <v>3940.4639999999999</v>
      </c>
      <c r="P1076" t="str">
        <f t="shared" si="84"/>
        <v>Profit</v>
      </c>
      <c r="Q1076" t="str" cm="1">
        <f t="array" ref="Q1076">IF(K1076="",INDEX($K$2:$K$2501,MATCH(MAX(COUNTIF($K$2:$K$2501,$K$2:$K$2501)),COUNTIF($K$2:$K$2501,$K$2:$K$2501),0)),K1076)</f>
        <v>B2C</v>
      </c>
    </row>
    <row r="1077" spans="1:17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 s="3">
        <f t="shared" si="80"/>
        <v>0</v>
      </c>
      <c r="J1077" t="s">
        <v>40</v>
      </c>
      <c r="K1077" t="s">
        <v>23</v>
      </c>
      <c r="L1077" s="2">
        <f t="shared" si="81"/>
        <v>2681.1743636363635</v>
      </c>
      <c r="M1077" s="4">
        <f t="shared" si="82"/>
        <v>0.6</v>
      </c>
      <c r="N1077" s="1">
        <f t="shared" si="83"/>
        <v>45782</v>
      </c>
      <c r="O1077" s="3">
        <f>(Table13[[#This Row],[Units_Sold]]*Table13[[#This Row],[Unit_Price_Cleaned]]*(1-Table13[[#This Row],[Discount Cleaned]]))</f>
        <v>0</v>
      </c>
      <c r="P1077" t="str">
        <f t="shared" si="84"/>
        <v>Loss</v>
      </c>
      <c r="Q1077" t="str" cm="1">
        <f t="array" ref="Q1077">IF(K1077="",INDEX($K$2:$K$2501,MATCH(MAX(COUNTIF($K$2:$K$2501,$K$2:$K$2501)),COUNTIF($K$2:$K$2501,$K$2:$K$2501),0)),K1077)</f>
        <v>B2B</v>
      </c>
    </row>
    <row r="1078" spans="1:17" x14ac:dyDescent="0.3">
      <c r="A1078">
        <v>2076</v>
      </c>
      <c r="B1078" t="s">
        <v>1120</v>
      </c>
      <c r="C1078" t="s">
        <v>25</v>
      </c>
      <c r="D1078" t="s">
        <v>54</v>
      </c>
      <c r="E1078">
        <v>2</v>
      </c>
      <c r="F1078">
        <v>1151.07</v>
      </c>
      <c r="H1078" s="3">
        <f t="shared" si="80"/>
        <v>2302.14</v>
      </c>
      <c r="I1078" s="1">
        <v>45798</v>
      </c>
      <c r="J1078" t="s">
        <v>40</v>
      </c>
      <c r="K1078" t="s">
        <v>23</v>
      </c>
      <c r="L1078" s="2">
        <f t="shared" si="81"/>
        <v>1151.07</v>
      </c>
      <c r="M1078" s="4">
        <f t="shared" si="82"/>
        <v>0.6</v>
      </c>
      <c r="N1078" s="1">
        <f t="shared" si="83"/>
        <v>45798</v>
      </c>
      <c r="O1078" s="3">
        <f>(Table13[[#This Row],[Units_Sold]]*Table13[[#This Row],[Unit_Price_Cleaned]]*(1-Table13[[#This Row],[Discount Cleaned]]))</f>
        <v>920.85599999999999</v>
      </c>
      <c r="P1078" t="str">
        <f t="shared" si="84"/>
        <v>Profit</v>
      </c>
      <c r="Q1078" t="str" cm="1">
        <f t="array" ref="Q1078">IF(K1078="",INDEX($K$2:$K$2501,MATCH(MAX(COUNTIF($K$2:$K$2501,$K$2:$K$2501)),COUNTIF($K$2:$K$2501,$K$2:$K$2501),0)),K1078)</f>
        <v>B2B</v>
      </c>
    </row>
    <row r="1079" spans="1:17" x14ac:dyDescent="0.3">
      <c r="A1079">
        <v>2077</v>
      </c>
      <c r="B1079" t="s">
        <v>1121</v>
      </c>
      <c r="C1079" t="s">
        <v>33</v>
      </c>
      <c r="D1079" t="s">
        <v>44</v>
      </c>
      <c r="E1079">
        <v>2</v>
      </c>
      <c r="H1079" s="3">
        <f t="shared" si="80"/>
        <v>5683.5261224489814</v>
      </c>
      <c r="J1079" t="s">
        <v>46</v>
      </c>
      <c r="K1079" t="s">
        <v>16</v>
      </c>
      <c r="L1079" s="2">
        <f t="shared" si="81"/>
        <v>2841.7630612244907</v>
      </c>
      <c r="M1079" s="4">
        <f t="shared" si="82"/>
        <v>0.6</v>
      </c>
      <c r="N1079" s="1">
        <f t="shared" si="83"/>
        <v>45782</v>
      </c>
      <c r="O1079" s="3">
        <f>(Table13[[#This Row],[Units_Sold]]*Table13[[#This Row],[Unit_Price_Cleaned]]*(1-Table13[[#This Row],[Discount Cleaned]]))</f>
        <v>2273.4104489795927</v>
      </c>
      <c r="P1079" t="str">
        <f t="shared" si="84"/>
        <v>Profit</v>
      </c>
      <c r="Q1079" t="str" cm="1">
        <f t="array" ref="Q1079">IF(K1079="",INDEX($K$2:$K$2501,MATCH(MAX(COUNTIF($K$2:$K$2501,$K$2:$K$2501)),COUNTIF($K$2:$K$2501,$K$2:$K$2501),0)),K1079)</f>
        <v>B2C</v>
      </c>
    </row>
    <row r="1080" spans="1:17" x14ac:dyDescent="0.3">
      <c r="A1080">
        <v>2078</v>
      </c>
      <c r="B1080" t="s">
        <v>1122</v>
      </c>
      <c r="C1080" t="s">
        <v>33</v>
      </c>
      <c r="D1080" t="s">
        <v>72</v>
      </c>
      <c r="E1080">
        <v>2</v>
      </c>
      <c r="F1080">
        <v>1760.85</v>
      </c>
      <c r="H1080" s="3">
        <f t="shared" si="80"/>
        <v>3521.7</v>
      </c>
      <c r="I1080" s="1">
        <v>45808</v>
      </c>
      <c r="J1080" t="s">
        <v>46</v>
      </c>
      <c r="L1080" s="2">
        <f t="shared" si="81"/>
        <v>1760.85</v>
      </c>
      <c r="M1080" s="4">
        <f t="shared" si="82"/>
        <v>0.6</v>
      </c>
      <c r="N1080" s="1">
        <f t="shared" si="83"/>
        <v>45808</v>
      </c>
      <c r="O1080" s="3">
        <f>(Table13[[#This Row],[Units_Sold]]*Table13[[#This Row],[Unit_Price_Cleaned]]*(1-Table13[[#This Row],[Discount Cleaned]]))</f>
        <v>1408.68</v>
      </c>
      <c r="P1080" t="str">
        <f t="shared" si="84"/>
        <v>Profit</v>
      </c>
      <c r="Q1080" t="str" cm="1">
        <f t="array" ref="Q1080">IF(K1080="",INDEX($K$2:$K$2501,MATCH(MAX(COUNTIF($K$2:$K$2501,$K$2:$K$2501)),COUNTIF($K$2:$K$2501,$K$2:$K$2501),0)),K1080)</f>
        <v>B2B</v>
      </c>
    </row>
    <row r="1081" spans="1:17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 s="3">
        <f t="shared" si="80"/>
        <v>5556.28</v>
      </c>
      <c r="J1081" t="s">
        <v>18</v>
      </c>
      <c r="K1081" t="s">
        <v>23</v>
      </c>
      <c r="L1081" s="2">
        <f t="shared" si="81"/>
        <v>2778.14</v>
      </c>
      <c r="M1081" s="4">
        <f t="shared" si="82"/>
        <v>1.21</v>
      </c>
      <c r="N1081" s="1">
        <f t="shared" si="83"/>
        <v>45782</v>
      </c>
      <c r="O1081" s="3">
        <f>(Table13[[#This Row],[Units_Sold]]*Table13[[#This Row],[Unit_Price_Cleaned]]*(1-Table13[[#This Row],[Discount Cleaned]]))</f>
        <v>-1166.8187999999998</v>
      </c>
      <c r="P1081" t="str">
        <f t="shared" si="84"/>
        <v>Loss</v>
      </c>
      <c r="Q1081" t="str" cm="1">
        <f t="array" ref="Q1081">IF(K1081="",INDEX($K$2:$K$2501,MATCH(MAX(COUNTIF($K$2:$K$2501,$K$2:$K$2501)),COUNTIF($K$2:$K$2501,$K$2:$K$2501),0)),K1081)</f>
        <v>B2B</v>
      </c>
    </row>
    <row r="1082" spans="1:17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 s="3">
        <f t="shared" si="80"/>
        <v>14017.050000000001</v>
      </c>
      <c r="J1082" t="s">
        <v>15</v>
      </c>
      <c r="K1082" t="s">
        <v>23</v>
      </c>
      <c r="L1082" s="2">
        <f t="shared" si="81"/>
        <v>4672.3500000000004</v>
      </c>
      <c r="M1082" s="4">
        <f t="shared" si="82"/>
        <v>0.6</v>
      </c>
      <c r="N1082" s="1">
        <f t="shared" si="83"/>
        <v>45782</v>
      </c>
      <c r="O1082" s="3">
        <f>(Table13[[#This Row],[Units_Sold]]*Table13[[#This Row],[Unit_Price_Cleaned]]*(1-Table13[[#This Row],[Discount Cleaned]]))</f>
        <v>5606.8200000000006</v>
      </c>
      <c r="P1082" t="str">
        <f t="shared" si="84"/>
        <v>Profit</v>
      </c>
      <c r="Q1082" t="str" cm="1">
        <f t="array" ref="Q1082">IF(K1082="",INDEX($K$2:$K$2501,MATCH(MAX(COUNTIF($K$2:$K$2501,$K$2:$K$2501)),COUNTIF($K$2:$K$2501,$K$2:$K$2501),0)),K1082)</f>
        <v>B2B</v>
      </c>
    </row>
    <row r="1083" spans="1:17" x14ac:dyDescent="0.3">
      <c r="A1083">
        <v>2081</v>
      </c>
      <c r="B1083" t="s">
        <v>1125</v>
      </c>
      <c r="C1083" t="s">
        <v>33</v>
      </c>
      <c r="D1083" t="s">
        <v>34</v>
      </c>
      <c r="E1083">
        <v>2</v>
      </c>
      <c r="F1083">
        <v>2809.88</v>
      </c>
      <c r="H1083" s="3">
        <f t="shared" si="80"/>
        <v>5619.76</v>
      </c>
      <c r="I1083" s="1">
        <v>45850</v>
      </c>
      <c r="J1083" t="s">
        <v>18</v>
      </c>
      <c r="K1083" t="s">
        <v>23</v>
      </c>
      <c r="L1083" s="2">
        <f t="shared" si="81"/>
        <v>2809.88</v>
      </c>
      <c r="M1083" s="4">
        <f t="shared" si="82"/>
        <v>0.6</v>
      </c>
      <c r="N1083" s="1">
        <f t="shared" si="83"/>
        <v>45850</v>
      </c>
      <c r="O1083" s="3">
        <f>(Table13[[#This Row],[Units_Sold]]*Table13[[#This Row],[Unit_Price_Cleaned]]*(1-Table13[[#This Row],[Discount Cleaned]]))</f>
        <v>2247.904</v>
      </c>
      <c r="P1083" t="str">
        <f t="shared" si="84"/>
        <v>Profit</v>
      </c>
      <c r="Q1083" t="str" cm="1">
        <f t="array" ref="Q1083">IF(K1083="",INDEX($K$2:$K$2501,MATCH(MAX(COUNTIF($K$2:$K$2501,$K$2:$K$2501)),COUNTIF($K$2:$K$2501,$K$2:$K$2501),0)),K1083)</f>
        <v>B2B</v>
      </c>
    </row>
    <row r="1084" spans="1:17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 s="3">
        <f t="shared" si="80"/>
        <v>13500.631521739126</v>
      </c>
      <c r="I1084" s="1">
        <v>45411</v>
      </c>
      <c r="J1084" t="s">
        <v>22</v>
      </c>
      <c r="L1084" s="2">
        <f t="shared" si="81"/>
        <v>2700.1263043478252</v>
      </c>
      <c r="M1084" s="4">
        <f t="shared" si="82"/>
        <v>1.1499999999999999</v>
      </c>
      <c r="N1084" s="1">
        <f t="shared" si="83"/>
        <v>45411</v>
      </c>
      <c r="O1084" s="3">
        <f>(Table13[[#This Row],[Units_Sold]]*Table13[[#This Row],[Unit_Price_Cleaned]]*(1-Table13[[#This Row],[Discount Cleaned]]))</f>
        <v>-2025.0947282608677</v>
      </c>
      <c r="P1084" t="str">
        <f t="shared" si="84"/>
        <v>Loss</v>
      </c>
      <c r="Q1084" t="str" cm="1">
        <f t="array" ref="Q1084">IF(K1084="",INDEX($K$2:$K$2501,MATCH(MAX(COUNTIF($K$2:$K$2501,$K$2:$K$2501)),COUNTIF($K$2:$K$2501,$K$2:$K$2501),0)),K1084)</f>
        <v>B2B</v>
      </c>
    </row>
    <row r="1085" spans="1:17" x14ac:dyDescent="0.3">
      <c r="A1085">
        <v>2083</v>
      </c>
      <c r="B1085" t="s">
        <v>1127</v>
      </c>
      <c r="C1085" t="s">
        <v>25</v>
      </c>
      <c r="D1085" t="s">
        <v>66</v>
      </c>
      <c r="E1085">
        <v>2</v>
      </c>
      <c r="F1085">
        <v>2105.7399999999998</v>
      </c>
      <c r="G1085">
        <v>0.34</v>
      </c>
      <c r="H1085" s="3">
        <f t="shared" si="80"/>
        <v>4211.4799999999996</v>
      </c>
      <c r="I1085" s="1">
        <v>45710</v>
      </c>
      <c r="J1085" t="s">
        <v>15</v>
      </c>
      <c r="K1085" t="s">
        <v>16</v>
      </c>
      <c r="L1085" s="2">
        <f t="shared" si="81"/>
        <v>2105.7399999999998</v>
      </c>
      <c r="M1085" s="4">
        <f t="shared" si="82"/>
        <v>0.34</v>
      </c>
      <c r="N1085" s="1">
        <f t="shared" si="83"/>
        <v>45710</v>
      </c>
      <c r="O1085" s="3">
        <f>(Table13[[#This Row],[Units_Sold]]*Table13[[#This Row],[Unit_Price_Cleaned]]*(1-Table13[[#This Row],[Discount Cleaned]]))</f>
        <v>2779.5767999999994</v>
      </c>
      <c r="P1085" t="str">
        <f t="shared" si="84"/>
        <v>Profit</v>
      </c>
      <c r="Q1085" t="str" cm="1">
        <f t="array" ref="Q1085">IF(K1085="",INDEX($K$2:$K$2501,MATCH(MAX(COUNTIF($K$2:$K$2501,$K$2:$K$2501)),COUNTIF($K$2:$K$2501,$K$2:$K$2501),0)),K1085)</f>
        <v>B2C</v>
      </c>
    </row>
    <row r="1086" spans="1:17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 s="3">
        <f t="shared" si="80"/>
        <v>24412.920000000002</v>
      </c>
      <c r="I1086" s="1">
        <v>45750</v>
      </c>
      <c r="J1086" t="s">
        <v>18</v>
      </c>
      <c r="K1086" t="s">
        <v>23</v>
      </c>
      <c r="L1086" s="2">
        <f t="shared" si="81"/>
        <v>4068.82</v>
      </c>
      <c r="M1086" s="4">
        <f t="shared" si="82"/>
        <v>0.6</v>
      </c>
      <c r="N1086" s="1">
        <f t="shared" si="83"/>
        <v>45750</v>
      </c>
      <c r="O1086" s="3">
        <f>(Table13[[#This Row],[Units_Sold]]*Table13[[#This Row],[Unit_Price_Cleaned]]*(1-Table13[[#This Row],[Discount Cleaned]]))</f>
        <v>9765.1680000000015</v>
      </c>
      <c r="P1086" t="str">
        <f t="shared" si="84"/>
        <v>Profit</v>
      </c>
      <c r="Q1086" t="str" cm="1">
        <f t="array" ref="Q1086">IF(K1086="",INDEX($K$2:$K$2501,MATCH(MAX(COUNTIF($K$2:$K$2501,$K$2:$K$2501)),COUNTIF($K$2:$K$2501,$K$2:$K$2501),0)),K1086)</f>
        <v>B2B</v>
      </c>
    </row>
    <row r="1087" spans="1:17" x14ac:dyDescent="0.3">
      <c r="A1087">
        <v>2085</v>
      </c>
      <c r="B1087" t="s">
        <v>1129</v>
      </c>
      <c r="C1087" t="s">
        <v>20</v>
      </c>
      <c r="D1087" t="s">
        <v>88</v>
      </c>
      <c r="E1087">
        <v>2</v>
      </c>
      <c r="H1087" s="3">
        <f t="shared" si="80"/>
        <v>5451.7114285714297</v>
      </c>
      <c r="I1087" s="1">
        <v>45554</v>
      </c>
      <c r="J1087" t="s">
        <v>56</v>
      </c>
      <c r="L1087" s="2">
        <f t="shared" si="81"/>
        <v>2725.8557142857148</v>
      </c>
      <c r="M1087" s="4">
        <f t="shared" si="82"/>
        <v>0.6</v>
      </c>
      <c r="N1087" s="1">
        <f t="shared" si="83"/>
        <v>45554</v>
      </c>
      <c r="O1087" s="3">
        <f>(Table13[[#This Row],[Units_Sold]]*Table13[[#This Row],[Unit_Price_Cleaned]]*(1-Table13[[#This Row],[Discount Cleaned]]))</f>
        <v>2180.6845714285719</v>
      </c>
      <c r="P1087" t="str">
        <f t="shared" si="84"/>
        <v>Profit</v>
      </c>
      <c r="Q1087" t="str" cm="1">
        <f t="array" ref="Q1087">IF(K1087="",INDEX($K$2:$K$2501,MATCH(MAX(COUNTIF($K$2:$K$2501,$K$2:$K$2501)),COUNTIF($K$2:$K$2501,$K$2:$K$2501),0)),K1087)</f>
        <v>B2B</v>
      </c>
    </row>
    <row r="1088" spans="1:17" x14ac:dyDescent="0.3">
      <c r="A1088">
        <v>1015</v>
      </c>
      <c r="B1088" t="s">
        <v>1130</v>
      </c>
      <c r="C1088" t="s">
        <v>33</v>
      </c>
      <c r="D1088" t="s">
        <v>72</v>
      </c>
      <c r="E1088">
        <v>2</v>
      </c>
      <c r="H1088" s="3">
        <f t="shared" si="80"/>
        <v>5431.091698113205</v>
      </c>
      <c r="J1088" t="s">
        <v>46</v>
      </c>
      <c r="K1088" t="s">
        <v>16</v>
      </c>
      <c r="L1088" s="2">
        <f t="shared" si="81"/>
        <v>2715.5458490566025</v>
      </c>
      <c r="M1088" s="4">
        <f t="shared" si="82"/>
        <v>0.6</v>
      </c>
      <c r="N1088" s="1">
        <f t="shared" si="83"/>
        <v>45782</v>
      </c>
      <c r="O1088" s="3">
        <f>(Table13[[#This Row],[Units_Sold]]*Table13[[#This Row],[Unit_Price_Cleaned]]*(1-Table13[[#This Row],[Discount Cleaned]]))</f>
        <v>2172.436679245282</v>
      </c>
      <c r="P1088" t="str">
        <f t="shared" si="84"/>
        <v>Profit</v>
      </c>
      <c r="Q1088" t="str" cm="1">
        <f t="array" ref="Q1088">IF(K1088="",INDEX($K$2:$K$2501,MATCH(MAX(COUNTIF($K$2:$K$2501,$K$2:$K$2501)),COUNTIF($K$2:$K$2501,$K$2:$K$2501),0)),K1088)</f>
        <v>B2C</v>
      </c>
    </row>
    <row r="1089" spans="1:17" x14ac:dyDescent="0.3">
      <c r="A1089">
        <v>2087</v>
      </c>
      <c r="B1089" t="s">
        <v>1131</v>
      </c>
      <c r="C1089" t="s">
        <v>38</v>
      </c>
      <c r="D1089" t="s">
        <v>63</v>
      </c>
      <c r="E1089">
        <v>2</v>
      </c>
      <c r="F1089">
        <v>2610.84</v>
      </c>
      <c r="H1089" s="3">
        <f t="shared" si="80"/>
        <v>5221.68</v>
      </c>
      <c r="I1089" s="1">
        <v>45501</v>
      </c>
      <c r="J1089" t="s">
        <v>40</v>
      </c>
      <c r="K1089" t="s">
        <v>16</v>
      </c>
      <c r="L1089" s="2">
        <f t="shared" si="81"/>
        <v>2610.84</v>
      </c>
      <c r="M1089" s="4">
        <f t="shared" si="82"/>
        <v>0.6</v>
      </c>
      <c r="N1089" s="1">
        <f t="shared" si="83"/>
        <v>45501</v>
      </c>
      <c r="O1089" s="3">
        <f>(Table13[[#This Row],[Units_Sold]]*Table13[[#This Row],[Unit_Price_Cleaned]]*(1-Table13[[#This Row],[Discount Cleaned]]))</f>
        <v>2088.672</v>
      </c>
      <c r="P1089" t="str">
        <f t="shared" si="84"/>
        <v>Profit</v>
      </c>
      <c r="Q1089" t="str" cm="1">
        <f t="array" ref="Q1089">IF(K1089="",INDEX($K$2:$K$2501,MATCH(MAX(COUNTIF($K$2:$K$2501,$K$2:$K$2501)),COUNTIF($K$2:$K$2501,$K$2:$K$2501),0)),K1089)</f>
        <v>B2C</v>
      </c>
    </row>
    <row r="1090" spans="1:17" x14ac:dyDescent="0.3">
      <c r="A1090">
        <v>2088</v>
      </c>
      <c r="B1090" t="s">
        <v>1132</v>
      </c>
      <c r="C1090" t="s">
        <v>25</v>
      </c>
      <c r="D1090" t="s">
        <v>54</v>
      </c>
      <c r="E1090">
        <v>2</v>
      </c>
      <c r="H1090" s="3">
        <f t="shared" ref="H1090:H1153" si="85">(L1090*E1090)</f>
        <v>5060.7673076923093</v>
      </c>
      <c r="I1090" s="1">
        <v>45670</v>
      </c>
      <c r="J1090" t="s">
        <v>22</v>
      </c>
      <c r="K1090" t="s">
        <v>16</v>
      </c>
      <c r="L1090" s="2">
        <f t="shared" ref="L1090:L1153" si="86">IF(F1090="",AVERAGEIF($D$2:$D$2501,D1090,$F$2:$F$2501),F1090)</f>
        <v>2530.3836538461546</v>
      </c>
      <c r="M1090" s="4">
        <f t="shared" ref="M1090:M1153" si="87">IF(G1090="",MEDIAN($G$2,$G$2501),G1090)</f>
        <v>0.6</v>
      </c>
      <c r="N1090" s="1">
        <f t="shared" ref="N1090:N1153" si="88">IF(I1090="",MODE($I$32:$I$2501),I1090)</f>
        <v>45670</v>
      </c>
      <c r="O1090" s="3">
        <f>(Table13[[#This Row],[Units_Sold]]*Table13[[#This Row],[Unit_Price_Cleaned]]*(1-Table13[[#This Row],[Discount Cleaned]]))</f>
        <v>2024.3069230769238</v>
      </c>
      <c r="P1090" t="str">
        <f t="shared" ref="P1090:P1153" si="89">IF(O1090&gt;500,"Profit","Loss")</f>
        <v>Profit</v>
      </c>
      <c r="Q1090" t="str" cm="1">
        <f t="array" ref="Q1090">IF(K1090="",INDEX($K$2:$K$2501,MATCH(MAX(COUNTIF($K$2:$K$2501,$K$2:$K$2501)),COUNTIF($K$2:$K$2501,$K$2:$K$2501),0)),K1090)</f>
        <v>B2C</v>
      </c>
    </row>
    <row r="1091" spans="1:17" x14ac:dyDescent="0.3">
      <c r="A1091">
        <v>2089</v>
      </c>
      <c r="B1091" t="s">
        <v>1133</v>
      </c>
      <c r="C1091" t="s">
        <v>29</v>
      </c>
      <c r="D1091" t="s">
        <v>141</v>
      </c>
      <c r="E1091">
        <v>2</v>
      </c>
      <c r="F1091">
        <v>1571.58</v>
      </c>
      <c r="G1091">
        <v>1.17</v>
      </c>
      <c r="H1091" s="3">
        <f t="shared" si="85"/>
        <v>3143.16</v>
      </c>
      <c r="I1091" s="1">
        <v>45192</v>
      </c>
      <c r="J1091" t="s">
        <v>56</v>
      </c>
      <c r="K1091" t="s">
        <v>23</v>
      </c>
      <c r="L1091" s="2">
        <f t="shared" si="86"/>
        <v>1571.58</v>
      </c>
      <c r="M1091" s="4">
        <f t="shared" si="87"/>
        <v>1.17</v>
      </c>
      <c r="N1091" s="1">
        <f t="shared" si="88"/>
        <v>45192</v>
      </c>
      <c r="O1091" s="3">
        <f>(Table13[[#This Row],[Units_Sold]]*Table13[[#This Row],[Unit_Price_Cleaned]]*(1-Table13[[#This Row],[Discount Cleaned]]))</f>
        <v>-534.33719999999971</v>
      </c>
      <c r="P1091" t="str">
        <f t="shared" si="89"/>
        <v>Loss</v>
      </c>
      <c r="Q1091" t="str" cm="1">
        <f t="array" ref="Q1091">IF(K1091="",INDEX($K$2:$K$2501,MATCH(MAX(COUNTIF($K$2:$K$2501,$K$2:$K$2501)),COUNTIF($K$2:$K$2501,$K$2:$K$2501),0)),K1091)</f>
        <v>B2B</v>
      </c>
    </row>
    <row r="1092" spans="1:17" x14ac:dyDescent="0.3">
      <c r="A1092">
        <v>2090</v>
      </c>
      <c r="B1092" t="s">
        <v>1134</v>
      </c>
      <c r="C1092" t="s">
        <v>29</v>
      </c>
      <c r="D1092" t="s">
        <v>141</v>
      </c>
      <c r="E1092">
        <v>2</v>
      </c>
      <c r="F1092">
        <v>940.71</v>
      </c>
      <c r="H1092" s="3">
        <f t="shared" si="85"/>
        <v>1881.42</v>
      </c>
      <c r="I1092" s="1">
        <v>45736</v>
      </c>
      <c r="J1092" t="s">
        <v>15</v>
      </c>
      <c r="L1092" s="2">
        <f t="shared" si="86"/>
        <v>940.71</v>
      </c>
      <c r="M1092" s="4">
        <f t="shared" si="87"/>
        <v>0.6</v>
      </c>
      <c r="N1092" s="1">
        <f t="shared" si="88"/>
        <v>45736</v>
      </c>
      <c r="O1092" s="3">
        <f>(Table13[[#This Row],[Units_Sold]]*Table13[[#This Row],[Unit_Price_Cleaned]]*(1-Table13[[#This Row],[Discount Cleaned]]))</f>
        <v>752.5680000000001</v>
      </c>
      <c r="P1092" t="str">
        <f t="shared" si="89"/>
        <v>Profit</v>
      </c>
      <c r="Q1092" t="str" cm="1">
        <f t="array" ref="Q1092">IF(K1092="",INDEX($K$2:$K$2501,MATCH(MAX(COUNTIF($K$2:$K$2501,$K$2:$K$2501)),COUNTIF($K$2:$K$2501,$K$2:$K$2501),0)),K1092)</f>
        <v>B2B</v>
      </c>
    </row>
    <row r="1093" spans="1:17" x14ac:dyDescent="0.3">
      <c r="A1093">
        <v>2091</v>
      </c>
      <c r="B1093" t="s">
        <v>1135</v>
      </c>
      <c r="C1093" t="s">
        <v>38</v>
      </c>
      <c r="D1093" t="s">
        <v>39</v>
      </c>
      <c r="E1093">
        <v>2</v>
      </c>
      <c r="F1093">
        <v>1323.61</v>
      </c>
      <c r="H1093" s="3">
        <f t="shared" si="85"/>
        <v>2647.22</v>
      </c>
      <c r="I1093" s="1">
        <v>45781</v>
      </c>
      <c r="J1093" t="s">
        <v>15</v>
      </c>
      <c r="K1093" t="s">
        <v>16</v>
      </c>
      <c r="L1093" s="2">
        <f t="shared" si="86"/>
        <v>1323.61</v>
      </c>
      <c r="M1093" s="4">
        <f t="shared" si="87"/>
        <v>0.6</v>
      </c>
      <c r="N1093" s="1">
        <f t="shared" si="88"/>
        <v>45781</v>
      </c>
      <c r="O1093" s="3">
        <f>(Table13[[#This Row],[Units_Sold]]*Table13[[#This Row],[Unit_Price_Cleaned]]*(1-Table13[[#This Row],[Discount Cleaned]]))</f>
        <v>1058.8879999999999</v>
      </c>
      <c r="P1093" t="str">
        <f t="shared" si="89"/>
        <v>Profit</v>
      </c>
      <c r="Q1093" t="str" cm="1">
        <f t="array" ref="Q1093">IF(K1093="",INDEX($K$2:$K$2501,MATCH(MAX(COUNTIF($K$2:$K$2501,$K$2:$K$2501)),COUNTIF($K$2:$K$2501,$K$2:$K$2501),0)),K1093)</f>
        <v>B2C</v>
      </c>
    </row>
    <row r="1094" spans="1:17" x14ac:dyDescent="0.3">
      <c r="A1094">
        <v>2092</v>
      </c>
      <c r="B1094" t="s">
        <v>1136</v>
      </c>
      <c r="C1094" t="s">
        <v>25</v>
      </c>
      <c r="D1094" t="s">
        <v>86</v>
      </c>
      <c r="E1094">
        <v>2</v>
      </c>
      <c r="F1094">
        <v>4459.2</v>
      </c>
      <c r="H1094" s="3">
        <f t="shared" si="85"/>
        <v>8918.4</v>
      </c>
      <c r="I1094" s="1">
        <v>45739</v>
      </c>
      <c r="J1094" t="s">
        <v>15</v>
      </c>
      <c r="L1094" s="2">
        <f t="shared" si="86"/>
        <v>4459.2</v>
      </c>
      <c r="M1094" s="4">
        <f t="shared" si="87"/>
        <v>0.6</v>
      </c>
      <c r="N1094" s="1">
        <f t="shared" si="88"/>
        <v>45739</v>
      </c>
      <c r="O1094" s="3">
        <f>(Table13[[#This Row],[Units_Sold]]*Table13[[#This Row],[Unit_Price_Cleaned]]*(1-Table13[[#This Row],[Discount Cleaned]]))</f>
        <v>3567.36</v>
      </c>
      <c r="P1094" t="str">
        <f t="shared" si="89"/>
        <v>Profit</v>
      </c>
      <c r="Q1094" t="str" cm="1">
        <f t="array" ref="Q1094">IF(K1094="",INDEX($K$2:$K$2501,MATCH(MAX(COUNTIF($K$2:$K$2501,$K$2:$K$2501)),COUNTIF($K$2:$K$2501,$K$2:$K$2501),0)),K1094)</f>
        <v>B2B</v>
      </c>
    </row>
    <row r="1095" spans="1:17" x14ac:dyDescent="0.3">
      <c r="A1095">
        <v>2093</v>
      </c>
      <c r="B1095" t="s">
        <v>1137</v>
      </c>
      <c r="C1095" t="s">
        <v>33</v>
      </c>
      <c r="D1095" t="s">
        <v>72</v>
      </c>
      <c r="E1095">
        <v>2</v>
      </c>
      <c r="F1095">
        <v>3163.95</v>
      </c>
      <c r="H1095" s="3">
        <f t="shared" si="85"/>
        <v>6327.9</v>
      </c>
      <c r="I1095" s="1">
        <v>45677</v>
      </c>
      <c r="J1095" t="s">
        <v>22</v>
      </c>
      <c r="L1095" s="2">
        <f t="shared" si="86"/>
        <v>3163.95</v>
      </c>
      <c r="M1095" s="4">
        <f t="shared" si="87"/>
        <v>0.6</v>
      </c>
      <c r="N1095" s="1">
        <f t="shared" si="88"/>
        <v>45677</v>
      </c>
      <c r="O1095" s="3">
        <f>(Table13[[#This Row],[Units_Sold]]*Table13[[#This Row],[Unit_Price_Cleaned]]*(1-Table13[[#This Row],[Discount Cleaned]]))</f>
        <v>2531.16</v>
      </c>
      <c r="P1095" t="str">
        <f t="shared" si="89"/>
        <v>Profit</v>
      </c>
      <c r="Q1095" t="str" cm="1">
        <f t="array" ref="Q1095">IF(K1095="",INDEX($K$2:$K$2501,MATCH(MAX(COUNTIF($K$2:$K$2501,$K$2:$K$2501)),COUNTIF($K$2:$K$2501,$K$2:$K$2501),0)),K1095)</f>
        <v>B2B</v>
      </c>
    </row>
    <row r="1096" spans="1:17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 s="3">
        <f t="shared" si="85"/>
        <v>14343.884090909089</v>
      </c>
      <c r="J1096" t="s">
        <v>22</v>
      </c>
      <c r="K1096" t="s">
        <v>16</v>
      </c>
      <c r="L1096" s="2">
        <f t="shared" si="86"/>
        <v>2868.7768181818178</v>
      </c>
      <c r="M1096" s="4">
        <f t="shared" si="87"/>
        <v>0.6</v>
      </c>
      <c r="N1096" s="1">
        <f t="shared" si="88"/>
        <v>45782</v>
      </c>
      <c r="O1096" s="3">
        <f>(Table13[[#This Row],[Units_Sold]]*Table13[[#This Row],[Unit_Price_Cleaned]]*(1-Table13[[#This Row],[Discount Cleaned]]))</f>
        <v>5737.5536363636356</v>
      </c>
      <c r="P1096" t="str">
        <f t="shared" si="89"/>
        <v>Profit</v>
      </c>
      <c r="Q1096" t="str" cm="1">
        <f t="array" ref="Q1096">IF(K1096="",INDEX($K$2:$K$2501,MATCH(MAX(COUNTIF($K$2:$K$2501,$K$2:$K$2501)),COUNTIF($K$2:$K$2501,$K$2:$K$2501),0)),K1096)</f>
        <v>B2C</v>
      </c>
    </row>
    <row r="1097" spans="1:17" x14ac:dyDescent="0.3">
      <c r="A1097">
        <v>2095</v>
      </c>
      <c r="B1097" t="s">
        <v>1139</v>
      </c>
      <c r="C1097" t="s">
        <v>33</v>
      </c>
      <c r="D1097" t="s">
        <v>72</v>
      </c>
      <c r="E1097">
        <v>2</v>
      </c>
      <c r="F1097">
        <v>3809.95</v>
      </c>
      <c r="G1097">
        <v>1.29</v>
      </c>
      <c r="H1097" s="3">
        <f t="shared" si="85"/>
        <v>7619.9</v>
      </c>
      <c r="I1097" s="1">
        <v>45572</v>
      </c>
      <c r="J1097" t="s">
        <v>40</v>
      </c>
      <c r="K1097" t="s">
        <v>23</v>
      </c>
      <c r="L1097" s="2">
        <f t="shared" si="86"/>
        <v>3809.95</v>
      </c>
      <c r="M1097" s="4">
        <f t="shared" si="87"/>
        <v>1.29</v>
      </c>
      <c r="N1097" s="1">
        <f t="shared" si="88"/>
        <v>45572</v>
      </c>
      <c r="O1097" s="3">
        <f>(Table13[[#This Row],[Units_Sold]]*Table13[[#This Row],[Unit_Price_Cleaned]]*(1-Table13[[#This Row],[Discount Cleaned]]))</f>
        <v>-2209.7710000000002</v>
      </c>
      <c r="P1097" t="str">
        <f t="shared" si="89"/>
        <v>Loss</v>
      </c>
      <c r="Q1097" t="str" cm="1">
        <f t="array" ref="Q1097">IF(K1097="",INDEX($K$2:$K$2501,MATCH(MAX(COUNTIF($K$2:$K$2501,$K$2:$K$2501)),COUNTIF($K$2:$K$2501,$K$2:$K$2501),0)),K1097)</f>
        <v>B2B</v>
      </c>
    </row>
    <row r="1098" spans="1:17" x14ac:dyDescent="0.3">
      <c r="A1098">
        <v>2096</v>
      </c>
      <c r="B1098" t="s">
        <v>1140</v>
      </c>
      <c r="C1098" t="s">
        <v>13</v>
      </c>
      <c r="D1098" t="s">
        <v>102</v>
      </c>
      <c r="E1098">
        <v>2</v>
      </c>
      <c r="F1098">
        <v>3906.15</v>
      </c>
      <c r="G1098">
        <v>1.19</v>
      </c>
      <c r="H1098" s="3">
        <f t="shared" si="85"/>
        <v>7812.3</v>
      </c>
      <c r="J1098" t="s">
        <v>40</v>
      </c>
      <c r="K1098" t="s">
        <v>23</v>
      </c>
      <c r="L1098" s="2">
        <f t="shared" si="86"/>
        <v>3906.15</v>
      </c>
      <c r="M1098" s="4">
        <f t="shared" si="87"/>
        <v>1.19</v>
      </c>
      <c r="N1098" s="1">
        <f t="shared" si="88"/>
        <v>45782</v>
      </c>
      <c r="O1098" s="3">
        <f>(Table13[[#This Row],[Units_Sold]]*Table13[[#This Row],[Unit_Price_Cleaned]]*(1-Table13[[#This Row],[Discount Cleaned]]))</f>
        <v>-1484.3369999999995</v>
      </c>
      <c r="P1098" t="str">
        <f t="shared" si="89"/>
        <v>Loss</v>
      </c>
      <c r="Q1098" t="str" cm="1">
        <f t="array" ref="Q1098">IF(K1098="",INDEX($K$2:$K$2501,MATCH(MAX(COUNTIF($K$2:$K$2501,$K$2:$K$2501)),COUNTIF($K$2:$K$2501,$K$2:$K$2501),0)),K1098)</f>
        <v>B2B</v>
      </c>
    </row>
    <row r="1099" spans="1:17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 s="3">
        <f t="shared" si="85"/>
        <v>8146.6375471698075</v>
      </c>
      <c r="I1099" s="1">
        <v>45756</v>
      </c>
      <c r="J1099" t="s">
        <v>22</v>
      </c>
      <c r="K1099" t="s">
        <v>16</v>
      </c>
      <c r="L1099" s="2">
        <f t="shared" si="86"/>
        <v>2715.5458490566025</v>
      </c>
      <c r="M1099" s="4">
        <f t="shared" si="87"/>
        <v>0.64</v>
      </c>
      <c r="N1099" s="1">
        <f t="shared" si="88"/>
        <v>45756</v>
      </c>
      <c r="O1099" s="3">
        <f>(Table13[[#This Row],[Units_Sold]]*Table13[[#This Row],[Unit_Price_Cleaned]]*(1-Table13[[#This Row],[Discount Cleaned]]))</f>
        <v>2932.7895169811304</v>
      </c>
      <c r="P1099" t="str">
        <f t="shared" si="89"/>
        <v>Profit</v>
      </c>
      <c r="Q1099" t="str" cm="1">
        <f t="array" ref="Q1099">IF(K1099="",INDEX($K$2:$K$2501,MATCH(MAX(COUNTIF($K$2:$K$2501,$K$2:$K$2501)),COUNTIF($K$2:$K$2501,$K$2:$K$2501),0)),K1099)</f>
        <v>B2C</v>
      </c>
    </row>
    <row r="1100" spans="1:17" x14ac:dyDescent="0.3">
      <c r="A1100">
        <v>2098</v>
      </c>
      <c r="B1100" t="s">
        <v>1142</v>
      </c>
      <c r="C1100" t="s">
        <v>20</v>
      </c>
      <c r="D1100" t="s">
        <v>80</v>
      </c>
      <c r="E1100">
        <v>2</v>
      </c>
      <c r="F1100">
        <v>431.18</v>
      </c>
      <c r="H1100" s="3">
        <f t="shared" si="85"/>
        <v>862.36</v>
      </c>
      <c r="I1100" s="1">
        <v>45708</v>
      </c>
      <c r="J1100" t="s">
        <v>46</v>
      </c>
      <c r="L1100" s="2">
        <f t="shared" si="86"/>
        <v>431.18</v>
      </c>
      <c r="M1100" s="4">
        <f t="shared" si="87"/>
        <v>0.6</v>
      </c>
      <c r="N1100" s="1">
        <f t="shared" si="88"/>
        <v>45708</v>
      </c>
      <c r="O1100" s="3">
        <f>(Table13[[#This Row],[Units_Sold]]*Table13[[#This Row],[Unit_Price_Cleaned]]*(1-Table13[[#This Row],[Discount Cleaned]]))</f>
        <v>344.94400000000002</v>
      </c>
      <c r="P1100" t="str">
        <f t="shared" si="89"/>
        <v>Loss</v>
      </c>
      <c r="Q1100" t="str" cm="1">
        <f t="array" ref="Q1100">IF(K1100="",INDEX($K$2:$K$2501,MATCH(MAX(COUNTIF($K$2:$K$2501,$K$2:$K$2501)),COUNTIF($K$2:$K$2501,$K$2:$K$2501),0)),K1100)</f>
        <v>B2B</v>
      </c>
    </row>
    <row r="1101" spans="1:17" x14ac:dyDescent="0.3">
      <c r="A1101">
        <v>2099</v>
      </c>
      <c r="B1101" t="s">
        <v>1143</v>
      </c>
      <c r="C1101" t="s">
        <v>33</v>
      </c>
      <c r="D1101" t="s">
        <v>34</v>
      </c>
      <c r="E1101">
        <v>2</v>
      </c>
      <c r="F1101">
        <v>1806.81</v>
      </c>
      <c r="G1101">
        <v>1.1000000000000001</v>
      </c>
      <c r="H1101" s="3">
        <f t="shared" si="85"/>
        <v>3613.62</v>
      </c>
      <c r="I1101" s="1">
        <v>45581</v>
      </c>
      <c r="J1101" t="s">
        <v>18</v>
      </c>
      <c r="L1101" s="2">
        <f t="shared" si="86"/>
        <v>1806.81</v>
      </c>
      <c r="M1101" s="4">
        <f t="shared" si="87"/>
        <v>1.1000000000000001</v>
      </c>
      <c r="N1101" s="1">
        <f t="shared" si="88"/>
        <v>45581</v>
      </c>
      <c r="O1101" s="3">
        <f>(Table13[[#This Row],[Units_Sold]]*Table13[[#This Row],[Unit_Price_Cleaned]]*(1-Table13[[#This Row],[Discount Cleaned]]))</f>
        <v>-361.36200000000031</v>
      </c>
      <c r="P1101" t="str">
        <f t="shared" si="89"/>
        <v>Loss</v>
      </c>
      <c r="Q1101" t="str" cm="1">
        <f t="array" ref="Q1101">IF(K1101="",INDEX($K$2:$K$2501,MATCH(MAX(COUNTIF($K$2:$K$2501,$K$2:$K$2501)),COUNTIF($K$2:$K$2501,$K$2:$K$2501),0)),K1101)</f>
        <v>B2B</v>
      </c>
    </row>
    <row r="1102" spans="1:17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 s="3">
        <f t="shared" si="85"/>
        <v>-1528.94</v>
      </c>
      <c r="I1102" s="1">
        <v>45683</v>
      </c>
      <c r="J1102" t="s">
        <v>15</v>
      </c>
      <c r="K1102" t="s">
        <v>23</v>
      </c>
      <c r="L1102" s="2">
        <f t="shared" si="86"/>
        <v>1528.94</v>
      </c>
      <c r="M1102" s="4">
        <f t="shared" si="87"/>
        <v>0.67</v>
      </c>
      <c r="N1102" s="1">
        <f t="shared" si="88"/>
        <v>45683</v>
      </c>
      <c r="O1102" s="3">
        <f>(Table13[[#This Row],[Units_Sold]]*Table13[[#This Row],[Unit_Price_Cleaned]]*(1-Table13[[#This Row],[Discount Cleaned]]))</f>
        <v>-504.55019999999996</v>
      </c>
      <c r="P1102" t="str">
        <f t="shared" si="89"/>
        <v>Loss</v>
      </c>
      <c r="Q1102" t="str" cm="1">
        <f t="array" ref="Q1102">IF(K1102="",INDEX($K$2:$K$2501,MATCH(MAX(COUNTIF($K$2:$K$2501,$K$2:$K$2501)),COUNTIF($K$2:$K$2501,$K$2:$K$2501),0)),K1102)</f>
        <v>B2B</v>
      </c>
    </row>
    <row r="1103" spans="1:17" x14ac:dyDescent="0.3">
      <c r="A1103">
        <v>2101</v>
      </c>
      <c r="B1103" t="s">
        <v>1145</v>
      </c>
      <c r="C1103" t="s">
        <v>13</v>
      </c>
      <c r="D1103" t="s">
        <v>36</v>
      </c>
      <c r="E1103">
        <v>2</v>
      </c>
      <c r="F1103">
        <v>1020.85</v>
      </c>
      <c r="H1103" s="3">
        <f t="shared" si="85"/>
        <v>2041.7</v>
      </c>
      <c r="I1103" s="1">
        <v>45465</v>
      </c>
      <c r="J1103" t="s">
        <v>18</v>
      </c>
      <c r="K1103" t="s">
        <v>23</v>
      </c>
      <c r="L1103" s="2">
        <f t="shared" si="86"/>
        <v>1020.85</v>
      </c>
      <c r="M1103" s="4">
        <f t="shared" si="87"/>
        <v>0.6</v>
      </c>
      <c r="N1103" s="1">
        <f t="shared" si="88"/>
        <v>45465</v>
      </c>
      <c r="O1103" s="3">
        <f>(Table13[[#This Row],[Units_Sold]]*Table13[[#This Row],[Unit_Price_Cleaned]]*(1-Table13[[#This Row],[Discount Cleaned]]))</f>
        <v>816.68000000000006</v>
      </c>
      <c r="P1103" t="str">
        <f t="shared" si="89"/>
        <v>Profit</v>
      </c>
      <c r="Q1103" t="str" cm="1">
        <f t="array" ref="Q1103">IF(K1103="",INDEX($K$2:$K$2501,MATCH(MAX(COUNTIF($K$2:$K$2501,$K$2:$K$2501)),COUNTIF($K$2:$K$2501,$K$2:$K$2501),0)),K1103)</f>
        <v>B2B</v>
      </c>
    </row>
    <row r="1104" spans="1:17" x14ac:dyDescent="0.3">
      <c r="A1104">
        <v>2102</v>
      </c>
      <c r="B1104" t="s">
        <v>1146</v>
      </c>
      <c r="C1104" t="s">
        <v>38</v>
      </c>
      <c r="D1104" t="s">
        <v>59</v>
      </c>
      <c r="E1104">
        <v>2</v>
      </c>
      <c r="F1104">
        <v>2581.29</v>
      </c>
      <c r="H1104" s="3">
        <f t="shared" si="85"/>
        <v>5162.58</v>
      </c>
      <c r="I1104" s="1">
        <v>45617</v>
      </c>
      <c r="J1104" t="s">
        <v>56</v>
      </c>
      <c r="K1104" t="s">
        <v>23</v>
      </c>
      <c r="L1104" s="2">
        <f t="shared" si="86"/>
        <v>2581.29</v>
      </c>
      <c r="M1104" s="4">
        <f t="shared" si="87"/>
        <v>0.6</v>
      </c>
      <c r="N1104" s="1">
        <f t="shared" si="88"/>
        <v>45617</v>
      </c>
      <c r="O1104" s="3">
        <f>(Table13[[#This Row],[Units_Sold]]*Table13[[#This Row],[Unit_Price_Cleaned]]*(1-Table13[[#This Row],[Discount Cleaned]]))</f>
        <v>2065.0320000000002</v>
      </c>
      <c r="P1104" t="str">
        <f t="shared" si="89"/>
        <v>Profit</v>
      </c>
      <c r="Q1104" t="str" cm="1">
        <f t="array" ref="Q1104">IF(K1104="",INDEX($K$2:$K$2501,MATCH(MAX(COUNTIF($K$2:$K$2501,$K$2:$K$2501)),COUNTIF($K$2:$K$2501,$K$2:$K$2501),0)),K1104)</f>
        <v>B2B</v>
      </c>
    </row>
    <row r="1105" spans="1:17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 s="3">
        <f t="shared" si="85"/>
        <v>7143.8032758620684</v>
      </c>
      <c r="J1105" t="s">
        <v>18</v>
      </c>
      <c r="L1105" s="2">
        <f t="shared" si="86"/>
        <v>2381.2677586206896</v>
      </c>
      <c r="M1105" s="4">
        <f t="shared" si="87"/>
        <v>0.56000000000000005</v>
      </c>
      <c r="N1105" s="1">
        <f t="shared" si="88"/>
        <v>45782</v>
      </c>
      <c r="O1105" s="3">
        <f>(Table13[[#This Row],[Units_Sold]]*Table13[[#This Row],[Unit_Price_Cleaned]]*(1-Table13[[#This Row],[Discount Cleaned]]))</f>
        <v>3143.2734413793096</v>
      </c>
      <c r="P1105" t="str">
        <f t="shared" si="89"/>
        <v>Profit</v>
      </c>
      <c r="Q1105" t="str" cm="1">
        <f t="array" ref="Q1105">IF(K1105="",INDEX($K$2:$K$2501,MATCH(MAX(COUNTIF($K$2:$K$2501,$K$2:$K$2501)),COUNTIF($K$2:$K$2501,$K$2:$K$2501),0)),K1105)</f>
        <v>B2B</v>
      </c>
    </row>
    <row r="1106" spans="1:17" x14ac:dyDescent="0.3">
      <c r="A1106">
        <v>2104</v>
      </c>
      <c r="B1106" t="s">
        <v>1148</v>
      </c>
      <c r="C1106" t="s">
        <v>33</v>
      </c>
      <c r="D1106" t="s">
        <v>82</v>
      </c>
      <c r="E1106">
        <v>2</v>
      </c>
      <c r="F1106">
        <v>2211.06</v>
      </c>
      <c r="G1106">
        <v>0.26</v>
      </c>
      <c r="H1106" s="3">
        <f t="shared" si="85"/>
        <v>4422.12</v>
      </c>
      <c r="I1106" s="1">
        <v>45837</v>
      </c>
      <c r="J1106" t="s">
        <v>56</v>
      </c>
      <c r="L1106" s="2">
        <f t="shared" si="86"/>
        <v>2211.06</v>
      </c>
      <c r="M1106" s="4">
        <f t="shared" si="87"/>
        <v>0.26</v>
      </c>
      <c r="N1106" s="1">
        <f t="shared" si="88"/>
        <v>45837</v>
      </c>
      <c r="O1106" s="3">
        <f>(Table13[[#This Row],[Units_Sold]]*Table13[[#This Row],[Unit_Price_Cleaned]]*(1-Table13[[#This Row],[Discount Cleaned]]))</f>
        <v>3272.3687999999997</v>
      </c>
      <c r="P1106" t="str">
        <f t="shared" si="89"/>
        <v>Profit</v>
      </c>
      <c r="Q1106" t="str" cm="1">
        <f t="array" ref="Q1106">IF(K1106="",INDEX($K$2:$K$2501,MATCH(MAX(COUNTIF($K$2:$K$2501,$K$2:$K$2501)),COUNTIF($K$2:$K$2501,$K$2:$K$2501),0)),K1106)</f>
        <v>B2B</v>
      </c>
    </row>
    <row r="1107" spans="1:17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 s="3">
        <f t="shared" si="85"/>
        <v>-3643.63</v>
      </c>
      <c r="I1107" s="1">
        <v>45754</v>
      </c>
      <c r="J1107" t="s">
        <v>22</v>
      </c>
      <c r="K1107" t="s">
        <v>16</v>
      </c>
      <c r="L1107" s="2">
        <f t="shared" si="86"/>
        <v>3643.63</v>
      </c>
      <c r="M1107" s="4">
        <f t="shared" si="87"/>
        <v>0.19</v>
      </c>
      <c r="N1107" s="1">
        <f t="shared" si="88"/>
        <v>45754</v>
      </c>
      <c r="O1107" s="3">
        <f>(Table13[[#This Row],[Units_Sold]]*Table13[[#This Row],[Unit_Price_Cleaned]]*(1-Table13[[#This Row],[Discount Cleaned]]))</f>
        <v>-2951.3403000000003</v>
      </c>
      <c r="P1107" t="str">
        <f t="shared" si="89"/>
        <v>Loss</v>
      </c>
      <c r="Q1107" t="str" cm="1">
        <f t="array" ref="Q1107">IF(K1107="",INDEX($K$2:$K$2501,MATCH(MAX(COUNTIF($K$2:$K$2501,$K$2:$K$2501)),COUNTIF($K$2:$K$2501,$K$2:$K$2501),0)),K1107)</f>
        <v>B2C</v>
      </c>
    </row>
    <row r="1108" spans="1:17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 s="3">
        <f t="shared" si="85"/>
        <v>17248.84</v>
      </c>
      <c r="I1108" s="1">
        <v>45404</v>
      </c>
      <c r="J1108" t="s">
        <v>15</v>
      </c>
      <c r="K1108" t="s">
        <v>16</v>
      </c>
      <c r="L1108" s="2">
        <f t="shared" si="86"/>
        <v>4312.21</v>
      </c>
      <c r="M1108" s="4">
        <f t="shared" si="87"/>
        <v>0.6</v>
      </c>
      <c r="N1108" s="1">
        <f t="shared" si="88"/>
        <v>45404</v>
      </c>
      <c r="O1108" s="3">
        <f>(Table13[[#This Row],[Units_Sold]]*Table13[[#This Row],[Unit_Price_Cleaned]]*(1-Table13[[#This Row],[Discount Cleaned]]))</f>
        <v>6899.5360000000001</v>
      </c>
      <c r="P1108" t="str">
        <f t="shared" si="89"/>
        <v>Profit</v>
      </c>
      <c r="Q1108" t="str" cm="1">
        <f t="array" ref="Q1108">IF(K1108="",INDEX($K$2:$K$2501,MATCH(MAX(COUNTIF($K$2:$K$2501,$K$2:$K$2501)),COUNTIF($K$2:$K$2501,$K$2:$K$2501),0)),K1108)</f>
        <v>B2C</v>
      </c>
    </row>
    <row r="1109" spans="1:17" x14ac:dyDescent="0.3">
      <c r="A1109">
        <v>2107</v>
      </c>
      <c r="B1109" t="s">
        <v>1151</v>
      </c>
      <c r="C1109" t="s">
        <v>38</v>
      </c>
      <c r="D1109" t="s">
        <v>63</v>
      </c>
      <c r="E1109">
        <v>2</v>
      </c>
      <c r="F1109">
        <v>2686.05</v>
      </c>
      <c r="H1109" s="3">
        <f t="shared" si="85"/>
        <v>5372.1</v>
      </c>
      <c r="I1109" s="1">
        <v>45661</v>
      </c>
      <c r="J1109" t="s">
        <v>56</v>
      </c>
      <c r="K1109" t="s">
        <v>16</v>
      </c>
      <c r="L1109" s="2">
        <f t="shared" si="86"/>
        <v>2686.05</v>
      </c>
      <c r="M1109" s="4">
        <f t="shared" si="87"/>
        <v>0.6</v>
      </c>
      <c r="N1109" s="1">
        <f t="shared" si="88"/>
        <v>45661</v>
      </c>
      <c r="O1109" s="3">
        <f>(Table13[[#This Row],[Units_Sold]]*Table13[[#This Row],[Unit_Price_Cleaned]]*(1-Table13[[#This Row],[Discount Cleaned]]))</f>
        <v>2148.84</v>
      </c>
      <c r="P1109" t="str">
        <f t="shared" si="89"/>
        <v>Profit</v>
      </c>
      <c r="Q1109" t="str" cm="1">
        <f t="array" ref="Q1109">IF(K1109="",INDEX($K$2:$K$2501,MATCH(MAX(COUNTIF($K$2:$K$2501,$K$2:$K$2501)),COUNTIF($K$2:$K$2501,$K$2:$K$2501),0)),K1109)</f>
        <v>B2C</v>
      </c>
    </row>
    <row r="1110" spans="1:17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 s="3">
        <f t="shared" si="85"/>
        <v>0</v>
      </c>
      <c r="I1110" s="1">
        <v>45795</v>
      </c>
      <c r="J1110" t="s">
        <v>22</v>
      </c>
      <c r="K1110" t="s">
        <v>23</v>
      </c>
      <c r="L1110" s="2">
        <f t="shared" si="86"/>
        <v>2538.3000000000002</v>
      </c>
      <c r="M1110" s="4">
        <f t="shared" si="87"/>
        <v>0.6</v>
      </c>
      <c r="N1110" s="1">
        <f t="shared" si="88"/>
        <v>45795</v>
      </c>
      <c r="O1110" s="3">
        <f>(Table13[[#This Row],[Units_Sold]]*Table13[[#This Row],[Unit_Price_Cleaned]]*(1-Table13[[#This Row],[Discount Cleaned]]))</f>
        <v>0</v>
      </c>
      <c r="P1110" t="str">
        <f t="shared" si="89"/>
        <v>Loss</v>
      </c>
      <c r="Q1110" t="str" cm="1">
        <f t="array" ref="Q1110">IF(K1110="",INDEX($K$2:$K$2501,MATCH(MAX(COUNTIF($K$2:$K$2501,$K$2:$K$2501)),COUNTIF($K$2:$K$2501,$K$2:$K$2501),0)),K1110)</f>
        <v>B2B</v>
      </c>
    </row>
    <row r="1111" spans="1:17" x14ac:dyDescent="0.3">
      <c r="A1111">
        <v>2109</v>
      </c>
      <c r="B1111" t="s">
        <v>1153</v>
      </c>
      <c r="C1111" t="s">
        <v>13</v>
      </c>
      <c r="D1111" t="s">
        <v>36</v>
      </c>
      <c r="E1111">
        <v>2</v>
      </c>
      <c r="F1111">
        <v>1901.86</v>
      </c>
      <c r="H1111" s="3">
        <f t="shared" si="85"/>
        <v>3803.72</v>
      </c>
      <c r="J1111" t="s">
        <v>46</v>
      </c>
      <c r="K1111" t="s">
        <v>16</v>
      </c>
      <c r="L1111" s="2">
        <f t="shared" si="86"/>
        <v>1901.86</v>
      </c>
      <c r="M1111" s="4">
        <f t="shared" si="87"/>
        <v>0.6</v>
      </c>
      <c r="N1111" s="1">
        <f t="shared" si="88"/>
        <v>45782</v>
      </c>
      <c r="O1111" s="3">
        <f>(Table13[[#This Row],[Units_Sold]]*Table13[[#This Row],[Unit_Price_Cleaned]]*(1-Table13[[#This Row],[Discount Cleaned]]))</f>
        <v>1521.4880000000001</v>
      </c>
      <c r="P1111" t="str">
        <f t="shared" si="89"/>
        <v>Profit</v>
      </c>
      <c r="Q1111" t="str" cm="1">
        <f t="array" ref="Q1111">IF(K1111="",INDEX($K$2:$K$2501,MATCH(MAX(COUNTIF($K$2:$K$2501,$K$2:$K$2501)),COUNTIF($K$2:$K$2501,$K$2:$K$2501),0)),K1111)</f>
        <v>B2C</v>
      </c>
    </row>
    <row r="1112" spans="1:17" x14ac:dyDescent="0.3">
      <c r="A1112">
        <v>2110</v>
      </c>
      <c r="B1112" t="s">
        <v>1154</v>
      </c>
      <c r="C1112" t="s">
        <v>33</v>
      </c>
      <c r="D1112" t="s">
        <v>72</v>
      </c>
      <c r="E1112">
        <v>2</v>
      </c>
      <c r="G1112">
        <v>1.21</v>
      </c>
      <c r="H1112" s="3">
        <f t="shared" si="85"/>
        <v>5431.091698113205</v>
      </c>
      <c r="J1112" t="s">
        <v>22</v>
      </c>
      <c r="L1112" s="2">
        <f t="shared" si="86"/>
        <v>2715.5458490566025</v>
      </c>
      <c r="M1112" s="4">
        <f t="shared" si="87"/>
        <v>1.21</v>
      </c>
      <c r="N1112" s="1">
        <f t="shared" si="88"/>
        <v>45782</v>
      </c>
      <c r="O1112" s="3">
        <f>(Table13[[#This Row],[Units_Sold]]*Table13[[#This Row],[Unit_Price_Cleaned]]*(1-Table13[[#This Row],[Discount Cleaned]]))</f>
        <v>-1140.5292566037729</v>
      </c>
      <c r="P1112" t="str">
        <f t="shared" si="89"/>
        <v>Loss</v>
      </c>
      <c r="Q1112" t="str" cm="1">
        <f t="array" ref="Q1112">IF(K1112="",INDEX($K$2:$K$2501,MATCH(MAX(COUNTIF($K$2:$K$2501,$K$2:$K$2501)),COUNTIF($K$2:$K$2501,$K$2:$K$2501),0)),K1112)</f>
        <v>B2B</v>
      </c>
    </row>
    <row r="1113" spans="1:17" x14ac:dyDescent="0.3">
      <c r="A1113">
        <v>2111</v>
      </c>
      <c r="B1113" t="s">
        <v>1155</v>
      </c>
      <c r="C1113" t="s">
        <v>25</v>
      </c>
      <c r="D1113" t="s">
        <v>86</v>
      </c>
      <c r="E1113">
        <v>2</v>
      </c>
      <c r="F1113">
        <v>1934.02</v>
      </c>
      <c r="H1113" s="3">
        <f t="shared" si="85"/>
        <v>3868.04</v>
      </c>
      <c r="I1113" s="1">
        <v>45854</v>
      </c>
      <c r="J1113" t="s">
        <v>15</v>
      </c>
      <c r="K1113" t="s">
        <v>23</v>
      </c>
      <c r="L1113" s="2">
        <f t="shared" si="86"/>
        <v>1934.02</v>
      </c>
      <c r="M1113" s="4">
        <f t="shared" si="87"/>
        <v>0.6</v>
      </c>
      <c r="N1113" s="1">
        <f t="shared" si="88"/>
        <v>45854</v>
      </c>
      <c r="O1113" s="3">
        <f>(Table13[[#This Row],[Units_Sold]]*Table13[[#This Row],[Unit_Price_Cleaned]]*(1-Table13[[#This Row],[Discount Cleaned]]))</f>
        <v>1547.2160000000001</v>
      </c>
      <c r="P1113" t="str">
        <f t="shared" si="89"/>
        <v>Profit</v>
      </c>
      <c r="Q1113" t="str" cm="1">
        <f t="array" ref="Q1113">IF(K1113="",INDEX($K$2:$K$2501,MATCH(MAX(COUNTIF($K$2:$K$2501,$K$2:$K$2501)),COUNTIF($K$2:$K$2501,$K$2:$K$2501),0)),K1113)</f>
        <v>B2B</v>
      </c>
    </row>
    <row r="1114" spans="1:17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 s="3">
        <f t="shared" si="85"/>
        <v>0</v>
      </c>
      <c r="J1114" t="s">
        <v>46</v>
      </c>
      <c r="K1114" t="s">
        <v>23</v>
      </c>
      <c r="L1114" s="2">
        <f t="shared" si="86"/>
        <v>3248.14</v>
      </c>
      <c r="M1114" s="4">
        <f t="shared" si="87"/>
        <v>0.18</v>
      </c>
      <c r="N1114" s="1">
        <f t="shared" si="88"/>
        <v>45782</v>
      </c>
      <c r="O1114" s="3">
        <f>(Table13[[#This Row],[Units_Sold]]*Table13[[#This Row],[Unit_Price_Cleaned]]*(1-Table13[[#This Row],[Discount Cleaned]]))</f>
        <v>0</v>
      </c>
      <c r="P1114" t="str">
        <f t="shared" si="89"/>
        <v>Loss</v>
      </c>
      <c r="Q1114" t="str" cm="1">
        <f t="array" ref="Q1114">IF(K1114="",INDEX($K$2:$K$2501,MATCH(MAX(COUNTIF($K$2:$K$2501,$K$2:$K$2501)),COUNTIF($K$2:$K$2501,$K$2:$K$2501),0)),K1114)</f>
        <v>B2B</v>
      </c>
    </row>
    <row r="1115" spans="1:17" x14ac:dyDescent="0.3">
      <c r="A1115">
        <v>2113</v>
      </c>
      <c r="B1115" t="s">
        <v>1157</v>
      </c>
      <c r="C1115" t="s">
        <v>38</v>
      </c>
      <c r="D1115" t="s">
        <v>39</v>
      </c>
      <c r="E1115">
        <v>2</v>
      </c>
      <c r="H1115" s="3">
        <f t="shared" si="85"/>
        <v>6016.7688888888888</v>
      </c>
      <c r="J1115" t="s">
        <v>15</v>
      </c>
      <c r="K1115" t="s">
        <v>23</v>
      </c>
      <c r="L1115" s="2">
        <f t="shared" si="86"/>
        <v>3008.3844444444444</v>
      </c>
      <c r="M1115" s="4">
        <f t="shared" si="87"/>
        <v>0.6</v>
      </c>
      <c r="N1115" s="1">
        <f t="shared" si="88"/>
        <v>45782</v>
      </c>
      <c r="O1115" s="3">
        <f>(Table13[[#This Row],[Units_Sold]]*Table13[[#This Row],[Unit_Price_Cleaned]]*(1-Table13[[#This Row],[Discount Cleaned]]))</f>
        <v>2406.7075555555557</v>
      </c>
      <c r="P1115" t="str">
        <f t="shared" si="89"/>
        <v>Profit</v>
      </c>
      <c r="Q1115" t="str" cm="1">
        <f t="array" ref="Q1115">IF(K1115="",INDEX($K$2:$K$2501,MATCH(MAX(COUNTIF($K$2:$K$2501,$K$2:$K$2501)),COUNTIF($K$2:$K$2501,$K$2:$K$2501),0)),K1115)</f>
        <v>B2B</v>
      </c>
    </row>
    <row r="1116" spans="1:17" x14ac:dyDescent="0.3">
      <c r="A1116">
        <v>2114</v>
      </c>
      <c r="B1116" t="s">
        <v>1158</v>
      </c>
      <c r="C1116" t="s">
        <v>38</v>
      </c>
      <c r="D1116" t="s">
        <v>59</v>
      </c>
      <c r="E1116">
        <v>2</v>
      </c>
      <c r="H1116" s="3">
        <f t="shared" si="85"/>
        <v>5608.5303846153838</v>
      </c>
      <c r="I1116" s="1">
        <v>45719</v>
      </c>
      <c r="J1116" t="s">
        <v>22</v>
      </c>
      <c r="L1116" s="2">
        <f t="shared" si="86"/>
        <v>2804.2651923076919</v>
      </c>
      <c r="M1116" s="4">
        <f t="shared" si="87"/>
        <v>0.6</v>
      </c>
      <c r="N1116" s="1">
        <f t="shared" si="88"/>
        <v>45719</v>
      </c>
      <c r="O1116" s="3">
        <f>(Table13[[#This Row],[Units_Sold]]*Table13[[#This Row],[Unit_Price_Cleaned]]*(1-Table13[[#This Row],[Discount Cleaned]]))</f>
        <v>2243.4121538461536</v>
      </c>
      <c r="P1116" t="str">
        <f t="shared" si="89"/>
        <v>Profit</v>
      </c>
      <c r="Q1116" t="str" cm="1">
        <f t="array" ref="Q1116">IF(K1116="",INDEX($K$2:$K$2501,MATCH(MAX(COUNTIF($K$2:$K$2501,$K$2:$K$2501)),COUNTIF($K$2:$K$2501,$K$2:$K$2501),0)),K1116)</f>
        <v>B2B</v>
      </c>
    </row>
    <row r="1117" spans="1:17" x14ac:dyDescent="0.3">
      <c r="A1117">
        <v>2115</v>
      </c>
      <c r="B1117" t="s">
        <v>1159</v>
      </c>
      <c r="C1117" t="s">
        <v>13</v>
      </c>
      <c r="D1117" t="s">
        <v>49</v>
      </c>
      <c r="E1117">
        <v>2</v>
      </c>
      <c r="H1117" s="3">
        <f t="shared" si="85"/>
        <v>5570.1755932203387</v>
      </c>
      <c r="I1117" s="1">
        <v>45710</v>
      </c>
      <c r="J1117" t="s">
        <v>18</v>
      </c>
      <c r="K1117" t="s">
        <v>16</v>
      </c>
      <c r="L1117" s="2">
        <f t="shared" si="86"/>
        <v>2785.0877966101693</v>
      </c>
      <c r="M1117" s="4">
        <f t="shared" si="87"/>
        <v>0.6</v>
      </c>
      <c r="N1117" s="1">
        <f t="shared" si="88"/>
        <v>45710</v>
      </c>
      <c r="O1117" s="3">
        <f>(Table13[[#This Row],[Units_Sold]]*Table13[[#This Row],[Unit_Price_Cleaned]]*(1-Table13[[#This Row],[Discount Cleaned]]))</f>
        <v>2228.0702372881356</v>
      </c>
      <c r="P1117" t="str">
        <f t="shared" si="89"/>
        <v>Profit</v>
      </c>
      <c r="Q1117" t="str" cm="1">
        <f t="array" ref="Q1117">IF(K1117="",INDEX($K$2:$K$2501,MATCH(MAX(COUNTIF($K$2:$K$2501,$K$2:$K$2501)),COUNTIF($K$2:$K$2501,$K$2:$K$2501),0)),K1117)</f>
        <v>B2C</v>
      </c>
    </row>
    <row r="1118" spans="1:17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 s="3">
        <f t="shared" si="85"/>
        <v>4925.58</v>
      </c>
      <c r="I1118" s="1">
        <v>45550</v>
      </c>
      <c r="J1118" t="s">
        <v>18</v>
      </c>
      <c r="K1118" t="s">
        <v>23</v>
      </c>
      <c r="L1118" s="2">
        <f t="shared" si="86"/>
        <v>2462.79</v>
      </c>
      <c r="M1118" s="4">
        <f t="shared" si="87"/>
        <v>0.6</v>
      </c>
      <c r="N1118" s="1">
        <f t="shared" si="88"/>
        <v>45550</v>
      </c>
      <c r="O1118" s="3">
        <f>(Table13[[#This Row],[Units_Sold]]*Table13[[#This Row],[Unit_Price_Cleaned]]*(1-Table13[[#This Row],[Discount Cleaned]]))</f>
        <v>1970.232</v>
      </c>
      <c r="P1118" t="str">
        <f t="shared" si="89"/>
        <v>Profit</v>
      </c>
      <c r="Q1118" t="str" cm="1">
        <f t="array" ref="Q1118">IF(K1118="",INDEX($K$2:$K$2501,MATCH(MAX(COUNTIF($K$2:$K$2501,$K$2:$K$2501)),COUNTIF($K$2:$K$2501,$K$2:$K$2501),0)),K1118)</f>
        <v>B2B</v>
      </c>
    </row>
    <row r="1119" spans="1:17" x14ac:dyDescent="0.3">
      <c r="A1119">
        <v>2117</v>
      </c>
      <c r="B1119" t="s">
        <v>1161</v>
      </c>
      <c r="C1119" t="s">
        <v>38</v>
      </c>
      <c r="D1119" t="s">
        <v>59</v>
      </c>
      <c r="E1119">
        <v>2</v>
      </c>
      <c r="F1119">
        <v>4767.37</v>
      </c>
      <c r="H1119" s="3">
        <f t="shared" si="85"/>
        <v>9534.74</v>
      </c>
      <c r="I1119" s="1">
        <v>45553</v>
      </c>
      <c r="J1119" t="s">
        <v>15</v>
      </c>
      <c r="K1119" t="s">
        <v>23</v>
      </c>
      <c r="L1119" s="2">
        <f t="shared" si="86"/>
        <v>4767.37</v>
      </c>
      <c r="M1119" s="4">
        <f t="shared" si="87"/>
        <v>0.6</v>
      </c>
      <c r="N1119" s="1">
        <f t="shared" si="88"/>
        <v>45553</v>
      </c>
      <c r="O1119" s="3">
        <f>(Table13[[#This Row],[Units_Sold]]*Table13[[#This Row],[Unit_Price_Cleaned]]*(1-Table13[[#This Row],[Discount Cleaned]]))</f>
        <v>3813.8960000000002</v>
      </c>
      <c r="P1119" t="str">
        <f t="shared" si="89"/>
        <v>Profit</v>
      </c>
      <c r="Q1119" t="str" cm="1">
        <f t="array" ref="Q1119">IF(K1119="",INDEX($K$2:$K$2501,MATCH(MAX(COUNTIF($K$2:$K$2501,$K$2:$K$2501)),COUNTIF($K$2:$K$2501,$K$2:$K$2501),0)),K1119)</f>
        <v>B2B</v>
      </c>
    </row>
    <row r="1120" spans="1:17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 s="3">
        <f t="shared" si="85"/>
        <v>11857.380000000001</v>
      </c>
      <c r="I1120" s="1">
        <v>45767</v>
      </c>
      <c r="J1120" t="s">
        <v>40</v>
      </c>
      <c r="K1120" t="s">
        <v>16</v>
      </c>
      <c r="L1120" s="2">
        <f t="shared" si="86"/>
        <v>3952.46</v>
      </c>
      <c r="M1120" s="4">
        <f t="shared" si="87"/>
        <v>0.82</v>
      </c>
      <c r="N1120" s="1">
        <f t="shared" si="88"/>
        <v>45767</v>
      </c>
      <c r="O1120" s="3">
        <f>(Table13[[#This Row],[Units_Sold]]*Table13[[#This Row],[Unit_Price_Cleaned]]*(1-Table13[[#This Row],[Discount Cleaned]]))</f>
        <v>2134.3284000000008</v>
      </c>
      <c r="P1120" t="str">
        <f t="shared" si="89"/>
        <v>Profit</v>
      </c>
      <c r="Q1120" t="str" cm="1">
        <f t="array" ref="Q1120">IF(K1120="",INDEX($K$2:$K$2501,MATCH(MAX(COUNTIF($K$2:$K$2501,$K$2:$K$2501)),COUNTIF($K$2:$K$2501,$K$2:$K$2501),0)),K1120)</f>
        <v>B2C</v>
      </c>
    </row>
    <row r="1121" spans="1:17" x14ac:dyDescent="0.3">
      <c r="A1121">
        <v>2119</v>
      </c>
      <c r="B1121" t="s">
        <v>1162</v>
      </c>
      <c r="C1121" t="s">
        <v>25</v>
      </c>
      <c r="D1121" t="s">
        <v>26</v>
      </c>
      <c r="E1121">
        <v>2</v>
      </c>
      <c r="F1121">
        <v>537.77</v>
      </c>
      <c r="G1121">
        <v>0.05</v>
      </c>
      <c r="H1121" s="3">
        <f t="shared" si="85"/>
        <v>1075.54</v>
      </c>
      <c r="I1121" s="1">
        <v>45612</v>
      </c>
      <c r="J1121" t="s">
        <v>40</v>
      </c>
      <c r="K1121" t="s">
        <v>16</v>
      </c>
      <c r="L1121" s="2">
        <f t="shared" si="86"/>
        <v>537.77</v>
      </c>
      <c r="M1121" s="4">
        <f t="shared" si="87"/>
        <v>0.05</v>
      </c>
      <c r="N1121" s="1">
        <f t="shared" si="88"/>
        <v>45612</v>
      </c>
      <c r="O1121" s="3">
        <f>(Table13[[#This Row],[Units_Sold]]*Table13[[#This Row],[Unit_Price_Cleaned]]*(1-Table13[[#This Row],[Discount Cleaned]]))</f>
        <v>1021.7629999999999</v>
      </c>
      <c r="P1121" t="str">
        <f t="shared" si="89"/>
        <v>Profit</v>
      </c>
      <c r="Q1121" t="str" cm="1">
        <f t="array" ref="Q1121">IF(K1121="",INDEX($K$2:$K$2501,MATCH(MAX(COUNTIF($K$2:$K$2501,$K$2:$K$2501)),COUNTIF($K$2:$K$2501,$K$2:$K$2501),0)),K1121)</f>
        <v>B2C</v>
      </c>
    </row>
    <row r="1122" spans="1:17" x14ac:dyDescent="0.3">
      <c r="A1122">
        <v>2120</v>
      </c>
      <c r="B1122" t="s">
        <v>1163</v>
      </c>
      <c r="C1122" t="s">
        <v>29</v>
      </c>
      <c r="D1122" t="s">
        <v>120</v>
      </c>
      <c r="E1122">
        <v>2</v>
      </c>
      <c r="F1122">
        <v>3321.05</v>
      </c>
      <c r="G1122">
        <v>1.05</v>
      </c>
      <c r="H1122" s="3">
        <f t="shared" si="85"/>
        <v>6642.1</v>
      </c>
      <c r="I1122" s="1">
        <v>45419</v>
      </c>
      <c r="J1122" t="s">
        <v>56</v>
      </c>
      <c r="L1122" s="2">
        <f t="shared" si="86"/>
        <v>3321.05</v>
      </c>
      <c r="M1122" s="4">
        <f t="shared" si="87"/>
        <v>1.05</v>
      </c>
      <c r="N1122" s="1">
        <f t="shared" si="88"/>
        <v>45419</v>
      </c>
      <c r="O1122" s="3">
        <f>(Table13[[#This Row],[Units_Sold]]*Table13[[#This Row],[Unit_Price_Cleaned]]*(1-Table13[[#This Row],[Discount Cleaned]]))</f>
        <v>-332.1050000000003</v>
      </c>
      <c r="P1122" t="str">
        <f t="shared" si="89"/>
        <v>Loss</v>
      </c>
      <c r="Q1122" t="str" cm="1">
        <f t="array" ref="Q1122">IF(K1122="",INDEX($K$2:$K$2501,MATCH(MAX(COUNTIF($K$2:$K$2501,$K$2:$K$2501)),COUNTIF($K$2:$K$2501,$K$2:$K$2501),0)),K1122)</f>
        <v>B2B</v>
      </c>
    </row>
    <row r="1123" spans="1:17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 s="3">
        <f t="shared" si="85"/>
        <v>2419.6</v>
      </c>
      <c r="I1123" s="1">
        <v>45363</v>
      </c>
      <c r="J1123" t="s">
        <v>40</v>
      </c>
      <c r="L1123" s="2">
        <f t="shared" si="86"/>
        <v>1209.8</v>
      </c>
      <c r="M1123" s="4">
        <f t="shared" si="87"/>
        <v>0.6</v>
      </c>
      <c r="N1123" s="1">
        <f t="shared" si="88"/>
        <v>45363</v>
      </c>
      <c r="O1123" s="3">
        <f>(Table13[[#This Row],[Units_Sold]]*Table13[[#This Row],[Unit_Price_Cleaned]]*(1-Table13[[#This Row],[Discount Cleaned]]))</f>
        <v>967.84</v>
      </c>
      <c r="P1123" t="str">
        <f t="shared" si="89"/>
        <v>Profit</v>
      </c>
      <c r="Q1123" t="str" cm="1">
        <f t="array" ref="Q1123">IF(K1123="",INDEX($K$2:$K$2501,MATCH(MAX(COUNTIF($K$2:$K$2501,$K$2:$K$2501)),COUNTIF($K$2:$K$2501,$K$2:$K$2501),0)),K1123)</f>
        <v>B2B</v>
      </c>
    </row>
    <row r="1124" spans="1:17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 s="3">
        <f t="shared" si="85"/>
        <v>0</v>
      </c>
      <c r="J1124" t="s">
        <v>15</v>
      </c>
      <c r="K1124" t="s">
        <v>16</v>
      </c>
      <c r="L1124" s="2">
        <f t="shared" si="86"/>
        <v>2785.0877966101693</v>
      </c>
      <c r="M1124" s="4">
        <f t="shared" si="87"/>
        <v>0.17</v>
      </c>
      <c r="N1124" s="1">
        <f t="shared" si="88"/>
        <v>45782</v>
      </c>
      <c r="O1124" s="3">
        <f>(Table13[[#This Row],[Units_Sold]]*Table13[[#This Row],[Unit_Price_Cleaned]]*(1-Table13[[#This Row],[Discount Cleaned]]))</f>
        <v>0</v>
      </c>
      <c r="P1124" t="str">
        <f t="shared" si="89"/>
        <v>Loss</v>
      </c>
      <c r="Q1124" t="str" cm="1">
        <f t="array" ref="Q1124">IF(K1124="",INDEX($K$2:$K$2501,MATCH(MAX(COUNTIF($K$2:$K$2501,$K$2:$K$2501)),COUNTIF($K$2:$K$2501,$K$2:$K$2501),0)),K1124)</f>
        <v>B2C</v>
      </c>
    </row>
    <row r="1125" spans="1:17" x14ac:dyDescent="0.3">
      <c r="A1125">
        <v>2123</v>
      </c>
      <c r="B1125" t="s">
        <v>1166</v>
      </c>
      <c r="C1125" t="s">
        <v>20</v>
      </c>
      <c r="D1125" t="s">
        <v>80</v>
      </c>
      <c r="E1125">
        <v>2</v>
      </c>
      <c r="G1125">
        <v>1.05</v>
      </c>
      <c r="H1125" s="3">
        <f t="shared" si="85"/>
        <v>4967.1688000000004</v>
      </c>
      <c r="I1125" s="1">
        <v>45708</v>
      </c>
      <c r="J1125" t="s">
        <v>15</v>
      </c>
      <c r="K1125" t="s">
        <v>16</v>
      </c>
      <c r="L1125" s="2">
        <f t="shared" si="86"/>
        <v>2483.5844000000002</v>
      </c>
      <c r="M1125" s="4">
        <f t="shared" si="87"/>
        <v>1.05</v>
      </c>
      <c r="N1125" s="1">
        <f t="shared" si="88"/>
        <v>45708</v>
      </c>
      <c r="O1125" s="3">
        <f>(Table13[[#This Row],[Units_Sold]]*Table13[[#This Row],[Unit_Price_Cleaned]]*(1-Table13[[#This Row],[Discount Cleaned]]))</f>
        <v>-248.35844000000023</v>
      </c>
      <c r="P1125" t="str">
        <f t="shared" si="89"/>
        <v>Loss</v>
      </c>
      <c r="Q1125" t="str" cm="1">
        <f t="array" ref="Q1125">IF(K1125="",INDEX($K$2:$K$2501,MATCH(MAX(COUNTIF($K$2:$K$2501,$K$2:$K$2501)),COUNTIF($K$2:$K$2501,$K$2:$K$2501),0)),K1125)</f>
        <v>B2C</v>
      </c>
    </row>
    <row r="1126" spans="1:17" x14ac:dyDescent="0.3">
      <c r="A1126">
        <v>2124</v>
      </c>
      <c r="B1126" t="s">
        <v>1167</v>
      </c>
      <c r="C1126" t="s">
        <v>33</v>
      </c>
      <c r="D1126" t="s">
        <v>82</v>
      </c>
      <c r="E1126">
        <v>2</v>
      </c>
      <c r="F1126">
        <v>3881.17</v>
      </c>
      <c r="H1126" s="3">
        <f t="shared" si="85"/>
        <v>7762.34</v>
      </c>
      <c r="I1126" s="1">
        <v>45284</v>
      </c>
      <c r="J1126" t="s">
        <v>22</v>
      </c>
      <c r="K1126" t="s">
        <v>23</v>
      </c>
      <c r="L1126" s="2">
        <f t="shared" si="86"/>
        <v>3881.17</v>
      </c>
      <c r="M1126" s="4">
        <f t="shared" si="87"/>
        <v>0.6</v>
      </c>
      <c r="N1126" s="1">
        <f t="shared" si="88"/>
        <v>45284</v>
      </c>
      <c r="O1126" s="3">
        <f>(Table13[[#This Row],[Units_Sold]]*Table13[[#This Row],[Unit_Price_Cleaned]]*(1-Table13[[#This Row],[Discount Cleaned]]))</f>
        <v>3104.9360000000001</v>
      </c>
      <c r="P1126" t="str">
        <f t="shared" si="89"/>
        <v>Profit</v>
      </c>
      <c r="Q1126" t="str" cm="1">
        <f t="array" ref="Q1126">IF(K1126="",INDEX($K$2:$K$2501,MATCH(MAX(COUNTIF($K$2:$K$2501,$K$2:$K$2501)),COUNTIF($K$2:$K$2501,$K$2:$K$2501),0)),K1126)</f>
        <v>B2B</v>
      </c>
    </row>
    <row r="1127" spans="1:17" x14ac:dyDescent="0.3">
      <c r="A1127">
        <v>2125</v>
      </c>
      <c r="B1127" t="s">
        <v>1168</v>
      </c>
      <c r="C1127" t="s">
        <v>13</v>
      </c>
      <c r="D1127" t="s">
        <v>14</v>
      </c>
      <c r="E1127">
        <v>2</v>
      </c>
      <c r="G1127">
        <v>0.93</v>
      </c>
      <c r="H1127" s="3">
        <f t="shared" si="85"/>
        <v>4762.5355172413792</v>
      </c>
      <c r="I1127" s="1">
        <v>45577</v>
      </c>
      <c r="J1127" t="s">
        <v>56</v>
      </c>
      <c r="K1127" t="s">
        <v>23</v>
      </c>
      <c r="L1127" s="2">
        <f t="shared" si="86"/>
        <v>2381.2677586206896</v>
      </c>
      <c r="M1127" s="4">
        <f t="shared" si="87"/>
        <v>0.93</v>
      </c>
      <c r="N1127" s="1">
        <f t="shared" si="88"/>
        <v>45577</v>
      </c>
      <c r="O1127" s="3">
        <f>(Table13[[#This Row],[Units_Sold]]*Table13[[#This Row],[Unit_Price_Cleaned]]*(1-Table13[[#This Row],[Discount Cleaned]]))</f>
        <v>333.37748620689632</v>
      </c>
      <c r="P1127" t="str">
        <f t="shared" si="89"/>
        <v>Loss</v>
      </c>
      <c r="Q1127" t="str" cm="1">
        <f t="array" ref="Q1127">IF(K1127="",INDEX($K$2:$K$2501,MATCH(MAX(COUNTIF($K$2:$K$2501,$K$2:$K$2501)),COUNTIF($K$2:$K$2501,$K$2:$K$2501),0)),K1127)</f>
        <v>B2B</v>
      </c>
    </row>
    <row r="1128" spans="1:17" x14ac:dyDescent="0.3">
      <c r="A1128">
        <v>2126</v>
      </c>
      <c r="B1128" t="s">
        <v>1169</v>
      </c>
      <c r="C1128" t="s">
        <v>29</v>
      </c>
      <c r="D1128" t="s">
        <v>42</v>
      </c>
      <c r="E1128">
        <v>2</v>
      </c>
      <c r="F1128">
        <v>820.88</v>
      </c>
      <c r="G1128">
        <v>0.01</v>
      </c>
      <c r="H1128" s="3">
        <f t="shared" si="85"/>
        <v>1641.76</v>
      </c>
      <c r="J1128" t="s">
        <v>18</v>
      </c>
      <c r="K1128" t="s">
        <v>16</v>
      </c>
      <c r="L1128" s="2">
        <f t="shared" si="86"/>
        <v>820.88</v>
      </c>
      <c r="M1128" s="4">
        <f t="shared" si="87"/>
        <v>0.01</v>
      </c>
      <c r="N1128" s="1">
        <f t="shared" si="88"/>
        <v>45782</v>
      </c>
      <c r="O1128" s="3">
        <f>(Table13[[#This Row],[Units_Sold]]*Table13[[#This Row],[Unit_Price_Cleaned]]*(1-Table13[[#This Row],[Discount Cleaned]]))</f>
        <v>1625.3424</v>
      </c>
      <c r="P1128" t="str">
        <f t="shared" si="89"/>
        <v>Profit</v>
      </c>
      <c r="Q1128" t="str" cm="1">
        <f t="array" ref="Q1128">IF(K1128="",INDEX($K$2:$K$2501,MATCH(MAX(COUNTIF($K$2:$K$2501,$K$2:$K$2501)),COUNTIF($K$2:$K$2501,$K$2:$K$2501),0)),K1128)</f>
        <v>B2C</v>
      </c>
    </row>
    <row r="1129" spans="1:17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 s="3">
        <f t="shared" si="85"/>
        <v>15358.000384615389</v>
      </c>
      <c r="J1129" t="s">
        <v>15</v>
      </c>
      <c r="K1129" t="s">
        <v>23</v>
      </c>
      <c r="L1129" s="2">
        <f t="shared" si="86"/>
        <v>2559.6667307692314</v>
      </c>
      <c r="M1129" s="4">
        <f t="shared" si="87"/>
        <v>0.94</v>
      </c>
      <c r="N1129" s="1">
        <f t="shared" si="88"/>
        <v>45782</v>
      </c>
      <c r="O1129" s="3">
        <f>(Table13[[#This Row],[Units_Sold]]*Table13[[#This Row],[Unit_Price_Cleaned]]*(1-Table13[[#This Row],[Discount Cleaned]]))</f>
        <v>921.48002307692411</v>
      </c>
      <c r="P1129" t="str">
        <f t="shared" si="89"/>
        <v>Profit</v>
      </c>
      <c r="Q1129" t="str" cm="1">
        <f t="array" ref="Q1129">IF(K1129="",INDEX($K$2:$K$2501,MATCH(MAX(COUNTIF($K$2:$K$2501,$K$2:$K$2501)),COUNTIF($K$2:$K$2501,$K$2:$K$2501),0)),K1129)</f>
        <v>B2B</v>
      </c>
    </row>
    <row r="1130" spans="1:17" x14ac:dyDescent="0.3">
      <c r="A1130">
        <v>2128</v>
      </c>
      <c r="B1130" t="s">
        <v>1171</v>
      </c>
      <c r="C1130" t="s">
        <v>29</v>
      </c>
      <c r="D1130" t="s">
        <v>120</v>
      </c>
      <c r="E1130">
        <v>2</v>
      </c>
      <c r="G1130">
        <v>0.08</v>
      </c>
      <c r="H1130" s="3">
        <f t="shared" si="85"/>
        <v>5660.2651428571462</v>
      </c>
      <c r="I1130" s="1">
        <v>45567</v>
      </c>
      <c r="J1130" t="s">
        <v>40</v>
      </c>
      <c r="K1130" t="s">
        <v>16</v>
      </c>
      <c r="L1130" s="2">
        <f t="shared" si="86"/>
        <v>2830.1325714285731</v>
      </c>
      <c r="M1130" s="4">
        <f t="shared" si="87"/>
        <v>0.08</v>
      </c>
      <c r="N1130" s="1">
        <f t="shared" si="88"/>
        <v>45567</v>
      </c>
      <c r="O1130" s="3">
        <f>(Table13[[#This Row],[Units_Sold]]*Table13[[#This Row],[Unit_Price_Cleaned]]*(1-Table13[[#This Row],[Discount Cleaned]]))</f>
        <v>5207.4439314285746</v>
      </c>
      <c r="P1130" t="str">
        <f t="shared" si="89"/>
        <v>Profit</v>
      </c>
      <c r="Q1130" t="str" cm="1">
        <f t="array" ref="Q1130">IF(K1130="",INDEX($K$2:$K$2501,MATCH(MAX(COUNTIF($K$2:$K$2501,$K$2:$K$2501)),COUNTIF($K$2:$K$2501,$K$2:$K$2501),0)),K1130)</f>
        <v>B2C</v>
      </c>
    </row>
    <row r="1131" spans="1:17" x14ac:dyDescent="0.3">
      <c r="A1131">
        <v>1003</v>
      </c>
      <c r="B1131" t="s">
        <v>1172</v>
      </c>
      <c r="C1131" t="s">
        <v>20</v>
      </c>
      <c r="D1131" t="s">
        <v>21</v>
      </c>
      <c r="E1131">
        <v>2</v>
      </c>
      <c r="F1131">
        <v>1685.85</v>
      </c>
      <c r="H1131" s="3">
        <f t="shared" si="85"/>
        <v>3371.7</v>
      </c>
      <c r="J1131" t="s">
        <v>56</v>
      </c>
      <c r="K1131" t="s">
        <v>16</v>
      </c>
      <c r="L1131" s="2">
        <f t="shared" si="86"/>
        <v>1685.85</v>
      </c>
      <c r="M1131" s="4">
        <f t="shared" si="87"/>
        <v>0.6</v>
      </c>
      <c r="N1131" s="1">
        <f t="shared" si="88"/>
        <v>45782</v>
      </c>
      <c r="O1131" s="3">
        <f>(Table13[[#This Row],[Units_Sold]]*Table13[[#This Row],[Unit_Price_Cleaned]]*(1-Table13[[#This Row],[Discount Cleaned]]))</f>
        <v>1348.68</v>
      </c>
      <c r="P1131" t="str">
        <f t="shared" si="89"/>
        <v>Profit</v>
      </c>
      <c r="Q1131" t="str" cm="1">
        <f t="array" ref="Q1131">IF(K1131="",INDEX($K$2:$K$2501,MATCH(MAX(COUNTIF($K$2:$K$2501,$K$2:$K$2501)),COUNTIF($K$2:$K$2501,$K$2:$K$2501),0)),K1131)</f>
        <v>B2C</v>
      </c>
    </row>
    <row r="1132" spans="1:17" x14ac:dyDescent="0.3">
      <c r="A1132">
        <v>2130</v>
      </c>
      <c r="B1132" t="s">
        <v>1173</v>
      </c>
      <c r="C1132" t="s">
        <v>20</v>
      </c>
      <c r="D1132" t="s">
        <v>80</v>
      </c>
      <c r="E1132">
        <v>2</v>
      </c>
      <c r="G1132">
        <v>0.36</v>
      </c>
      <c r="H1132" s="3">
        <f t="shared" si="85"/>
        <v>4967.1688000000004</v>
      </c>
      <c r="I1132" s="1">
        <v>45810</v>
      </c>
      <c r="J1132" t="s">
        <v>46</v>
      </c>
      <c r="K1132" t="s">
        <v>16</v>
      </c>
      <c r="L1132" s="2">
        <f t="shared" si="86"/>
        <v>2483.5844000000002</v>
      </c>
      <c r="M1132" s="4">
        <f t="shared" si="87"/>
        <v>0.36</v>
      </c>
      <c r="N1132" s="1">
        <f t="shared" si="88"/>
        <v>45810</v>
      </c>
      <c r="O1132" s="3">
        <f>(Table13[[#This Row],[Units_Sold]]*Table13[[#This Row],[Unit_Price_Cleaned]]*(1-Table13[[#This Row],[Discount Cleaned]]))</f>
        <v>3178.9880320000002</v>
      </c>
      <c r="P1132" t="str">
        <f t="shared" si="89"/>
        <v>Profit</v>
      </c>
      <c r="Q1132" t="str" cm="1">
        <f t="array" ref="Q1132">IF(K1132="",INDEX($K$2:$K$2501,MATCH(MAX(COUNTIF($K$2:$K$2501,$K$2:$K$2501)),COUNTIF($K$2:$K$2501,$K$2:$K$2501),0)),K1132)</f>
        <v>B2C</v>
      </c>
    </row>
    <row r="1133" spans="1:17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 s="3">
        <f t="shared" si="85"/>
        <v>2572.7764000000006</v>
      </c>
      <c r="I1133" s="1">
        <v>45819</v>
      </c>
      <c r="J1133" t="s">
        <v>46</v>
      </c>
      <c r="L1133" s="2">
        <f t="shared" si="86"/>
        <v>2572.7764000000006</v>
      </c>
      <c r="M1133" s="4">
        <f t="shared" si="87"/>
        <v>0.6</v>
      </c>
      <c r="N1133" s="1">
        <f t="shared" si="88"/>
        <v>45819</v>
      </c>
      <c r="O1133" s="3">
        <f>(Table13[[#This Row],[Units_Sold]]*Table13[[#This Row],[Unit_Price_Cleaned]]*(1-Table13[[#This Row],[Discount Cleaned]]))</f>
        <v>1029.1105600000003</v>
      </c>
      <c r="P1133" t="str">
        <f t="shared" si="89"/>
        <v>Profit</v>
      </c>
      <c r="Q1133" t="str" cm="1">
        <f t="array" ref="Q1133">IF(K1133="",INDEX($K$2:$K$2501,MATCH(MAX(COUNTIF($K$2:$K$2501,$K$2:$K$2501)),COUNTIF($K$2:$K$2501,$K$2:$K$2501),0)),K1133)</f>
        <v>B2B</v>
      </c>
    </row>
    <row r="1134" spans="1:17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 s="3">
        <f t="shared" si="85"/>
        <v>9525.0710344827585</v>
      </c>
      <c r="I1134" s="1">
        <v>45729</v>
      </c>
      <c r="J1134" t="s">
        <v>22</v>
      </c>
      <c r="K1134" t="s">
        <v>23</v>
      </c>
      <c r="L1134" s="2">
        <f t="shared" si="86"/>
        <v>2381.2677586206896</v>
      </c>
      <c r="M1134" s="4">
        <f t="shared" si="87"/>
        <v>0.6</v>
      </c>
      <c r="N1134" s="1">
        <f t="shared" si="88"/>
        <v>45729</v>
      </c>
      <c r="O1134" s="3">
        <f>(Table13[[#This Row],[Units_Sold]]*Table13[[#This Row],[Unit_Price_Cleaned]]*(1-Table13[[#This Row],[Discount Cleaned]]))</f>
        <v>3810.0284137931035</v>
      </c>
      <c r="P1134" t="str">
        <f t="shared" si="89"/>
        <v>Profit</v>
      </c>
      <c r="Q1134" t="str" cm="1">
        <f t="array" ref="Q1134">IF(K1134="",INDEX($K$2:$K$2501,MATCH(MAX(COUNTIF($K$2:$K$2501,$K$2:$K$2501)),COUNTIF($K$2:$K$2501,$K$2:$K$2501),0)),K1134)</f>
        <v>B2B</v>
      </c>
    </row>
    <row r="1135" spans="1:17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 s="3">
        <f t="shared" si="85"/>
        <v>13577.729245283012</v>
      </c>
      <c r="J1135" t="s">
        <v>46</v>
      </c>
      <c r="K1135" t="s">
        <v>23</v>
      </c>
      <c r="L1135" s="2">
        <f t="shared" si="86"/>
        <v>2715.5458490566025</v>
      </c>
      <c r="M1135" s="4">
        <f t="shared" si="87"/>
        <v>0.6</v>
      </c>
      <c r="N1135" s="1">
        <f t="shared" si="88"/>
        <v>45782</v>
      </c>
      <c r="O1135" s="3">
        <f>(Table13[[#This Row],[Units_Sold]]*Table13[[#This Row],[Unit_Price_Cleaned]]*(1-Table13[[#This Row],[Discount Cleaned]]))</f>
        <v>5431.091698113205</v>
      </c>
      <c r="P1135" t="str">
        <f t="shared" si="89"/>
        <v>Profit</v>
      </c>
      <c r="Q1135" t="str" cm="1">
        <f t="array" ref="Q1135">IF(K1135="",INDEX($K$2:$K$2501,MATCH(MAX(COUNTIF($K$2:$K$2501,$K$2:$K$2501)),COUNTIF($K$2:$K$2501,$K$2:$K$2501),0)),K1135)</f>
        <v>B2B</v>
      </c>
    </row>
    <row r="1136" spans="1:17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 s="3">
        <f t="shared" si="85"/>
        <v>5119.3334615384629</v>
      </c>
      <c r="I1136" s="1">
        <v>45656</v>
      </c>
      <c r="J1136" t="s">
        <v>40</v>
      </c>
      <c r="K1136" t="s">
        <v>16</v>
      </c>
      <c r="L1136" s="2">
        <f t="shared" si="86"/>
        <v>2559.6667307692314</v>
      </c>
      <c r="M1136" s="4">
        <f t="shared" si="87"/>
        <v>0.28999999999999998</v>
      </c>
      <c r="N1136" s="1">
        <f t="shared" si="88"/>
        <v>45656</v>
      </c>
      <c r="O1136" s="3">
        <f>(Table13[[#This Row],[Units_Sold]]*Table13[[#This Row],[Unit_Price_Cleaned]]*(1-Table13[[#This Row],[Discount Cleaned]]))</f>
        <v>3634.7267576923086</v>
      </c>
      <c r="P1136" t="str">
        <f t="shared" si="89"/>
        <v>Profit</v>
      </c>
      <c r="Q1136" t="str" cm="1">
        <f t="array" ref="Q1136">IF(K1136="",INDEX($K$2:$K$2501,MATCH(MAX(COUNTIF($K$2:$K$2501,$K$2:$K$2501)),COUNTIF($K$2:$K$2501,$K$2:$K$2501),0)),K1136)</f>
        <v>B2C</v>
      </c>
    </row>
    <row r="1137" spans="1:17" x14ac:dyDescent="0.3">
      <c r="A1137">
        <v>2135</v>
      </c>
      <c r="B1137" t="s">
        <v>1178</v>
      </c>
      <c r="C1137" t="s">
        <v>38</v>
      </c>
      <c r="D1137" t="s">
        <v>39</v>
      </c>
      <c r="E1137">
        <v>2</v>
      </c>
      <c r="F1137">
        <v>857.22</v>
      </c>
      <c r="H1137" s="3">
        <f t="shared" si="85"/>
        <v>1714.44</v>
      </c>
      <c r="I1137" s="1">
        <v>45158</v>
      </c>
      <c r="J1137" t="s">
        <v>15</v>
      </c>
      <c r="K1137" t="s">
        <v>23</v>
      </c>
      <c r="L1137" s="2">
        <f t="shared" si="86"/>
        <v>857.22</v>
      </c>
      <c r="M1137" s="4">
        <f t="shared" si="87"/>
        <v>0.6</v>
      </c>
      <c r="N1137" s="1">
        <f t="shared" si="88"/>
        <v>45158</v>
      </c>
      <c r="O1137" s="3">
        <f>(Table13[[#This Row],[Units_Sold]]*Table13[[#This Row],[Unit_Price_Cleaned]]*(1-Table13[[#This Row],[Discount Cleaned]]))</f>
        <v>685.77600000000007</v>
      </c>
      <c r="P1137" t="str">
        <f t="shared" si="89"/>
        <v>Profit</v>
      </c>
      <c r="Q1137" t="str" cm="1">
        <f t="array" ref="Q1137">IF(K1137="",INDEX($K$2:$K$2501,MATCH(MAX(COUNTIF($K$2:$K$2501,$K$2:$K$2501)),COUNTIF($K$2:$K$2501,$K$2:$K$2501),0)),K1137)</f>
        <v>B2B</v>
      </c>
    </row>
    <row r="1138" spans="1:17" x14ac:dyDescent="0.3">
      <c r="A1138">
        <v>2136</v>
      </c>
      <c r="B1138" t="s">
        <v>1179</v>
      </c>
      <c r="C1138" t="s">
        <v>33</v>
      </c>
      <c r="D1138" t="s">
        <v>82</v>
      </c>
      <c r="E1138">
        <v>2</v>
      </c>
      <c r="H1138" s="3">
        <f t="shared" si="85"/>
        <v>5552.4404000000004</v>
      </c>
      <c r="I1138" s="1">
        <v>45832</v>
      </c>
      <c r="J1138" t="s">
        <v>56</v>
      </c>
      <c r="L1138" s="2">
        <f t="shared" si="86"/>
        <v>2776.2202000000002</v>
      </c>
      <c r="M1138" s="4">
        <f t="shared" si="87"/>
        <v>0.6</v>
      </c>
      <c r="N1138" s="1">
        <f t="shared" si="88"/>
        <v>45832</v>
      </c>
      <c r="O1138" s="3">
        <f>(Table13[[#This Row],[Units_Sold]]*Table13[[#This Row],[Unit_Price_Cleaned]]*(1-Table13[[#This Row],[Discount Cleaned]]))</f>
        <v>2220.9761600000002</v>
      </c>
      <c r="P1138" t="str">
        <f t="shared" si="89"/>
        <v>Profit</v>
      </c>
      <c r="Q1138" t="str" cm="1">
        <f t="array" ref="Q1138">IF(K1138="",INDEX($K$2:$K$2501,MATCH(MAX(COUNTIF($K$2:$K$2501,$K$2:$K$2501)),COUNTIF($K$2:$K$2501,$K$2:$K$2501),0)),K1138)</f>
        <v>B2B</v>
      </c>
    </row>
    <row r="1139" spans="1:17" x14ac:dyDescent="0.3">
      <c r="A1139">
        <v>2137</v>
      </c>
      <c r="B1139" t="s">
        <v>1180</v>
      </c>
      <c r="C1139" t="s">
        <v>33</v>
      </c>
      <c r="D1139" t="s">
        <v>72</v>
      </c>
      <c r="E1139">
        <v>2</v>
      </c>
      <c r="G1139">
        <v>1.01</v>
      </c>
      <c r="H1139" s="3">
        <f t="shared" si="85"/>
        <v>5431.091698113205</v>
      </c>
      <c r="I1139" s="1">
        <v>45772</v>
      </c>
      <c r="J1139" t="s">
        <v>46</v>
      </c>
      <c r="L1139" s="2">
        <f t="shared" si="86"/>
        <v>2715.5458490566025</v>
      </c>
      <c r="M1139" s="4">
        <f t="shared" si="87"/>
        <v>1.01</v>
      </c>
      <c r="N1139" s="1">
        <f t="shared" si="88"/>
        <v>45772</v>
      </c>
      <c r="O1139" s="3">
        <f>(Table13[[#This Row],[Units_Sold]]*Table13[[#This Row],[Unit_Price_Cleaned]]*(1-Table13[[#This Row],[Discount Cleaned]]))</f>
        <v>-54.310916981132095</v>
      </c>
      <c r="P1139" t="str">
        <f t="shared" si="89"/>
        <v>Loss</v>
      </c>
      <c r="Q1139" t="str" cm="1">
        <f t="array" ref="Q1139">IF(K1139="",INDEX($K$2:$K$2501,MATCH(MAX(COUNTIF($K$2:$K$2501,$K$2:$K$2501)),COUNTIF($K$2:$K$2501,$K$2:$K$2501),0)),K1139)</f>
        <v>B2B</v>
      </c>
    </row>
    <row r="1140" spans="1:17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 s="3">
        <f t="shared" si="85"/>
        <v>-4853.54</v>
      </c>
      <c r="J1140" t="s">
        <v>15</v>
      </c>
      <c r="K1140" t="s">
        <v>23</v>
      </c>
      <c r="L1140" s="2">
        <f t="shared" si="86"/>
        <v>2426.77</v>
      </c>
      <c r="M1140" s="4">
        <f t="shared" si="87"/>
        <v>0.6</v>
      </c>
      <c r="N1140" s="1">
        <f t="shared" si="88"/>
        <v>45782</v>
      </c>
      <c r="O1140" s="3">
        <f>(Table13[[#This Row],[Units_Sold]]*Table13[[#This Row],[Unit_Price_Cleaned]]*(1-Table13[[#This Row],[Discount Cleaned]]))</f>
        <v>-1941.4160000000002</v>
      </c>
      <c r="P1140" t="str">
        <f t="shared" si="89"/>
        <v>Loss</v>
      </c>
      <c r="Q1140" t="str" cm="1">
        <f t="array" ref="Q1140">IF(K1140="",INDEX($K$2:$K$2501,MATCH(MAX(COUNTIF($K$2:$K$2501,$K$2:$K$2501)),COUNTIF($K$2:$K$2501,$K$2:$K$2501),0)),K1140)</f>
        <v>B2B</v>
      </c>
    </row>
    <row r="1141" spans="1:17" x14ac:dyDescent="0.3">
      <c r="A1141">
        <v>1028</v>
      </c>
      <c r="B1141" t="s">
        <v>1182</v>
      </c>
      <c r="C1141" t="s">
        <v>29</v>
      </c>
      <c r="D1141" t="s">
        <v>30</v>
      </c>
      <c r="E1141">
        <v>2</v>
      </c>
      <c r="F1141">
        <v>4142.54</v>
      </c>
      <c r="H1141" s="3">
        <f t="shared" si="85"/>
        <v>8285.08</v>
      </c>
      <c r="I1141" s="1">
        <v>45722</v>
      </c>
      <c r="J1141" t="s">
        <v>18</v>
      </c>
      <c r="K1141" t="s">
        <v>23</v>
      </c>
      <c r="L1141" s="2">
        <f t="shared" si="86"/>
        <v>4142.54</v>
      </c>
      <c r="M1141" s="4">
        <f t="shared" si="87"/>
        <v>0.6</v>
      </c>
      <c r="N1141" s="1">
        <f t="shared" si="88"/>
        <v>45722</v>
      </c>
      <c r="O1141" s="3">
        <f>(Table13[[#This Row],[Units_Sold]]*Table13[[#This Row],[Unit_Price_Cleaned]]*(1-Table13[[#This Row],[Discount Cleaned]]))</f>
        <v>3314.0320000000002</v>
      </c>
      <c r="P1141" t="str">
        <f t="shared" si="89"/>
        <v>Profit</v>
      </c>
      <c r="Q1141" t="str" cm="1">
        <f t="array" ref="Q1141">IF(K1141="",INDEX($K$2:$K$2501,MATCH(MAX(COUNTIF($K$2:$K$2501,$K$2:$K$2501)),COUNTIF($K$2:$K$2501,$K$2:$K$2501),0)),K1141)</f>
        <v>B2B</v>
      </c>
    </row>
    <row r="1142" spans="1:17" x14ac:dyDescent="0.3">
      <c r="A1142">
        <v>2140</v>
      </c>
      <c r="B1142" t="s">
        <v>1183</v>
      </c>
      <c r="C1142" t="s">
        <v>25</v>
      </c>
      <c r="D1142" t="s">
        <v>26</v>
      </c>
      <c r="E1142">
        <v>2</v>
      </c>
      <c r="F1142">
        <v>2191.65</v>
      </c>
      <c r="H1142" s="3">
        <f t="shared" si="85"/>
        <v>4383.3</v>
      </c>
      <c r="I1142" s="1">
        <v>45632</v>
      </c>
      <c r="J1142" t="s">
        <v>22</v>
      </c>
      <c r="L1142" s="2">
        <f t="shared" si="86"/>
        <v>2191.65</v>
      </c>
      <c r="M1142" s="4">
        <f t="shared" si="87"/>
        <v>0.6</v>
      </c>
      <c r="N1142" s="1">
        <f t="shared" si="88"/>
        <v>45632</v>
      </c>
      <c r="O1142" s="3">
        <f>(Table13[[#This Row],[Units_Sold]]*Table13[[#This Row],[Unit_Price_Cleaned]]*(1-Table13[[#This Row],[Discount Cleaned]]))</f>
        <v>1753.3200000000002</v>
      </c>
      <c r="P1142" t="str">
        <f t="shared" si="89"/>
        <v>Profit</v>
      </c>
      <c r="Q1142" t="str" cm="1">
        <f t="array" ref="Q1142">IF(K1142="",INDEX($K$2:$K$2501,MATCH(MAX(COUNTIF($K$2:$K$2501,$K$2:$K$2501)),COUNTIF($K$2:$K$2501,$K$2:$K$2501),0)),K1142)</f>
        <v>B2B</v>
      </c>
    </row>
    <row r="1143" spans="1:17" x14ac:dyDescent="0.3">
      <c r="A1143">
        <v>2141</v>
      </c>
      <c r="B1143" t="s">
        <v>1184</v>
      </c>
      <c r="C1143" t="s">
        <v>20</v>
      </c>
      <c r="D1143" t="s">
        <v>122</v>
      </c>
      <c r="E1143">
        <v>2</v>
      </c>
      <c r="F1143">
        <v>1762.28</v>
      </c>
      <c r="H1143" s="3">
        <f t="shared" si="85"/>
        <v>3524.56</v>
      </c>
      <c r="I1143" s="1">
        <v>45566</v>
      </c>
      <c r="J1143" t="s">
        <v>15</v>
      </c>
      <c r="K1143" t="s">
        <v>23</v>
      </c>
      <c r="L1143" s="2">
        <f t="shared" si="86"/>
        <v>1762.28</v>
      </c>
      <c r="M1143" s="4">
        <f t="shared" si="87"/>
        <v>0.6</v>
      </c>
      <c r="N1143" s="1">
        <f t="shared" si="88"/>
        <v>45566</v>
      </c>
      <c r="O1143" s="3">
        <f>(Table13[[#This Row],[Units_Sold]]*Table13[[#This Row],[Unit_Price_Cleaned]]*(1-Table13[[#This Row],[Discount Cleaned]]))</f>
        <v>1409.8240000000001</v>
      </c>
      <c r="P1143" t="str">
        <f t="shared" si="89"/>
        <v>Profit</v>
      </c>
      <c r="Q1143" t="str" cm="1">
        <f t="array" ref="Q1143">IF(K1143="",INDEX($K$2:$K$2501,MATCH(MAX(COUNTIF($K$2:$K$2501,$K$2:$K$2501)),COUNTIF($K$2:$K$2501,$K$2:$K$2501),0)),K1143)</f>
        <v>B2B</v>
      </c>
    </row>
    <row r="1144" spans="1:17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 s="3">
        <f t="shared" si="85"/>
        <v>0</v>
      </c>
      <c r="I1144" s="1">
        <v>45155</v>
      </c>
      <c r="J1144" t="s">
        <v>40</v>
      </c>
      <c r="L1144" s="2">
        <f t="shared" si="86"/>
        <v>2845.2419672131159</v>
      </c>
      <c r="M1144" s="4">
        <f t="shared" si="87"/>
        <v>0.6</v>
      </c>
      <c r="N1144" s="1">
        <f t="shared" si="88"/>
        <v>45155</v>
      </c>
      <c r="O1144" s="3">
        <f>(Table13[[#This Row],[Units_Sold]]*Table13[[#This Row],[Unit_Price_Cleaned]]*(1-Table13[[#This Row],[Discount Cleaned]]))</f>
        <v>0</v>
      </c>
      <c r="P1144" t="str">
        <f t="shared" si="89"/>
        <v>Loss</v>
      </c>
      <c r="Q1144" t="str" cm="1">
        <f t="array" ref="Q1144">IF(K1144="",INDEX($K$2:$K$2501,MATCH(MAX(COUNTIF($K$2:$K$2501,$K$2:$K$2501)),COUNTIF($K$2:$K$2501,$K$2:$K$2501),0)),K1144)</f>
        <v>B2B</v>
      </c>
    </row>
    <row r="1145" spans="1:17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 s="3">
        <f t="shared" si="85"/>
        <v>1987.56</v>
      </c>
      <c r="I1145" s="1">
        <v>45680</v>
      </c>
      <c r="J1145" t="s">
        <v>40</v>
      </c>
      <c r="K1145" t="s">
        <v>23</v>
      </c>
      <c r="L1145" s="2">
        <f t="shared" si="86"/>
        <v>662.52</v>
      </c>
      <c r="M1145" s="4">
        <f t="shared" si="87"/>
        <v>0.96</v>
      </c>
      <c r="N1145" s="1">
        <f t="shared" si="88"/>
        <v>45680</v>
      </c>
      <c r="O1145" s="3">
        <f>(Table13[[#This Row],[Units_Sold]]*Table13[[#This Row],[Unit_Price_Cleaned]]*(1-Table13[[#This Row],[Discount Cleaned]]))</f>
        <v>79.502400000000065</v>
      </c>
      <c r="P1145" t="str">
        <f t="shared" si="89"/>
        <v>Loss</v>
      </c>
      <c r="Q1145" t="str" cm="1">
        <f t="array" ref="Q1145">IF(K1145="",INDEX($K$2:$K$2501,MATCH(MAX(COUNTIF($K$2:$K$2501,$K$2:$K$2501)),COUNTIF($K$2:$K$2501,$K$2:$K$2501),0)),K1145)</f>
        <v>B2B</v>
      </c>
    </row>
    <row r="1146" spans="1:17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 s="3">
        <f t="shared" si="85"/>
        <v>-906.82</v>
      </c>
      <c r="I1146" s="1">
        <v>45661</v>
      </c>
      <c r="J1146" t="s">
        <v>18</v>
      </c>
      <c r="L1146" s="2">
        <f t="shared" si="86"/>
        <v>906.82</v>
      </c>
      <c r="M1146" s="4">
        <f t="shared" si="87"/>
        <v>0.92</v>
      </c>
      <c r="N1146" s="1">
        <f t="shared" si="88"/>
        <v>45661</v>
      </c>
      <c r="O1146" s="3">
        <f>(Table13[[#This Row],[Units_Sold]]*Table13[[#This Row],[Unit_Price_Cleaned]]*(1-Table13[[#This Row],[Discount Cleaned]]))</f>
        <v>-72.545599999999965</v>
      </c>
      <c r="P1146" t="str">
        <f t="shared" si="89"/>
        <v>Loss</v>
      </c>
      <c r="Q1146" t="str" cm="1">
        <f t="array" ref="Q1146">IF(K1146="",INDEX($K$2:$K$2501,MATCH(MAX(COUNTIF($K$2:$K$2501,$K$2:$K$2501)),COUNTIF($K$2:$K$2501,$K$2:$K$2501),0)),K1146)</f>
        <v>B2B</v>
      </c>
    </row>
    <row r="1147" spans="1:17" x14ac:dyDescent="0.3">
      <c r="A1147">
        <v>2145</v>
      </c>
      <c r="B1147" t="s">
        <v>1188</v>
      </c>
      <c r="C1147" t="s">
        <v>33</v>
      </c>
      <c r="D1147" t="s">
        <v>44</v>
      </c>
      <c r="E1147">
        <v>2</v>
      </c>
      <c r="F1147">
        <v>3981.39</v>
      </c>
      <c r="H1147" s="3">
        <f t="shared" si="85"/>
        <v>7962.78</v>
      </c>
      <c r="I1147" s="1">
        <v>45611</v>
      </c>
      <c r="J1147" t="s">
        <v>46</v>
      </c>
      <c r="K1147" t="s">
        <v>16</v>
      </c>
      <c r="L1147" s="2">
        <f t="shared" si="86"/>
        <v>3981.39</v>
      </c>
      <c r="M1147" s="4">
        <f t="shared" si="87"/>
        <v>0.6</v>
      </c>
      <c r="N1147" s="1">
        <f t="shared" si="88"/>
        <v>45611</v>
      </c>
      <c r="O1147" s="3">
        <f>(Table13[[#This Row],[Units_Sold]]*Table13[[#This Row],[Unit_Price_Cleaned]]*(1-Table13[[#This Row],[Discount Cleaned]]))</f>
        <v>3185.1120000000001</v>
      </c>
      <c r="P1147" t="str">
        <f t="shared" si="89"/>
        <v>Profit</v>
      </c>
      <c r="Q1147" t="str" cm="1">
        <f t="array" ref="Q1147">IF(K1147="",INDEX($K$2:$K$2501,MATCH(MAX(COUNTIF($K$2:$K$2501,$K$2:$K$2501)),COUNTIF($K$2:$K$2501,$K$2:$K$2501),0)),K1147)</f>
        <v>B2C</v>
      </c>
    </row>
    <row r="1148" spans="1:17" x14ac:dyDescent="0.3">
      <c r="A1148">
        <v>2146</v>
      </c>
      <c r="B1148" t="s">
        <v>1189</v>
      </c>
      <c r="C1148" t="s">
        <v>29</v>
      </c>
      <c r="D1148" t="s">
        <v>120</v>
      </c>
      <c r="E1148">
        <v>2</v>
      </c>
      <c r="G1148">
        <v>0.65</v>
      </c>
      <c r="H1148" s="3">
        <f t="shared" si="85"/>
        <v>5660.2651428571462</v>
      </c>
      <c r="I1148" s="1">
        <v>45624</v>
      </c>
      <c r="J1148" t="s">
        <v>22</v>
      </c>
      <c r="K1148" t="s">
        <v>23</v>
      </c>
      <c r="L1148" s="2">
        <f t="shared" si="86"/>
        <v>2830.1325714285731</v>
      </c>
      <c r="M1148" s="4">
        <f t="shared" si="87"/>
        <v>0.65</v>
      </c>
      <c r="N1148" s="1">
        <f t="shared" si="88"/>
        <v>45624</v>
      </c>
      <c r="O1148" s="3">
        <f>(Table13[[#This Row],[Units_Sold]]*Table13[[#This Row],[Unit_Price_Cleaned]]*(1-Table13[[#This Row],[Discount Cleaned]]))</f>
        <v>1981.092800000001</v>
      </c>
      <c r="P1148" t="str">
        <f t="shared" si="89"/>
        <v>Profit</v>
      </c>
      <c r="Q1148" t="str" cm="1">
        <f t="array" ref="Q1148">IF(K1148="",INDEX($K$2:$K$2501,MATCH(MAX(COUNTIF($K$2:$K$2501,$K$2:$K$2501)),COUNTIF($K$2:$K$2501,$K$2:$K$2501),0)),K1148)</f>
        <v>B2B</v>
      </c>
    </row>
    <row r="1149" spans="1:17" x14ac:dyDescent="0.3">
      <c r="A1149">
        <v>2147</v>
      </c>
      <c r="B1149" t="s">
        <v>1190</v>
      </c>
      <c r="C1149" t="s">
        <v>38</v>
      </c>
      <c r="D1149" t="s">
        <v>91</v>
      </c>
      <c r="E1149">
        <v>2</v>
      </c>
      <c r="G1149">
        <v>0.27</v>
      </c>
      <c r="H1149" s="3">
        <f t="shared" si="85"/>
        <v>5737.5536363636356</v>
      </c>
      <c r="I1149" s="1">
        <v>45182</v>
      </c>
      <c r="J1149" t="s">
        <v>18</v>
      </c>
      <c r="K1149" t="s">
        <v>16</v>
      </c>
      <c r="L1149" s="2">
        <f t="shared" si="86"/>
        <v>2868.7768181818178</v>
      </c>
      <c r="M1149" s="4">
        <f t="shared" si="87"/>
        <v>0.27</v>
      </c>
      <c r="N1149" s="1">
        <f t="shared" si="88"/>
        <v>45182</v>
      </c>
      <c r="O1149" s="3">
        <f>(Table13[[#This Row],[Units_Sold]]*Table13[[#This Row],[Unit_Price_Cleaned]]*(1-Table13[[#This Row],[Discount Cleaned]]))</f>
        <v>4188.414154545454</v>
      </c>
      <c r="P1149" t="str">
        <f t="shared" si="89"/>
        <v>Profit</v>
      </c>
      <c r="Q1149" t="str" cm="1">
        <f t="array" ref="Q1149">IF(K1149="",INDEX($K$2:$K$2501,MATCH(MAX(COUNTIF($K$2:$K$2501,$K$2:$K$2501)),COUNTIF($K$2:$K$2501,$K$2:$K$2501),0)),K1149)</f>
        <v>B2C</v>
      </c>
    </row>
    <row r="1150" spans="1:17" x14ac:dyDescent="0.3">
      <c r="A1150">
        <v>2148</v>
      </c>
      <c r="B1150" t="s">
        <v>1191</v>
      </c>
      <c r="C1150" t="s">
        <v>33</v>
      </c>
      <c r="D1150" t="s">
        <v>44</v>
      </c>
      <c r="E1150">
        <v>2</v>
      </c>
      <c r="H1150" s="3">
        <f t="shared" si="85"/>
        <v>5683.5261224489814</v>
      </c>
      <c r="J1150" t="s">
        <v>56</v>
      </c>
      <c r="K1150" t="s">
        <v>16</v>
      </c>
      <c r="L1150" s="2">
        <f t="shared" si="86"/>
        <v>2841.7630612244907</v>
      </c>
      <c r="M1150" s="4">
        <f t="shared" si="87"/>
        <v>0.6</v>
      </c>
      <c r="N1150" s="1">
        <f t="shared" si="88"/>
        <v>45782</v>
      </c>
      <c r="O1150" s="3">
        <f>(Table13[[#This Row],[Units_Sold]]*Table13[[#This Row],[Unit_Price_Cleaned]]*(1-Table13[[#This Row],[Discount Cleaned]]))</f>
        <v>2273.4104489795927</v>
      </c>
      <c r="P1150" t="str">
        <f t="shared" si="89"/>
        <v>Profit</v>
      </c>
      <c r="Q1150" t="str" cm="1">
        <f t="array" ref="Q1150">IF(K1150="",INDEX($K$2:$K$2501,MATCH(MAX(COUNTIF($K$2:$K$2501,$K$2:$K$2501)),COUNTIF($K$2:$K$2501,$K$2:$K$2501),0)),K1150)</f>
        <v>B2C</v>
      </c>
    </row>
    <row r="1151" spans="1:17" x14ac:dyDescent="0.3">
      <c r="A1151">
        <v>2149</v>
      </c>
      <c r="B1151" t="s">
        <v>1192</v>
      </c>
      <c r="C1151" t="s">
        <v>20</v>
      </c>
      <c r="D1151" t="s">
        <v>122</v>
      </c>
      <c r="E1151">
        <v>2</v>
      </c>
      <c r="F1151">
        <v>2865.62</v>
      </c>
      <c r="G1151">
        <v>0.8</v>
      </c>
      <c r="H1151" s="3">
        <f t="shared" si="85"/>
        <v>5731.24</v>
      </c>
      <c r="I1151" s="1">
        <v>45612</v>
      </c>
      <c r="J1151" t="s">
        <v>18</v>
      </c>
      <c r="K1151" t="s">
        <v>23</v>
      </c>
      <c r="L1151" s="2">
        <f t="shared" si="86"/>
        <v>2865.62</v>
      </c>
      <c r="M1151" s="4">
        <f t="shared" si="87"/>
        <v>0.8</v>
      </c>
      <c r="N1151" s="1">
        <f t="shared" si="88"/>
        <v>45612</v>
      </c>
      <c r="O1151" s="3">
        <f>(Table13[[#This Row],[Units_Sold]]*Table13[[#This Row],[Unit_Price_Cleaned]]*(1-Table13[[#This Row],[Discount Cleaned]]))</f>
        <v>1146.2479999999996</v>
      </c>
      <c r="P1151" t="str">
        <f t="shared" si="89"/>
        <v>Profit</v>
      </c>
      <c r="Q1151" t="str" cm="1">
        <f t="array" ref="Q1151">IF(K1151="",INDEX($K$2:$K$2501,MATCH(MAX(COUNTIF($K$2:$K$2501,$K$2:$K$2501)),COUNTIF($K$2:$K$2501,$K$2:$K$2501),0)),K1151)</f>
        <v>B2B</v>
      </c>
    </row>
    <row r="1152" spans="1:17" x14ac:dyDescent="0.3">
      <c r="A1152">
        <v>1033</v>
      </c>
      <c r="B1152" t="s">
        <v>1193</v>
      </c>
      <c r="C1152" t="s">
        <v>33</v>
      </c>
      <c r="D1152" t="s">
        <v>34</v>
      </c>
      <c r="E1152">
        <v>2</v>
      </c>
      <c r="H1152" s="3">
        <f t="shared" si="85"/>
        <v>4974.07923076923</v>
      </c>
      <c r="I1152" s="1">
        <v>45565</v>
      </c>
      <c r="J1152" t="s">
        <v>15</v>
      </c>
      <c r="K1152" t="s">
        <v>16</v>
      </c>
      <c r="L1152" s="2">
        <f t="shared" si="86"/>
        <v>2487.039615384615</v>
      </c>
      <c r="M1152" s="4">
        <f t="shared" si="87"/>
        <v>0.6</v>
      </c>
      <c r="N1152" s="1">
        <f t="shared" si="88"/>
        <v>45565</v>
      </c>
      <c r="O1152" s="3">
        <f>(Table13[[#This Row],[Units_Sold]]*Table13[[#This Row],[Unit_Price_Cleaned]]*(1-Table13[[#This Row],[Discount Cleaned]]))</f>
        <v>1989.631692307692</v>
      </c>
      <c r="P1152" t="str">
        <f t="shared" si="89"/>
        <v>Profit</v>
      </c>
      <c r="Q1152" t="str" cm="1">
        <f t="array" ref="Q1152">IF(K1152="",INDEX($K$2:$K$2501,MATCH(MAX(COUNTIF($K$2:$K$2501,$K$2:$K$2501)),COUNTIF($K$2:$K$2501,$K$2:$K$2501),0)),K1152)</f>
        <v>B2C</v>
      </c>
    </row>
    <row r="1153" spans="1:17" x14ac:dyDescent="0.3">
      <c r="A1153">
        <v>2151</v>
      </c>
      <c r="B1153" t="s">
        <v>1194</v>
      </c>
      <c r="C1153" t="s">
        <v>38</v>
      </c>
      <c r="D1153" t="s">
        <v>59</v>
      </c>
      <c r="E1153">
        <v>2</v>
      </c>
      <c r="F1153">
        <v>927.64</v>
      </c>
      <c r="H1153" s="3">
        <f t="shared" si="85"/>
        <v>1855.28</v>
      </c>
      <c r="I1153" s="1">
        <v>45512</v>
      </c>
      <c r="J1153" t="s">
        <v>46</v>
      </c>
      <c r="L1153" s="2">
        <f t="shared" si="86"/>
        <v>927.64</v>
      </c>
      <c r="M1153" s="4">
        <f t="shared" si="87"/>
        <v>0.6</v>
      </c>
      <c r="N1153" s="1">
        <f t="shared" si="88"/>
        <v>45512</v>
      </c>
      <c r="O1153" s="3">
        <f>(Table13[[#This Row],[Units_Sold]]*Table13[[#This Row],[Unit_Price_Cleaned]]*(1-Table13[[#This Row],[Discount Cleaned]]))</f>
        <v>742.11200000000008</v>
      </c>
      <c r="P1153" t="str">
        <f t="shared" si="89"/>
        <v>Profit</v>
      </c>
      <c r="Q1153" t="str" cm="1">
        <f t="array" ref="Q1153">IF(K1153="",INDEX($K$2:$K$2501,MATCH(MAX(COUNTIF($K$2:$K$2501,$K$2:$K$2501)),COUNTIF($K$2:$K$2501,$K$2:$K$2501),0)),K1153)</f>
        <v>B2B</v>
      </c>
    </row>
    <row r="1154" spans="1:17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 s="3">
        <f t="shared" ref="H1154:H1217" si="90">(L1154*E1154)</f>
        <v>0</v>
      </c>
      <c r="J1154" t="s">
        <v>18</v>
      </c>
      <c r="K1154" t="s">
        <v>23</v>
      </c>
      <c r="L1154" s="2">
        <f t="shared" ref="L1154:L1217" si="91">IF(F1154="",AVERAGEIF($D$2:$D$2501,D1154,$F$2:$F$2501),F1154)</f>
        <v>2888.8714285714286</v>
      </c>
      <c r="M1154" s="4">
        <f t="shared" ref="M1154:M1217" si="92">IF(G1154="",MEDIAN($G$2,$G$2501),G1154)</f>
        <v>0.6</v>
      </c>
      <c r="N1154" s="1">
        <f t="shared" ref="N1154:N1217" si="93">IF(I1154="",MODE($I$32:$I$2501),I1154)</f>
        <v>45782</v>
      </c>
      <c r="O1154" s="3">
        <f>(Table13[[#This Row],[Units_Sold]]*Table13[[#This Row],[Unit_Price_Cleaned]]*(1-Table13[[#This Row],[Discount Cleaned]]))</f>
        <v>0</v>
      </c>
      <c r="P1154" t="str">
        <f t="shared" ref="P1154:P1217" si="94">IF(O1154&gt;500,"Profit","Loss")</f>
        <v>Loss</v>
      </c>
      <c r="Q1154" t="str" cm="1">
        <f t="array" ref="Q1154">IF(K1154="",INDEX($K$2:$K$2501,MATCH(MAX(COUNTIF($K$2:$K$2501,$K$2:$K$2501)),COUNTIF($K$2:$K$2501,$K$2:$K$2501),0)),K1154)</f>
        <v>B2B</v>
      </c>
    </row>
    <row r="1155" spans="1:17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 s="3">
        <f t="shared" si="90"/>
        <v>0</v>
      </c>
      <c r="I1155" s="1">
        <v>45614</v>
      </c>
      <c r="J1155" t="s">
        <v>18</v>
      </c>
      <c r="K1155" t="s">
        <v>16</v>
      </c>
      <c r="L1155" s="2">
        <f t="shared" si="91"/>
        <v>3131.57</v>
      </c>
      <c r="M1155" s="4">
        <f t="shared" si="92"/>
        <v>0.6</v>
      </c>
      <c r="N1155" s="1">
        <f t="shared" si="93"/>
        <v>45614</v>
      </c>
      <c r="O1155" s="3">
        <f>(Table13[[#This Row],[Units_Sold]]*Table13[[#This Row],[Unit_Price_Cleaned]]*(1-Table13[[#This Row],[Discount Cleaned]]))</f>
        <v>0</v>
      </c>
      <c r="P1155" t="str">
        <f t="shared" si="94"/>
        <v>Loss</v>
      </c>
      <c r="Q1155" t="str" cm="1">
        <f t="array" ref="Q1155">IF(K1155="",INDEX($K$2:$K$2501,MATCH(MAX(COUNTIF($K$2:$K$2501,$K$2:$K$2501)),COUNTIF($K$2:$K$2501,$K$2:$K$2501),0)),K1155)</f>
        <v>B2C</v>
      </c>
    </row>
    <row r="1156" spans="1:17" x14ac:dyDescent="0.3">
      <c r="A1156">
        <v>2154</v>
      </c>
      <c r="B1156" t="s">
        <v>1196</v>
      </c>
      <c r="C1156" t="s">
        <v>29</v>
      </c>
      <c r="D1156" t="s">
        <v>30</v>
      </c>
      <c r="E1156">
        <v>2</v>
      </c>
      <c r="H1156" s="3">
        <f t="shared" si="90"/>
        <v>5235.2780769230776</v>
      </c>
      <c r="I1156" s="1">
        <v>45793</v>
      </c>
      <c r="J1156" t="s">
        <v>46</v>
      </c>
      <c r="K1156" t="s">
        <v>23</v>
      </c>
      <c r="L1156" s="2">
        <f t="shared" si="91"/>
        <v>2617.6390384615388</v>
      </c>
      <c r="M1156" s="4">
        <f t="shared" si="92"/>
        <v>0.6</v>
      </c>
      <c r="N1156" s="1">
        <f t="shared" si="93"/>
        <v>45793</v>
      </c>
      <c r="O1156" s="3">
        <f>(Table13[[#This Row],[Units_Sold]]*Table13[[#This Row],[Unit_Price_Cleaned]]*(1-Table13[[#This Row],[Discount Cleaned]]))</f>
        <v>2094.111230769231</v>
      </c>
      <c r="P1156" t="str">
        <f t="shared" si="94"/>
        <v>Profit</v>
      </c>
      <c r="Q1156" t="str" cm="1">
        <f t="array" ref="Q1156">IF(K1156="",INDEX($K$2:$K$2501,MATCH(MAX(COUNTIF($K$2:$K$2501,$K$2:$K$2501)),COUNTIF($K$2:$K$2501,$K$2:$K$2501),0)),K1156)</f>
        <v>B2B</v>
      </c>
    </row>
    <row r="1157" spans="1:17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 s="3">
        <f t="shared" si="90"/>
        <v>-5552.4404000000004</v>
      </c>
      <c r="I1157" s="1">
        <v>45691</v>
      </c>
      <c r="J1157" t="s">
        <v>40</v>
      </c>
      <c r="K1157" t="s">
        <v>16</v>
      </c>
      <c r="L1157" s="2">
        <f t="shared" si="91"/>
        <v>2776.2202000000002</v>
      </c>
      <c r="M1157" s="4">
        <f t="shared" si="92"/>
        <v>0.6</v>
      </c>
      <c r="N1157" s="1">
        <f t="shared" si="93"/>
        <v>45691</v>
      </c>
      <c r="O1157" s="3">
        <f>(Table13[[#This Row],[Units_Sold]]*Table13[[#This Row],[Unit_Price_Cleaned]]*(1-Table13[[#This Row],[Discount Cleaned]]))</f>
        <v>-2220.9761600000002</v>
      </c>
      <c r="P1157" t="str">
        <f t="shared" si="94"/>
        <v>Loss</v>
      </c>
      <c r="Q1157" t="str" cm="1">
        <f t="array" ref="Q1157">IF(K1157="",INDEX($K$2:$K$2501,MATCH(MAX(COUNTIF($K$2:$K$2501,$K$2:$K$2501)),COUNTIF($K$2:$K$2501,$K$2:$K$2501),0)),K1157)</f>
        <v>B2C</v>
      </c>
    </row>
    <row r="1158" spans="1:17" x14ac:dyDescent="0.3">
      <c r="A1158">
        <v>2156</v>
      </c>
      <c r="B1158" t="s">
        <v>1198</v>
      </c>
      <c r="C1158" t="s">
        <v>25</v>
      </c>
      <c r="D1158" t="s">
        <v>66</v>
      </c>
      <c r="E1158">
        <v>2</v>
      </c>
      <c r="H1158" s="3">
        <f t="shared" si="90"/>
        <v>5145.5528000000013</v>
      </c>
      <c r="J1158" t="s">
        <v>18</v>
      </c>
      <c r="L1158" s="2">
        <f t="shared" si="91"/>
        <v>2572.7764000000006</v>
      </c>
      <c r="M1158" s="4">
        <f t="shared" si="92"/>
        <v>0.6</v>
      </c>
      <c r="N1158" s="1">
        <f t="shared" si="93"/>
        <v>45782</v>
      </c>
      <c r="O1158" s="3">
        <f>(Table13[[#This Row],[Units_Sold]]*Table13[[#This Row],[Unit_Price_Cleaned]]*(1-Table13[[#This Row],[Discount Cleaned]]))</f>
        <v>2058.2211200000006</v>
      </c>
      <c r="P1158" t="str">
        <f t="shared" si="94"/>
        <v>Profit</v>
      </c>
      <c r="Q1158" t="str" cm="1">
        <f t="array" ref="Q1158">IF(K1158="",INDEX($K$2:$K$2501,MATCH(MAX(COUNTIF($K$2:$K$2501,$K$2:$K$2501)),COUNTIF($K$2:$K$2501,$K$2:$K$2501),0)),K1158)</f>
        <v>B2B</v>
      </c>
    </row>
    <row r="1159" spans="1:17" x14ac:dyDescent="0.3">
      <c r="A1159">
        <v>2157</v>
      </c>
      <c r="B1159" t="s">
        <v>1199</v>
      </c>
      <c r="C1159" t="s">
        <v>25</v>
      </c>
      <c r="D1159" t="s">
        <v>54</v>
      </c>
      <c r="E1159">
        <v>2</v>
      </c>
      <c r="F1159">
        <v>2830.24</v>
      </c>
      <c r="G1159">
        <v>0.97</v>
      </c>
      <c r="H1159" s="3">
        <f t="shared" si="90"/>
        <v>5660.48</v>
      </c>
      <c r="J1159" t="s">
        <v>22</v>
      </c>
      <c r="K1159" t="s">
        <v>23</v>
      </c>
      <c r="L1159" s="2">
        <f t="shared" si="91"/>
        <v>2830.24</v>
      </c>
      <c r="M1159" s="4">
        <f t="shared" si="92"/>
        <v>0.97</v>
      </c>
      <c r="N1159" s="1">
        <f t="shared" si="93"/>
        <v>45782</v>
      </c>
      <c r="O1159" s="3">
        <f>(Table13[[#This Row],[Units_Sold]]*Table13[[#This Row],[Unit_Price_Cleaned]]*(1-Table13[[#This Row],[Discount Cleaned]]))</f>
        <v>169.81440000000015</v>
      </c>
      <c r="P1159" t="str">
        <f t="shared" si="94"/>
        <v>Loss</v>
      </c>
      <c r="Q1159" t="str" cm="1">
        <f t="array" ref="Q1159">IF(K1159="",INDEX($K$2:$K$2501,MATCH(MAX(COUNTIF($K$2:$K$2501,$K$2:$K$2501)),COUNTIF($K$2:$K$2501,$K$2:$K$2501),0)),K1159)</f>
        <v>B2B</v>
      </c>
    </row>
    <row r="1160" spans="1:17" x14ac:dyDescent="0.3">
      <c r="A1160">
        <v>2158</v>
      </c>
      <c r="B1160" t="s">
        <v>1200</v>
      </c>
      <c r="C1160" t="s">
        <v>25</v>
      </c>
      <c r="D1160" t="s">
        <v>54</v>
      </c>
      <c r="E1160">
        <v>2</v>
      </c>
      <c r="F1160">
        <v>3270.68</v>
      </c>
      <c r="H1160" s="3">
        <f t="shared" si="90"/>
        <v>6541.36</v>
      </c>
      <c r="J1160" t="s">
        <v>22</v>
      </c>
      <c r="L1160" s="2">
        <f t="shared" si="91"/>
        <v>3270.68</v>
      </c>
      <c r="M1160" s="4">
        <f t="shared" si="92"/>
        <v>0.6</v>
      </c>
      <c r="N1160" s="1">
        <f t="shared" si="93"/>
        <v>45782</v>
      </c>
      <c r="O1160" s="3">
        <f>(Table13[[#This Row],[Units_Sold]]*Table13[[#This Row],[Unit_Price_Cleaned]]*(1-Table13[[#This Row],[Discount Cleaned]]))</f>
        <v>2616.5439999999999</v>
      </c>
      <c r="P1160" t="str">
        <f t="shared" si="94"/>
        <v>Profit</v>
      </c>
      <c r="Q1160" t="str" cm="1">
        <f t="array" ref="Q1160">IF(K1160="",INDEX($K$2:$K$2501,MATCH(MAX(COUNTIF($K$2:$K$2501,$K$2:$K$2501)),COUNTIF($K$2:$K$2501,$K$2:$K$2501),0)),K1160)</f>
        <v>B2B</v>
      </c>
    </row>
    <row r="1161" spans="1:17" x14ac:dyDescent="0.3">
      <c r="A1161">
        <v>2159</v>
      </c>
      <c r="B1161" t="s">
        <v>1201</v>
      </c>
      <c r="C1161" t="s">
        <v>38</v>
      </c>
      <c r="D1161" t="s">
        <v>39</v>
      </c>
      <c r="E1161">
        <v>2</v>
      </c>
      <c r="H1161" s="3">
        <f t="shared" si="90"/>
        <v>6016.7688888888888</v>
      </c>
      <c r="I1161" s="1">
        <v>45639</v>
      </c>
      <c r="J1161" t="s">
        <v>22</v>
      </c>
      <c r="K1161" t="s">
        <v>23</v>
      </c>
      <c r="L1161" s="2">
        <f t="shared" si="91"/>
        <v>3008.3844444444444</v>
      </c>
      <c r="M1161" s="4">
        <f t="shared" si="92"/>
        <v>0.6</v>
      </c>
      <c r="N1161" s="1">
        <f t="shared" si="93"/>
        <v>45639</v>
      </c>
      <c r="O1161" s="3">
        <f>(Table13[[#This Row],[Units_Sold]]*Table13[[#This Row],[Unit_Price_Cleaned]]*(1-Table13[[#This Row],[Discount Cleaned]]))</f>
        <v>2406.7075555555557</v>
      </c>
      <c r="P1161" t="str">
        <f t="shared" si="94"/>
        <v>Profit</v>
      </c>
      <c r="Q1161" t="str" cm="1">
        <f t="array" ref="Q1161">IF(K1161="",INDEX($K$2:$K$2501,MATCH(MAX(COUNTIF($K$2:$K$2501,$K$2:$K$2501)),COUNTIF($K$2:$K$2501,$K$2:$K$2501),0)),K1161)</f>
        <v>B2B</v>
      </c>
    </row>
    <row r="1162" spans="1:17" x14ac:dyDescent="0.3">
      <c r="A1162">
        <v>2160</v>
      </c>
      <c r="B1162" t="s">
        <v>1202</v>
      </c>
      <c r="C1162" t="s">
        <v>25</v>
      </c>
      <c r="D1162" t="s">
        <v>86</v>
      </c>
      <c r="E1162">
        <v>2</v>
      </c>
      <c r="F1162">
        <v>2119.66</v>
      </c>
      <c r="H1162" s="3">
        <f t="shared" si="90"/>
        <v>4239.32</v>
      </c>
      <c r="I1162" s="1">
        <v>45598</v>
      </c>
      <c r="J1162" t="s">
        <v>46</v>
      </c>
      <c r="K1162" t="s">
        <v>16</v>
      </c>
      <c r="L1162" s="2">
        <f t="shared" si="91"/>
        <v>2119.66</v>
      </c>
      <c r="M1162" s="4">
        <f t="shared" si="92"/>
        <v>0.6</v>
      </c>
      <c r="N1162" s="1">
        <f t="shared" si="93"/>
        <v>45598</v>
      </c>
      <c r="O1162" s="3">
        <f>(Table13[[#This Row],[Units_Sold]]*Table13[[#This Row],[Unit_Price_Cleaned]]*(1-Table13[[#This Row],[Discount Cleaned]]))</f>
        <v>1695.7280000000001</v>
      </c>
      <c r="P1162" t="str">
        <f t="shared" si="94"/>
        <v>Profit</v>
      </c>
      <c r="Q1162" t="str" cm="1">
        <f t="array" ref="Q1162">IF(K1162="",INDEX($K$2:$K$2501,MATCH(MAX(COUNTIF($K$2:$K$2501,$K$2:$K$2501)),COUNTIF($K$2:$K$2501,$K$2:$K$2501),0)),K1162)</f>
        <v>B2C</v>
      </c>
    </row>
    <row r="1163" spans="1:17" x14ac:dyDescent="0.3">
      <c r="A1163">
        <v>2161</v>
      </c>
      <c r="B1163" t="s">
        <v>1203</v>
      </c>
      <c r="C1163" t="s">
        <v>29</v>
      </c>
      <c r="D1163" t="s">
        <v>120</v>
      </c>
      <c r="E1163">
        <v>2</v>
      </c>
      <c r="F1163">
        <v>4376.41</v>
      </c>
      <c r="H1163" s="3">
        <f t="shared" si="90"/>
        <v>8752.82</v>
      </c>
      <c r="I1163" s="1">
        <v>45754</v>
      </c>
      <c r="J1163" t="s">
        <v>22</v>
      </c>
      <c r="K1163" t="s">
        <v>16</v>
      </c>
      <c r="L1163" s="2">
        <f t="shared" si="91"/>
        <v>4376.41</v>
      </c>
      <c r="M1163" s="4">
        <f t="shared" si="92"/>
        <v>0.6</v>
      </c>
      <c r="N1163" s="1">
        <f t="shared" si="93"/>
        <v>45754</v>
      </c>
      <c r="O1163" s="3">
        <f>(Table13[[#This Row],[Units_Sold]]*Table13[[#This Row],[Unit_Price_Cleaned]]*(1-Table13[[#This Row],[Discount Cleaned]]))</f>
        <v>3501.1280000000002</v>
      </c>
      <c r="P1163" t="str">
        <f t="shared" si="94"/>
        <v>Profit</v>
      </c>
      <c r="Q1163" t="str" cm="1">
        <f t="array" ref="Q1163">IF(K1163="",INDEX($K$2:$K$2501,MATCH(MAX(COUNTIF($K$2:$K$2501,$K$2:$K$2501)),COUNTIF($K$2:$K$2501,$K$2:$K$2501),0)),K1163)</f>
        <v>B2C</v>
      </c>
    </row>
    <row r="1164" spans="1:17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 s="3">
        <f t="shared" si="90"/>
        <v>2830.1325714285731</v>
      </c>
      <c r="I1164" s="1">
        <v>45832</v>
      </c>
      <c r="J1164" t="s">
        <v>18</v>
      </c>
      <c r="L1164" s="2">
        <f t="shared" si="91"/>
        <v>2830.1325714285731</v>
      </c>
      <c r="M1164" s="4">
        <f t="shared" si="92"/>
        <v>0.71</v>
      </c>
      <c r="N1164" s="1">
        <f t="shared" si="93"/>
        <v>45832</v>
      </c>
      <c r="O1164" s="3">
        <f>(Table13[[#This Row],[Units_Sold]]*Table13[[#This Row],[Unit_Price_Cleaned]]*(1-Table13[[#This Row],[Discount Cleaned]]))</f>
        <v>820.73844571428629</v>
      </c>
      <c r="P1164" t="str">
        <f t="shared" si="94"/>
        <v>Profit</v>
      </c>
      <c r="Q1164" t="str" cm="1">
        <f t="array" ref="Q1164">IF(K1164="",INDEX($K$2:$K$2501,MATCH(MAX(COUNTIF($K$2:$K$2501,$K$2:$K$2501)),COUNTIF($K$2:$K$2501,$K$2:$K$2501),0)),K1164)</f>
        <v>B2B</v>
      </c>
    </row>
    <row r="1165" spans="1:17" x14ac:dyDescent="0.3">
      <c r="A1165">
        <v>2163</v>
      </c>
      <c r="B1165" t="s">
        <v>1205</v>
      </c>
      <c r="C1165" t="s">
        <v>38</v>
      </c>
      <c r="D1165" t="s">
        <v>59</v>
      </c>
      <c r="E1165">
        <v>2</v>
      </c>
      <c r="H1165" s="3">
        <f t="shared" si="90"/>
        <v>5608.5303846153838</v>
      </c>
      <c r="I1165" s="1">
        <v>45559</v>
      </c>
      <c r="J1165" t="s">
        <v>22</v>
      </c>
      <c r="K1165" t="s">
        <v>16</v>
      </c>
      <c r="L1165" s="2">
        <f t="shared" si="91"/>
        <v>2804.2651923076919</v>
      </c>
      <c r="M1165" s="4">
        <f t="shared" si="92"/>
        <v>0.6</v>
      </c>
      <c r="N1165" s="1">
        <f t="shared" si="93"/>
        <v>45559</v>
      </c>
      <c r="O1165" s="3">
        <f>(Table13[[#This Row],[Units_Sold]]*Table13[[#This Row],[Unit_Price_Cleaned]]*(1-Table13[[#This Row],[Discount Cleaned]]))</f>
        <v>2243.4121538461536</v>
      </c>
      <c r="P1165" t="str">
        <f t="shared" si="94"/>
        <v>Profit</v>
      </c>
      <c r="Q1165" t="str" cm="1">
        <f t="array" ref="Q1165">IF(K1165="",INDEX($K$2:$K$2501,MATCH(MAX(COUNTIF($K$2:$K$2501,$K$2:$K$2501)),COUNTIF($K$2:$K$2501,$K$2:$K$2501),0)),K1165)</f>
        <v>B2C</v>
      </c>
    </row>
    <row r="1166" spans="1:17" x14ac:dyDescent="0.3">
      <c r="A1166">
        <v>2164</v>
      </c>
      <c r="B1166" t="s">
        <v>1206</v>
      </c>
      <c r="C1166" t="s">
        <v>20</v>
      </c>
      <c r="D1166" t="s">
        <v>21</v>
      </c>
      <c r="E1166">
        <v>2</v>
      </c>
      <c r="F1166">
        <v>1498.8</v>
      </c>
      <c r="H1166" s="3">
        <f t="shared" si="90"/>
        <v>2997.6</v>
      </c>
      <c r="I1166" s="1">
        <v>45516</v>
      </c>
      <c r="J1166" t="s">
        <v>15</v>
      </c>
      <c r="K1166" t="s">
        <v>23</v>
      </c>
      <c r="L1166" s="2">
        <f t="shared" si="91"/>
        <v>1498.8</v>
      </c>
      <c r="M1166" s="4">
        <f t="shared" si="92"/>
        <v>0.6</v>
      </c>
      <c r="N1166" s="1">
        <f t="shared" si="93"/>
        <v>45516</v>
      </c>
      <c r="O1166" s="3">
        <f>(Table13[[#This Row],[Units_Sold]]*Table13[[#This Row],[Unit_Price_Cleaned]]*(1-Table13[[#This Row],[Discount Cleaned]]))</f>
        <v>1199.04</v>
      </c>
      <c r="P1166" t="str">
        <f t="shared" si="94"/>
        <v>Profit</v>
      </c>
      <c r="Q1166" t="str" cm="1">
        <f t="array" ref="Q1166">IF(K1166="",INDEX($K$2:$K$2501,MATCH(MAX(COUNTIF($K$2:$K$2501,$K$2:$K$2501)),COUNTIF($K$2:$K$2501,$K$2:$K$2501),0)),K1166)</f>
        <v>B2B</v>
      </c>
    </row>
    <row r="1167" spans="1:17" x14ac:dyDescent="0.3">
      <c r="A1167">
        <v>2165</v>
      </c>
      <c r="B1167" t="s">
        <v>1207</v>
      </c>
      <c r="C1167" t="s">
        <v>25</v>
      </c>
      <c r="D1167" t="s">
        <v>66</v>
      </c>
      <c r="E1167">
        <v>2</v>
      </c>
      <c r="H1167" s="3">
        <f t="shared" si="90"/>
        <v>5145.5528000000013</v>
      </c>
      <c r="I1167" s="1">
        <v>45678</v>
      </c>
      <c r="J1167" t="s">
        <v>46</v>
      </c>
      <c r="K1167" t="s">
        <v>23</v>
      </c>
      <c r="L1167" s="2">
        <f t="shared" si="91"/>
        <v>2572.7764000000006</v>
      </c>
      <c r="M1167" s="4">
        <f t="shared" si="92"/>
        <v>0.6</v>
      </c>
      <c r="N1167" s="1">
        <f t="shared" si="93"/>
        <v>45678</v>
      </c>
      <c r="O1167" s="3">
        <f>(Table13[[#This Row],[Units_Sold]]*Table13[[#This Row],[Unit_Price_Cleaned]]*(1-Table13[[#This Row],[Discount Cleaned]]))</f>
        <v>2058.2211200000006</v>
      </c>
      <c r="P1167" t="str">
        <f t="shared" si="94"/>
        <v>Profit</v>
      </c>
      <c r="Q1167" t="str" cm="1">
        <f t="array" ref="Q1167">IF(K1167="",INDEX($K$2:$K$2501,MATCH(MAX(COUNTIF($K$2:$K$2501,$K$2:$K$2501)),COUNTIF($K$2:$K$2501,$K$2:$K$2501),0)),K1167)</f>
        <v>B2B</v>
      </c>
    </row>
    <row r="1168" spans="1:17" x14ac:dyDescent="0.3">
      <c r="A1168">
        <v>2166</v>
      </c>
      <c r="B1168" t="s">
        <v>1208</v>
      </c>
      <c r="C1168" t="s">
        <v>20</v>
      </c>
      <c r="D1168" t="s">
        <v>122</v>
      </c>
      <c r="E1168">
        <v>2</v>
      </c>
      <c r="G1168">
        <v>1.08</v>
      </c>
      <c r="H1168" s="3">
        <f t="shared" si="90"/>
        <v>5400.2526086956505</v>
      </c>
      <c r="J1168" t="s">
        <v>22</v>
      </c>
      <c r="L1168" s="2">
        <f t="shared" si="91"/>
        <v>2700.1263043478252</v>
      </c>
      <c r="M1168" s="4">
        <f t="shared" si="92"/>
        <v>1.08</v>
      </c>
      <c r="N1168" s="1">
        <f t="shared" si="93"/>
        <v>45782</v>
      </c>
      <c r="O1168" s="3">
        <f>(Table13[[#This Row],[Units_Sold]]*Table13[[#This Row],[Unit_Price_Cleaned]]*(1-Table13[[#This Row],[Discount Cleaned]]))</f>
        <v>-432.0202086956524</v>
      </c>
      <c r="P1168" t="str">
        <f t="shared" si="94"/>
        <v>Loss</v>
      </c>
      <c r="Q1168" t="str" cm="1">
        <f t="array" ref="Q1168">IF(K1168="",INDEX($K$2:$K$2501,MATCH(MAX(COUNTIF($K$2:$K$2501,$K$2:$K$2501)),COUNTIF($K$2:$K$2501,$K$2:$K$2501),0)),K1168)</f>
        <v>B2B</v>
      </c>
    </row>
    <row r="1169" spans="1:17" x14ac:dyDescent="0.3">
      <c r="A1169">
        <v>2167</v>
      </c>
      <c r="B1169" t="s">
        <v>1209</v>
      </c>
      <c r="C1169" t="s">
        <v>38</v>
      </c>
      <c r="D1169" t="s">
        <v>39</v>
      </c>
      <c r="E1169">
        <v>2</v>
      </c>
      <c r="G1169">
        <v>1.1200000000000001</v>
      </c>
      <c r="H1169" s="3">
        <f t="shared" si="90"/>
        <v>6016.7688888888888</v>
      </c>
      <c r="J1169" t="s">
        <v>22</v>
      </c>
      <c r="K1169" t="s">
        <v>16</v>
      </c>
      <c r="L1169" s="2">
        <f t="shared" si="91"/>
        <v>3008.3844444444444</v>
      </c>
      <c r="M1169" s="4">
        <f t="shared" si="92"/>
        <v>1.1200000000000001</v>
      </c>
      <c r="N1169" s="1">
        <f t="shared" si="93"/>
        <v>45782</v>
      </c>
      <c r="O1169" s="3">
        <f>(Table13[[#This Row],[Units_Sold]]*Table13[[#This Row],[Unit_Price_Cleaned]]*(1-Table13[[#This Row],[Discount Cleaned]]))</f>
        <v>-722.0122666666673</v>
      </c>
      <c r="P1169" t="str">
        <f t="shared" si="94"/>
        <v>Loss</v>
      </c>
      <c r="Q1169" t="str" cm="1">
        <f t="array" ref="Q1169">IF(K1169="",INDEX($K$2:$K$2501,MATCH(MAX(COUNTIF($K$2:$K$2501,$K$2:$K$2501)),COUNTIF($K$2:$K$2501,$K$2:$K$2501),0)),K1169)</f>
        <v>B2C</v>
      </c>
    </row>
    <row r="1170" spans="1:17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 s="3">
        <f t="shared" si="90"/>
        <v>-4446.09</v>
      </c>
      <c r="J1170" t="s">
        <v>18</v>
      </c>
      <c r="K1170" t="s">
        <v>23</v>
      </c>
      <c r="L1170" s="2">
        <f t="shared" si="91"/>
        <v>4446.09</v>
      </c>
      <c r="M1170" s="4">
        <f t="shared" si="92"/>
        <v>0.47</v>
      </c>
      <c r="N1170" s="1">
        <f t="shared" si="93"/>
        <v>45782</v>
      </c>
      <c r="O1170" s="3">
        <f>(Table13[[#This Row],[Units_Sold]]*Table13[[#This Row],[Unit_Price_Cleaned]]*(1-Table13[[#This Row],[Discount Cleaned]]))</f>
        <v>-2356.4277000000002</v>
      </c>
      <c r="P1170" t="str">
        <f t="shared" si="94"/>
        <v>Loss</v>
      </c>
      <c r="Q1170" t="str" cm="1">
        <f t="array" ref="Q1170">IF(K1170="",INDEX($K$2:$K$2501,MATCH(MAX(COUNTIF($K$2:$K$2501,$K$2:$K$2501)),COUNTIF($K$2:$K$2501,$K$2:$K$2501),0)),K1170)</f>
        <v>B2B</v>
      </c>
    </row>
    <row r="1171" spans="1:17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 s="3">
        <f t="shared" si="90"/>
        <v>5570.1755932203387</v>
      </c>
      <c r="I1171" s="1">
        <v>45587</v>
      </c>
      <c r="J1171" t="s">
        <v>18</v>
      </c>
      <c r="K1171" t="s">
        <v>16</v>
      </c>
      <c r="L1171" s="2">
        <f t="shared" si="91"/>
        <v>2785.0877966101693</v>
      </c>
      <c r="M1171" s="4">
        <f t="shared" si="92"/>
        <v>0.6</v>
      </c>
      <c r="N1171" s="1">
        <f t="shared" si="93"/>
        <v>45587</v>
      </c>
      <c r="O1171" s="3">
        <f>(Table13[[#This Row],[Units_Sold]]*Table13[[#This Row],[Unit_Price_Cleaned]]*(1-Table13[[#This Row],[Discount Cleaned]]))</f>
        <v>2228.0702372881356</v>
      </c>
      <c r="P1171" t="str">
        <f t="shared" si="94"/>
        <v>Profit</v>
      </c>
      <c r="Q1171" t="str" cm="1">
        <f t="array" ref="Q1171">IF(K1171="",INDEX($K$2:$K$2501,MATCH(MAX(COUNTIF($K$2:$K$2501,$K$2:$K$2501)),COUNTIF($K$2:$K$2501,$K$2:$K$2501),0)),K1171)</f>
        <v>B2C</v>
      </c>
    </row>
    <row r="1172" spans="1:17" x14ac:dyDescent="0.3">
      <c r="A1172">
        <v>2170</v>
      </c>
      <c r="B1172" t="s">
        <v>1212</v>
      </c>
      <c r="C1172" t="s">
        <v>29</v>
      </c>
      <c r="D1172" t="s">
        <v>30</v>
      </c>
      <c r="E1172">
        <v>2</v>
      </c>
      <c r="F1172">
        <v>826.11</v>
      </c>
      <c r="G1172">
        <v>0.99</v>
      </c>
      <c r="H1172" s="3">
        <f t="shared" si="90"/>
        <v>1652.22</v>
      </c>
      <c r="J1172" t="s">
        <v>15</v>
      </c>
      <c r="K1172" t="s">
        <v>23</v>
      </c>
      <c r="L1172" s="2">
        <f t="shared" si="91"/>
        <v>826.11</v>
      </c>
      <c r="M1172" s="4">
        <f t="shared" si="92"/>
        <v>0.99</v>
      </c>
      <c r="N1172" s="1">
        <f t="shared" si="93"/>
        <v>45782</v>
      </c>
      <c r="O1172" s="3">
        <f>(Table13[[#This Row],[Units_Sold]]*Table13[[#This Row],[Unit_Price_Cleaned]]*(1-Table13[[#This Row],[Discount Cleaned]]))</f>
        <v>16.522200000000016</v>
      </c>
      <c r="P1172" t="str">
        <f t="shared" si="94"/>
        <v>Loss</v>
      </c>
      <c r="Q1172" t="str" cm="1">
        <f t="array" ref="Q1172">IF(K1172="",INDEX($K$2:$K$2501,MATCH(MAX(COUNTIF($K$2:$K$2501,$K$2:$K$2501)),COUNTIF($K$2:$K$2501,$K$2:$K$2501),0)),K1172)</f>
        <v>B2B</v>
      </c>
    </row>
    <row r="1173" spans="1:17" x14ac:dyDescent="0.3">
      <c r="A1173">
        <v>2171</v>
      </c>
      <c r="B1173" t="s">
        <v>1213</v>
      </c>
      <c r="C1173" t="s">
        <v>33</v>
      </c>
      <c r="D1173" t="s">
        <v>72</v>
      </c>
      <c r="E1173">
        <v>2</v>
      </c>
      <c r="F1173">
        <v>630.28</v>
      </c>
      <c r="H1173" s="3">
        <f t="shared" si="90"/>
        <v>1260.56</v>
      </c>
      <c r="I1173" s="1">
        <v>45860</v>
      </c>
      <c r="J1173" t="s">
        <v>15</v>
      </c>
      <c r="K1173" t="s">
        <v>23</v>
      </c>
      <c r="L1173" s="2">
        <f t="shared" si="91"/>
        <v>630.28</v>
      </c>
      <c r="M1173" s="4">
        <f t="shared" si="92"/>
        <v>0.6</v>
      </c>
      <c r="N1173" s="1">
        <f t="shared" si="93"/>
        <v>45860</v>
      </c>
      <c r="O1173" s="3">
        <f>(Table13[[#This Row],[Units_Sold]]*Table13[[#This Row],[Unit_Price_Cleaned]]*(1-Table13[[#This Row],[Discount Cleaned]]))</f>
        <v>504.22399999999999</v>
      </c>
      <c r="P1173" t="str">
        <f t="shared" si="94"/>
        <v>Profit</v>
      </c>
      <c r="Q1173" t="str" cm="1">
        <f t="array" ref="Q1173">IF(K1173="",INDEX($K$2:$K$2501,MATCH(MAX(COUNTIF($K$2:$K$2501,$K$2:$K$2501)),COUNTIF($K$2:$K$2501,$K$2:$K$2501),0)),K1173)</f>
        <v>B2B</v>
      </c>
    </row>
    <row r="1174" spans="1:17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 s="3">
        <f t="shared" si="90"/>
        <v>-2715.5458490566025</v>
      </c>
      <c r="J1174" t="s">
        <v>15</v>
      </c>
      <c r="K1174" t="s">
        <v>16</v>
      </c>
      <c r="L1174" s="2">
        <f t="shared" si="91"/>
        <v>2715.5458490566025</v>
      </c>
      <c r="M1174" s="4">
        <f t="shared" si="92"/>
        <v>1.08</v>
      </c>
      <c r="N1174" s="1">
        <f t="shared" si="93"/>
        <v>45782</v>
      </c>
      <c r="O1174" s="3">
        <f>(Table13[[#This Row],[Units_Sold]]*Table13[[#This Row],[Unit_Price_Cleaned]]*(1-Table13[[#This Row],[Discount Cleaned]]))</f>
        <v>217.24366792452838</v>
      </c>
      <c r="P1174" t="str">
        <f t="shared" si="94"/>
        <v>Loss</v>
      </c>
      <c r="Q1174" t="str" cm="1">
        <f t="array" ref="Q1174">IF(K1174="",INDEX($K$2:$K$2501,MATCH(MAX(COUNTIF($K$2:$K$2501,$K$2:$K$2501)),COUNTIF($K$2:$K$2501,$K$2:$K$2501),0)),K1174)</f>
        <v>B2C</v>
      </c>
    </row>
    <row r="1175" spans="1:17" x14ac:dyDescent="0.3">
      <c r="A1175">
        <v>2173</v>
      </c>
      <c r="B1175" t="s">
        <v>1215</v>
      </c>
      <c r="C1175" t="s">
        <v>25</v>
      </c>
      <c r="D1175" t="s">
        <v>26</v>
      </c>
      <c r="E1175">
        <v>2</v>
      </c>
      <c r="F1175">
        <v>2679.07</v>
      </c>
      <c r="H1175" s="3">
        <f t="shared" si="90"/>
        <v>5358.14</v>
      </c>
      <c r="J1175" t="s">
        <v>22</v>
      </c>
      <c r="L1175" s="2">
        <f t="shared" si="91"/>
        <v>2679.07</v>
      </c>
      <c r="M1175" s="4">
        <f t="shared" si="92"/>
        <v>0.6</v>
      </c>
      <c r="N1175" s="1">
        <f t="shared" si="93"/>
        <v>45782</v>
      </c>
      <c r="O1175" s="3">
        <f>(Table13[[#This Row],[Units_Sold]]*Table13[[#This Row],[Unit_Price_Cleaned]]*(1-Table13[[#This Row],[Discount Cleaned]]))</f>
        <v>2143.2560000000003</v>
      </c>
      <c r="P1175" t="str">
        <f t="shared" si="94"/>
        <v>Profit</v>
      </c>
      <c r="Q1175" t="str" cm="1">
        <f t="array" ref="Q1175">IF(K1175="",INDEX($K$2:$K$2501,MATCH(MAX(COUNTIF($K$2:$K$2501,$K$2:$K$2501)),COUNTIF($K$2:$K$2501,$K$2:$K$2501),0)),K1175)</f>
        <v>B2B</v>
      </c>
    </row>
    <row r="1176" spans="1:17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 s="3">
        <f t="shared" si="90"/>
        <v>0</v>
      </c>
      <c r="I1176" s="1">
        <v>45649</v>
      </c>
      <c r="J1176" t="s">
        <v>40</v>
      </c>
      <c r="K1176" t="s">
        <v>16</v>
      </c>
      <c r="L1176" s="2">
        <f t="shared" si="91"/>
        <v>810.62</v>
      </c>
      <c r="M1176" s="4">
        <f t="shared" si="92"/>
        <v>0.6</v>
      </c>
      <c r="N1176" s="1">
        <f t="shared" si="93"/>
        <v>45649</v>
      </c>
      <c r="O1176" s="3">
        <f>(Table13[[#This Row],[Units_Sold]]*Table13[[#This Row],[Unit_Price_Cleaned]]*(1-Table13[[#This Row],[Discount Cleaned]]))</f>
        <v>0</v>
      </c>
      <c r="P1176" t="str">
        <f t="shared" si="94"/>
        <v>Loss</v>
      </c>
      <c r="Q1176" t="str" cm="1">
        <f t="array" ref="Q1176">IF(K1176="",INDEX($K$2:$K$2501,MATCH(MAX(COUNTIF($K$2:$K$2501,$K$2:$K$2501)),COUNTIF($K$2:$K$2501,$K$2:$K$2501),0)),K1176)</f>
        <v>B2C</v>
      </c>
    </row>
    <row r="1177" spans="1:17" x14ac:dyDescent="0.3">
      <c r="A1177">
        <v>2175</v>
      </c>
      <c r="B1177" t="s">
        <v>1217</v>
      </c>
      <c r="C1177" t="s">
        <v>25</v>
      </c>
      <c r="D1177" t="s">
        <v>26</v>
      </c>
      <c r="E1177">
        <v>2</v>
      </c>
      <c r="H1177" s="3">
        <f t="shared" si="90"/>
        <v>5777.7428571428572</v>
      </c>
      <c r="I1177" s="1">
        <v>45171</v>
      </c>
      <c r="J1177" t="s">
        <v>56</v>
      </c>
      <c r="K1177" t="s">
        <v>16</v>
      </c>
      <c r="L1177" s="2">
        <f t="shared" si="91"/>
        <v>2888.8714285714286</v>
      </c>
      <c r="M1177" s="4">
        <f t="shared" si="92"/>
        <v>0.6</v>
      </c>
      <c r="N1177" s="1">
        <f t="shared" si="93"/>
        <v>45171</v>
      </c>
      <c r="O1177" s="3">
        <f>(Table13[[#This Row],[Units_Sold]]*Table13[[#This Row],[Unit_Price_Cleaned]]*(1-Table13[[#This Row],[Discount Cleaned]]))</f>
        <v>2311.0971428571429</v>
      </c>
      <c r="P1177" t="str">
        <f t="shared" si="94"/>
        <v>Profit</v>
      </c>
      <c r="Q1177" t="str" cm="1">
        <f t="array" ref="Q1177">IF(K1177="",INDEX($K$2:$K$2501,MATCH(MAX(COUNTIF($K$2:$K$2501,$K$2:$K$2501)),COUNTIF($K$2:$K$2501,$K$2:$K$2501),0)),K1177)</f>
        <v>B2C</v>
      </c>
    </row>
    <row r="1178" spans="1:17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 s="3">
        <f t="shared" si="90"/>
        <v>29728.02</v>
      </c>
      <c r="I1178" s="1">
        <v>45852</v>
      </c>
      <c r="J1178" t="s">
        <v>56</v>
      </c>
      <c r="L1178" s="2">
        <f t="shared" si="91"/>
        <v>4954.67</v>
      </c>
      <c r="M1178" s="4">
        <f t="shared" si="92"/>
        <v>0.6</v>
      </c>
      <c r="N1178" s="1">
        <f t="shared" si="93"/>
        <v>45852</v>
      </c>
      <c r="O1178" s="3">
        <f>(Table13[[#This Row],[Units_Sold]]*Table13[[#This Row],[Unit_Price_Cleaned]]*(1-Table13[[#This Row],[Discount Cleaned]]))</f>
        <v>11891.208000000001</v>
      </c>
      <c r="P1178" t="str">
        <f t="shared" si="94"/>
        <v>Profit</v>
      </c>
      <c r="Q1178" t="str" cm="1">
        <f t="array" ref="Q1178">IF(K1178="",INDEX($K$2:$K$2501,MATCH(MAX(COUNTIF($K$2:$K$2501,$K$2:$K$2501)),COUNTIF($K$2:$K$2501,$K$2:$K$2501),0)),K1178)</f>
        <v>B2B</v>
      </c>
    </row>
    <row r="1179" spans="1:17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 s="3">
        <f t="shared" si="90"/>
        <v>7504.5929999999998</v>
      </c>
      <c r="I1179" s="1">
        <v>45672</v>
      </c>
      <c r="J1179" t="s">
        <v>18</v>
      </c>
      <c r="K1179" t="s">
        <v>23</v>
      </c>
      <c r="L1179" s="2">
        <f t="shared" si="91"/>
        <v>2501.5309999999999</v>
      </c>
      <c r="M1179" s="4">
        <f t="shared" si="92"/>
        <v>0.6</v>
      </c>
      <c r="N1179" s="1">
        <f t="shared" si="93"/>
        <v>45672</v>
      </c>
      <c r="O1179" s="3">
        <f>(Table13[[#This Row],[Units_Sold]]*Table13[[#This Row],[Unit_Price_Cleaned]]*(1-Table13[[#This Row],[Discount Cleaned]]))</f>
        <v>3001.8371999999999</v>
      </c>
      <c r="P1179" t="str">
        <f t="shared" si="94"/>
        <v>Profit</v>
      </c>
      <c r="Q1179" t="str" cm="1">
        <f t="array" ref="Q1179">IF(K1179="",INDEX($K$2:$K$2501,MATCH(MAX(COUNTIF($K$2:$K$2501,$K$2:$K$2501)),COUNTIF($K$2:$K$2501,$K$2:$K$2501),0)),K1179)</f>
        <v>B2B</v>
      </c>
    </row>
    <row r="1180" spans="1:17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 s="3">
        <f t="shared" si="90"/>
        <v>0</v>
      </c>
      <c r="J1180" t="s">
        <v>40</v>
      </c>
      <c r="K1180" t="s">
        <v>16</v>
      </c>
      <c r="L1180" s="2">
        <f t="shared" si="91"/>
        <v>2530.3836538461546</v>
      </c>
      <c r="M1180" s="4">
        <f t="shared" si="92"/>
        <v>0.89</v>
      </c>
      <c r="N1180" s="1">
        <f t="shared" si="93"/>
        <v>45782</v>
      </c>
      <c r="O1180" s="3">
        <f>(Table13[[#This Row],[Units_Sold]]*Table13[[#This Row],[Unit_Price_Cleaned]]*(1-Table13[[#This Row],[Discount Cleaned]]))</f>
        <v>0</v>
      </c>
      <c r="P1180" t="str">
        <f t="shared" si="94"/>
        <v>Loss</v>
      </c>
      <c r="Q1180" t="str" cm="1">
        <f t="array" ref="Q1180">IF(K1180="",INDEX($K$2:$K$2501,MATCH(MAX(COUNTIF($K$2:$K$2501,$K$2:$K$2501)),COUNTIF($K$2:$K$2501,$K$2:$K$2501),0)),K1180)</f>
        <v>B2C</v>
      </c>
    </row>
    <row r="1181" spans="1:17" x14ac:dyDescent="0.3">
      <c r="A1181">
        <v>2179</v>
      </c>
      <c r="B1181" t="s">
        <v>1221</v>
      </c>
      <c r="C1181" t="s">
        <v>29</v>
      </c>
      <c r="D1181" t="s">
        <v>30</v>
      </c>
      <c r="E1181">
        <v>2</v>
      </c>
      <c r="F1181">
        <v>466.37</v>
      </c>
      <c r="H1181" s="3">
        <f t="shared" si="90"/>
        <v>932.74</v>
      </c>
      <c r="J1181" t="s">
        <v>56</v>
      </c>
      <c r="L1181" s="2">
        <f t="shared" si="91"/>
        <v>466.37</v>
      </c>
      <c r="M1181" s="4">
        <f t="shared" si="92"/>
        <v>0.6</v>
      </c>
      <c r="N1181" s="1">
        <f t="shared" si="93"/>
        <v>45782</v>
      </c>
      <c r="O1181" s="3">
        <f>(Table13[[#This Row],[Units_Sold]]*Table13[[#This Row],[Unit_Price_Cleaned]]*(1-Table13[[#This Row],[Discount Cleaned]]))</f>
        <v>373.096</v>
      </c>
      <c r="P1181" t="str">
        <f t="shared" si="94"/>
        <v>Loss</v>
      </c>
      <c r="Q1181" t="str" cm="1">
        <f t="array" ref="Q1181">IF(K1181="",INDEX($K$2:$K$2501,MATCH(MAX(COUNTIF($K$2:$K$2501,$K$2:$K$2501)),COUNTIF($K$2:$K$2501,$K$2:$K$2501),0)),K1181)</f>
        <v>B2B</v>
      </c>
    </row>
    <row r="1182" spans="1:17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 s="3">
        <f t="shared" si="90"/>
        <v>17333.228571428572</v>
      </c>
      <c r="I1182" s="1">
        <v>45694</v>
      </c>
      <c r="J1182" t="s">
        <v>15</v>
      </c>
      <c r="L1182" s="2">
        <f t="shared" si="91"/>
        <v>2888.8714285714286</v>
      </c>
      <c r="M1182" s="4">
        <f t="shared" si="92"/>
        <v>1.06</v>
      </c>
      <c r="N1182" s="1">
        <f t="shared" si="93"/>
        <v>45694</v>
      </c>
      <c r="O1182" s="3">
        <f>(Table13[[#This Row],[Units_Sold]]*Table13[[#This Row],[Unit_Price_Cleaned]]*(1-Table13[[#This Row],[Discount Cleaned]]))</f>
        <v>-1039.9937142857152</v>
      </c>
      <c r="P1182" t="str">
        <f t="shared" si="94"/>
        <v>Loss</v>
      </c>
      <c r="Q1182" t="str" cm="1">
        <f t="array" ref="Q1182">IF(K1182="",INDEX($K$2:$K$2501,MATCH(MAX(COUNTIF($K$2:$K$2501,$K$2:$K$2501)),COUNTIF($K$2:$K$2501,$K$2:$K$2501),0)),K1182)</f>
        <v>B2B</v>
      </c>
    </row>
    <row r="1183" spans="1:17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 s="3">
        <f t="shared" si="90"/>
        <v>0</v>
      </c>
      <c r="I1183" s="1">
        <v>45679</v>
      </c>
      <c r="J1183" t="s">
        <v>22</v>
      </c>
      <c r="K1183" t="s">
        <v>23</v>
      </c>
      <c r="L1183" s="2">
        <f t="shared" si="91"/>
        <v>2776.2202000000002</v>
      </c>
      <c r="M1183" s="4">
        <f t="shared" si="92"/>
        <v>0.6</v>
      </c>
      <c r="N1183" s="1">
        <f t="shared" si="93"/>
        <v>45679</v>
      </c>
      <c r="O1183" s="3">
        <f>(Table13[[#This Row],[Units_Sold]]*Table13[[#This Row],[Unit_Price_Cleaned]]*(1-Table13[[#This Row],[Discount Cleaned]]))</f>
        <v>0</v>
      </c>
      <c r="P1183" t="str">
        <f t="shared" si="94"/>
        <v>Loss</v>
      </c>
      <c r="Q1183" t="str" cm="1">
        <f t="array" ref="Q1183">IF(K1183="",INDEX($K$2:$K$2501,MATCH(MAX(COUNTIF($K$2:$K$2501,$K$2:$K$2501)),COUNTIF($K$2:$K$2501,$K$2:$K$2501),0)),K1183)</f>
        <v>B2B</v>
      </c>
    </row>
    <row r="1184" spans="1:17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 s="3">
        <f t="shared" si="90"/>
        <v>4925.58</v>
      </c>
      <c r="I1184" s="1">
        <v>45831</v>
      </c>
      <c r="J1184" t="s">
        <v>56</v>
      </c>
      <c r="K1184" t="s">
        <v>23</v>
      </c>
      <c r="L1184" s="2">
        <f t="shared" si="91"/>
        <v>2462.79</v>
      </c>
      <c r="M1184" s="4">
        <f t="shared" si="92"/>
        <v>0.53</v>
      </c>
      <c r="N1184" s="1">
        <f t="shared" si="93"/>
        <v>45831</v>
      </c>
      <c r="O1184" s="3">
        <f>(Table13[[#This Row],[Units_Sold]]*Table13[[#This Row],[Unit_Price_Cleaned]]*(1-Table13[[#This Row],[Discount Cleaned]]))</f>
        <v>2315.0225999999998</v>
      </c>
      <c r="P1184" t="str">
        <f t="shared" si="94"/>
        <v>Profit</v>
      </c>
      <c r="Q1184" t="str" cm="1">
        <f t="array" ref="Q1184">IF(K1184="",INDEX($K$2:$K$2501,MATCH(MAX(COUNTIF($K$2:$K$2501,$K$2:$K$2501)),COUNTIF($K$2:$K$2501,$K$2:$K$2501),0)),K1184)</f>
        <v>B2B</v>
      </c>
    </row>
    <row r="1185" spans="1:17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 s="3">
        <f t="shared" si="90"/>
        <v>-2664.78</v>
      </c>
      <c r="I1185" s="1">
        <v>45433</v>
      </c>
      <c r="J1185" t="s">
        <v>40</v>
      </c>
      <c r="L1185" s="2">
        <f t="shared" si="91"/>
        <v>1332.39</v>
      </c>
      <c r="M1185" s="4">
        <f t="shared" si="92"/>
        <v>1.0900000000000001</v>
      </c>
      <c r="N1185" s="1">
        <f t="shared" si="93"/>
        <v>45433</v>
      </c>
      <c r="O1185" s="3">
        <f>(Table13[[#This Row],[Units_Sold]]*Table13[[#This Row],[Unit_Price_Cleaned]]*(1-Table13[[#This Row],[Discount Cleaned]]))</f>
        <v>239.83020000000022</v>
      </c>
      <c r="P1185" t="str">
        <f t="shared" si="94"/>
        <v>Loss</v>
      </c>
      <c r="Q1185" t="str" cm="1">
        <f t="array" ref="Q1185">IF(K1185="",INDEX($K$2:$K$2501,MATCH(MAX(COUNTIF($K$2:$K$2501,$K$2:$K$2501)),COUNTIF($K$2:$K$2501,$K$2:$K$2501),0)),K1185)</f>
        <v>B2B</v>
      </c>
    </row>
    <row r="1186" spans="1:17" x14ac:dyDescent="0.3">
      <c r="A1186">
        <v>2184</v>
      </c>
      <c r="B1186" t="s">
        <v>1226</v>
      </c>
      <c r="C1186" t="s">
        <v>25</v>
      </c>
      <c r="D1186" t="s">
        <v>54</v>
      </c>
      <c r="E1186">
        <v>2</v>
      </c>
      <c r="F1186">
        <v>1001.57</v>
      </c>
      <c r="H1186" s="3">
        <f t="shared" si="90"/>
        <v>2003.14</v>
      </c>
      <c r="I1186" s="1">
        <v>45846</v>
      </c>
      <c r="J1186" t="s">
        <v>56</v>
      </c>
      <c r="K1186" t="s">
        <v>16</v>
      </c>
      <c r="L1186" s="2">
        <f t="shared" si="91"/>
        <v>1001.57</v>
      </c>
      <c r="M1186" s="4">
        <f t="shared" si="92"/>
        <v>0.6</v>
      </c>
      <c r="N1186" s="1">
        <f t="shared" si="93"/>
        <v>45846</v>
      </c>
      <c r="O1186" s="3">
        <f>(Table13[[#This Row],[Units_Sold]]*Table13[[#This Row],[Unit_Price_Cleaned]]*(1-Table13[[#This Row],[Discount Cleaned]]))</f>
        <v>801.25600000000009</v>
      </c>
      <c r="P1186" t="str">
        <f t="shared" si="94"/>
        <v>Profit</v>
      </c>
      <c r="Q1186" t="str" cm="1">
        <f t="array" ref="Q1186">IF(K1186="",INDEX($K$2:$K$2501,MATCH(MAX(COUNTIF($K$2:$K$2501,$K$2:$K$2501)),COUNTIF($K$2:$K$2501,$K$2:$K$2501),0)),K1186)</f>
        <v>B2C</v>
      </c>
    </row>
    <row r="1187" spans="1:17" x14ac:dyDescent="0.3">
      <c r="A1187">
        <v>2185</v>
      </c>
      <c r="B1187" t="s">
        <v>1227</v>
      </c>
      <c r="C1187" t="s">
        <v>20</v>
      </c>
      <c r="D1187" t="s">
        <v>88</v>
      </c>
      <c r="E1187">
        <v>2</v>
      </c>
      <c r="G1187">
        <v>0.14000000000000001</v>
      </c>
      <c r="H1187" s="3">
        <f t="shared" si="90"/>
        <v>5451.7114285714297</v>
      </c>
      <c r="J1187" t="s">
        <v>46</v>
      </c>
      <c r="L1187" s="2">
        <f t="shared" si="91"/>
        <v>2725.8557142857148</v>
      </c>
      <c r="M1187" s="4">
        <f t="shared" si="92"/>
        <v>0.14000000000000001</v>
      </c>
      <c r="N1187" s="1">
        <f t="shared" si="93"/>
        <v>45782</v>
      </c>
      <c r="O1187" s="3">
        <f>(Table13[[#This Row],[Units_Sold]]*Table13[[#This Row],[Unit_Price_Cleaned]]*(1-Table13[[#This Row],[Discount Cleaned]]))</f>
        <v>4688.4718285714298</v>
      </c>
      <c r="P1187" t="str">
        <f t="shared" si="94"/>
        <v>Profit</v>
      </c>
      <c r="Q1187" t="str" cm="1">
        <f t="array" ref="Q1187">IF(K1187="",INDEX($K$2:$K$2501,MATCH(MAX(COUNTIF($K$2:$K$2501,$K$2:$K$2501)),COUNTIF($K$2:$K$2501,$K$2:$K$2501),0)),K1187)</f>
        <v>B2B</v>
      </c>
    </row>
    <row r="1188" spans="1:17" x14ac:dyDescent="0.3">
      <c r="A1188">
        <v>2186</v>
      </c>
      <c r="B1188" t="s">
        <v>1228</v>
      </c>
      <c r="C1188" t="s">
        <v>29</v>
      </c>
      <c r="D1188" t="s">
        <v>30</v>
      </c>
      <c r="E1188">
        <v>2</v>
      </c>
      <c r="F1188">
        <v>2036.71</v>
      </c>
      <c r="H1188" s="3">
        <f t="shared" si="90"/>
        <v>4073.42</v>
      </c>
      <c r="J1188" t="s">
        <v>15</v>
      </c>
      <c r="K1188" t="s">
        <v>23</v>
      </c>
      <c r="L1188" s="2">
        <f t="shared" si="91"/>
        <v>2036.71</v>
      </c>
      <c r="M1188" s="4">
        <f t="shared" si="92"/>
        <v>0.6</v>
      </c>
      <c r="N1188" s="1">
        <f t="shared" si="93"/>
        <v>45782</v>
      </c>
      <c r="O1188" s="3">
        <f>(Table13[[#This Row],[Units_Sold]]*Table13[[#This Row],[Unit_Price_Cleaned]]*(1-Table13[[#This Row],[Discount Cleaned]]))</f>
        <v>1629.3680000000002</v>
      </c>
      <c r="P1188" t="str">
        <f t="shared" si="94"/>
        <v>Profit</v>
      </c>
      <c r="Q1188" t="str" cm="1">
        <f t="array" ref="Q1188">IF(K1188="",INDEX($K$2:$K$2501,MATCH(MAX(COUNTIF($K$2:$K$2501,$K$2:$K$2501)),COUNTIF($K$2:$K$2501,$K$2:$K$2501),0)),K1188)</f>
        <v>B2B</v>
      </c>
    </row>
    <row r="1189" spans="1:17" x14ac:dyDescent="0.3">
      <c r="A1189">
        <v>2187</v>
      </c>
      <c r="B1189" t="s">
        <v>1229</v>
      </c>
      <c r="C1189" t="s">
        <v>29</v>
      </c>
      <c r="D1189" t="s">
        <v>120</v>
      </c>
      <c r="E1189">
        <v>2</v>
      </c>
      <c r="F1189">
        <v>2709.1</v>
      </c>
      <c r="G1189">
        <v>0.82</v>
      </c>
      <c r="H1189" s="3">
        <f t="shared" si="90"/>
        <v>5418.2</v>
      </c>
      <c r="I1189" s="1">
        <v>45733</v>
      </c>
      <c r="J1189" t="s">
        <v>15</v>
      </c>
      <c r="L1189" s="2">
        <f t="shared" si="91"/>
        <v>2709.1</v>
      </c>
      <c r="M1189" s="4">
        <f t="shared" si="92"/>
        <v>0.82</v>
      </c>
      <c r="N1189" s="1">
        <f t="shared" si="93"/>
        <v>45733</v>
      </c>
      <c r="O1189" s="3">
        <f>(Table13[[#This Row],[Units_Sold]]*Table13[[#This Row],[Unit_Price_Cleaned]]*(1-Table13[[#This Row],[Discount Cleaned]]))</f>
        <v>975.27600000000018</v>
      </c>
      <c r="P1189" t="str">
        <f t="shared" si="94"/>
        <v>Profit</v>
      </c>
      <c r="Q1189" t="str" cm="1">
        <f t="array" ref="Q1189">IF(K1189="",INDEX($K$2:$K$2501,MATCH(MAX(COUNTIF($K$2:$K$2501,$K$2:$K$2501)),COUNTIF($K$2:$K$2501,$K$2:$K$2501),0)),K1189)</f>
        <v>B2B</v>
      </c>
    </row>
    <row r="1190" spans="1:17" x14ac:dyDescent="0.3">
      <c r="A1190">
        <v>2188</v>
      </c>
      <c r="B1190" t="s">
        <v>1230</v>
      </c>
      <c r="C1190" t="s">
        <v>33</v>
      </c>
      <c r="D1190" t="s">
        <v>44</v>
      </c>
      <c r="E1190">
        <v>2</v>
      </c>
      <c r="F1190">
        <v>3027.66</v>
      </c>
      <c r="G1190">
        <v>1.21</v>
      </c>
      <c r="H1190" s="3">
        <f t="shared" si="90"/>
        <v>6055.32</v>
      </c>
      <c r="I1190" s="1">
        <v>45827</v>
      </c>
      <c r="J1190" t="s">
        <v>18</v>
      </c>
      <c r="K1190" t="s">
        <v>23</v>
      </c>
      <c r="L1190" s="2">
        <f t="shared" si="91"/>
        <v>3027.66</v>
      </c>
      <c r="M1190" s="4">
        <f t="shared" si="92"/>
        <v>1.21</v>
      </c>
      <c r="N1190" s="1">
        <f t="shared" si="93"/>
        <v>45827</v>
      </c>
      <c r="O1190" s="3">
        <f>(Table13[[#This Row],[Units_Sold]]*Table13[[#This Row],[Unit_Price_Cleaned]]*(1-Table13[[#This Row],[Discount Cleaned]]))</f>
        <v>-1271.6171999999997</v>
      </c>
      <c r="P1190" t="str">
        <f t="shared" si="94"/>
        <v>Loss</v>
      </c>
      <c r="Q1190" t="str" cm="1">
        <f t="array" ref="Q1190">IF(K1190="",INDEX($K$2:$K$2501,MATCH(MAX(COUNTIF($K$2:$K$2501,$K$2:$K$2501)),COUNTIF($K$2:$K$2501,$K$2:$K$2501),0)),K1190)</f>
        <v>B2B</v>
      </c>
    </row>
    <row r="1191" spans="1:17" x14ac:dyDescent="0.3">
      <c r="A1191">
        <v>2189</v>
      </c>
      <c r="B1191" t="s">
        <v>1231</v>
      </c>
      <c r="C1191" t="s">
        <v>20</v>
      </c>
      <c r="D1191" t="s">
        <v>88</v>
      </c>
      <c r="E1191">
        <v>2</v>
      </c>
      <c r="F1191">
        <v>968.53</v>
      </c>
      <c r="G1191">
        <v>0.3</v>
      </c>
      <c r="H1191" s="3">
        <f t="shared" si="90"/>
        <v>1937.06</v>
      </c>
      <c r="I1191" s="1">
        <v>45820</v>
      </c>
      <c r="J1191" t="s">
        <v>15</v>
      </c>
      <c r="K1191" t="s">
        <v>16</v>
      </c>
      <c r="L1191" s="2">
        <f t="shared" si="91"/>
        <v>968.53</v>
      </c>
      <c r="M1191" s="4">
        <f t="shared" si="92"/>
        <v>0.3</v>
      </c>
      <c r="N1191" s="1">
        <f t="shared" si="93"/>
        <v>45820</v>
      </c>
      <c r="O1191" s="3">
        <f>(Table13[[#This Row],[Units_Sold]]*Table13[[#This Row],[Unit_Price_Cleaned]]*(1-Table13[[#This Row],[Discount Cleaned]]))</f>
        <v>1355.9419999999998</v>
      </c>
      <c r="P1191" t="str">
        <f t="shared" si="94"/>
        <v>Profit</v>
      </c>
      <c r="Q1191" t="str" cm="1">
        <f t="array" ref="Q1191">IF(K1191="",INDEX($K$2:$K$2501,MATCH(MAX(COUNTIF($K$2:$K$2501,$K$2:$K$2501)),COUNTIF($K$2:$K$2501,$K$2:$K$2501),0)),K1191)</f>
        <v>B2C</v>
      </c>
    </row>
    <row r="1192" spans="1:17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 s="3">
        <f t="shared" si="90"/>
        <v>11662.5</v>
      </c>
      <c r="I1192" s="1">
        <v>45633</v>
      </c>
      <c r="J1192" t="s">
        <v>15</v>
      </c>
      <c r="L1192" s="2">
        <f t="shared" si="91"/>
        <v>3887.5</v>
      </c>
      <c r="M1192" s="4">
        <f t="shared" si="92"/>
        <v>0.6</v>
      </c>
      <c r="N1192" s="1">
        <f t="shared" si="93"/>
        <v>45633</v>
      </c>
      <c r="O1192" s="3">
        <f>(Table13[[#This Row],[Units_Sold]]*Table13[[#This Row],[Unit_Price_Cleaned]]*(1-Table13[[#This Row],[Discount Cleaned]]))</f>
        <v>4665</v>
      </c>
      <c r="P1192" t="str">
        <f t="shared" si="94"/>
        <v>Profit</v>
      </c>
      <c r="Q1192" t="str" cm="1">
        <f t="array" ref="Q1192">IF(K1192="",INDEX($K$2:$K$2501,MATCH(MAX(COUNTIF($K$2:$K$2501,$K$2:$K$2501)),COUNTIF($K$2:$K$2501,$K$2:$K$2501),0)),K1192)</f>
        <v>B2B</v>
      </c>
    </row>
    <row r="1193" spans="1:17" x14ac:dyDescent="0.3">
      <c r="A1193">
        <v>2191</v>
      </c>
      <c r="B1193" t="s">
        <v>1233</v>
      </c>
      <c r="C1193" t="s">
        <v>20</v>
      </c>
      <c r="D1193" t="s">
        <v>122</v>
      </c>
      <c r="E1193">
        <v>2</v>
      </c>
      <c r="F1193">
        <v>2267.7199999999998</v>
      </c>
      <c r="H1193" s="3">
        <f t="shared" si="90"/>
        <v>4535.4399999999996</v>
      </c>
      <c r="I1193" s="1">
        <v>45659</v>
      </c>
      <c r="J1193" t="s">
        <v>22</v>
      </c>
      <c r="K1193" t="s">
        <v>16</v>
      </c>
      <c r="L1193" s="2">
        <f t="shared" si="91"/>
        <v>2267.7199999999998</v>
      </c>
      <c r="M1193" s="4">
        <f t="shared" si="92"/>
        <v>0.6</v>
      </c>
      <c r="N1193" s="1">
        <f t="shared" si="93"/>
        <v>45659</v>
      </c>
      <c r="O1193" s="3">
        <f>(Table13[[#This Row],[Units_Sold]]*Table13[[#This Row],[Unit_Price_Cleaned]]*(1-Table13[[#This Row],[Discount Cleaned]]))</f>
        <v>1814.1759999999999</v>
      </c>
      <c r="P1193" t="str">
        <f t="shared" si="94"/>
        <v>Profit</v>
      </c>
      <c r="Q1193" t="str" cm="1">
        <f t="array" ref="Q1193">IF(K1193="",INDEX($K$2:$K$2501,MATCH(MAX(COUNTIF($K$2:$K$2501,$K$2:$K$2501)),COUNTIF($K$2:$K$2501,$K$2:$K$2501),0)),K1193)</f>
        <v>B2C</v>
      </c>
    </row>
    <row r="1194" spans="1:17" x14ac:dyDescent="0.3">
      <c r="A1194">
        <v>2192</v>
      </c>
      <c r="B1194" t="s">
        <v>932</v>
      </c>
      <c r="C1194" t="s">
        <v>29</v>
      </c>
      <c r="D1194" t="s">
        <v>30</v>
      </c>
      <c r="E1194">
        <v>2</v>
      </c>
      <c r="F1194">
        <v>4218.96</v>
      </c>
      <c r="G1194">
        <v>0.01</v>
      </c>
      <c r="H1194" s="3">
        <f t="shared" si="90"/>
        <v>8437.92</v>
      </c>
      <c r="I1194" s="1">
        <v>45328</v>
      </c>
      <c r="J1194" t="s">
        <v>46</v>
      </c>
      <c r="K1194" t="s">
        <v>23</v>
      </c>
      <c r="L1194" s="2">
        <f t="shared" si="91"/>
        <v>4218.96</v>
      </c>
      <c r="M1194" s="4">
        <f t="shared" si="92"/>
        <v>0.01</v>
      </c>
      <c r="N1194" s="1">
        <f t="shared" si="93"/>
        <v>45328</v>
      </c>
      <c r="O1194" s="3">
        <f>(Table13[[#This Row],[Units_Sold]]*Table13[[#This Row],[Unit_Price_Cleaned]]*(1-Table13[[#This Row],[Discount Cleaned]]))</f>
        <v>8353.5408000000007</v>
      </c>
      <c r="P1194" t="str">
        <f t="shared" si="94"/>
        <v>Profit</v>
      </c>
      <c r="Q1194" t="str" cm="1">
        <f t="array" ref="Q1194">IF(K1194="",INDEX($K$2:$K$2501,MATCH(MAX(COUNTIF($K$2:$K$2501,$K$2:$K$2501)),COUNTIF($K$2:$K$2501,$K$2:$K$2501),0)),K1194)</f>
        <v>B2B</v>
      </c>
    </row>
    <row r="1195" spans="1:17" x14ac:dyDescent="0.3">
      <c r="A1195">
        <v>2193</v>
      </c>
      <c r="B1195" t="s">
        <v>1234</v>
      </c>
      <c r="C1195" t="s">
        <v>20</v>
      </c>
      <c r="D1195" t="s">
        <v>122</v>
      </c>
      <c r="E1195">
        <v>2</v>
      </c>
      <c r="F1195">
        <v>2712.09</v>
      </c>
      <c r="H1195" s="3">
        <f t="shared" si="90"/>
        <v>5424.18</v>
      </c>
      <c r="I1195" s="1">
        <v>45526</v>
      </c>
      <c r="J1195" t="s">
        <v>56</v>
      </c>
      <c r="K1195" t="s">
        <v>16</v>
      </c>
      <c r="L1195" s="2">
        <f t="shared" si="91"/>
        <v>2712.09</v>
      </c>
      <c r="M1195" s="4">
        <f t="shared" si="92"/>
        <v>0.6</v>
      </c>
      <c r="N1195" s="1">
        <f t="shared" si="93"/>
        <v>45526</v>
      </c>
      <c r="O1195" s="3">
        <f>(Table13[[#This Row],[Units_Sold]]*Table13[[#This Row],[Unit_Price_Cleaned]]*(1-Table13[[#This Row],[Discount Cleaned]]))</f>
        <v>2169.672</v>
      </c>
      <c r="P1195" t="str">
        <f t="shared" si="94"/>
        <v>Profit</v>
      </c>
      <c r="Q1195" t="str" cm="1">
        <f t="array" ref="Q1195">IF(K1195="",INDEX($K$2:$K$2501,MATCH(MAX(COUNTIF($K$2:$K$2501,$K$2:$K$2501)),COUNTIF($K$2:$K$2501,$K$2:$K$2501),0)),K1195)</f>
        <v>B2C</v>
      </c>
    </row>
    <row r="1196" spans="1:17" x14ac:dyDescent="0.3">
      <c r="A1196">
        <v>2194</v>
      </c>
      <c r="B1196" t="s">
        <v>1235</v>
      </c>
      <c r="C1196" t="s">
        <v>20</v>
      </c>
      <c r="D1196" t="s">
        <v>122</v>
      </c>
      <c r="E1196">
        <v>2</v>
      </c>
      <c r="F1196">
        <v>3862.58</v>
      </c>
      <c r="H1196" s="3">
        <f t="shared" si="90"/>
        <v>7725.16</v>
      </c>
      <c r="I1196" s="1">
        <v>45855</v>
      </c>
      <c r="J1196" t="s">
        <v>18</v>
      </c>
      <c r="K1196" t="s">
        <v>23</v>
      </c>
      <c r="L1196" s="2">
        <f t="shared" si="91"/>
        <v>3862.58</v>
      </c>
      <c r="M1196" s="4">
        <f t="shared" si="92"/>
        <v>0.6</v>
      </c>
      <c r="N1196" s="1">
        <f t="shared" si="93"/>
        <v>45855</v>
      </c>
      <c r="O1196" s="3">
        <f>(Table13[[#This Row],[Units_Sold]]*Table13[[#This Row],[Unit_Price_Cleaned]]*(1-Table13[[#This Row],[Discount Cleaned]]))</f>
        <v>3090.0640000000003</v>
      </c>
      <c r="P1196" t="str">
        <f t="shared" si="94"/>
        <v>Profit</v>
      </c>
      <c r="Q1196" t="str" cm="1">
        <f t="array" ref="Q1196">IF(K1196="",INDEX($K$2:$K$2501,MATCH(MAX(COUNTIF($K$2:$K$2501,$K$2:$K$2501)),COUNTIF($K$2:$K$2501,$K$2:$K$2501),0)),K1196)</f>
        <v>B2B</v>
      </c>
    </row>
    <row r="1197" spans="1:17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 s="3">
        <f t="shared" si="90"/>
        <v>13965.04</v>
      </c>
      <c r="J1197" t="s">
        <v>56</v>
      </c>
      <c r="K1197" t="s">
        <v>16</v>
      </c>
      <c r="L1197" s="2">
        <f t="shared" si="91"/>
        <v>3491.26</v>
      </c>
      <c r="M1197" s="4">
        <f t="shared" si="92"/>
        <v>0.6</v>
      </c>
      <c r="N1197" s="1">
        <f t="shared" si="93"/>
        <v>45782</v>
      </c>
      <c r="O1197" s="3">
        <f>(Table13[[#This Row],[Units_Sold]]*Table13[[#This Row],[Unit_Price_Cleaned]]*(1-Table13[[#This Row],[Discount Cleaned]]))</f>
        <v>5586.0160000000005</v>
      </c>
      <c r="P1197" t="str">
        <f t="shared" si="94"/>
        <v>Profit</v>
      </c>
      <c r="Q1197" t="str" cm="1">
        <f t="array" ref="Q1197">IF(K1197="",INDEX($K$2:$K$2501,MATCH(MAX(COUNTIF($K$2:$K$2501,$K$2:$K$2501)),COUNTIF($K$2:$K$2501,$K$2:$K$2501),0)),K1197)</f>
        <v>B2C</v>
      </c>
    </row>
    <row r="1198" spans="1:17" x14ac:dyDescent="0.3">
      <c r="A1198">
        <v>2196</v>
      </c>
      <c r="B1198" t="s">
        <v>1237</v>
      </c>
      <c r="C1198" t="s">
        <v>38</v>
      </c>
      <c r="D1198" t="s">
        <v>39</v>
      </c>
      <c r="E1198">
        <v>2</v>
      </c>
      <c r="F1198">
        <v>3655.37</v>
      </c>
      <c r="H1198" s="3">
        <f t="shared" si="90"/>
        <v>7310.74</v>
      </c>
      <c r="I1198" s="1">
        <v>45413</v>
      </c>
      <c r="J1198" t="s">
        <v>56</v>
      </c>
      <c r="K1198" t="s">
        <v>16</v>
      </c>
      <c r="L1198" s="2">
        <f t="shared" si="91"/>
        <v>3655.37</v>
      </c>
      <c r="M1198" s="4">
        <f t="shared" si="92"/>
        <v>0.6</v>
      </c>
      <c r="N1198" s="1">
        <f t="shared" si="93"/>
        <v>45413</v>
      </c>
      <c r="O1198" s="3">
        <f>(Table13[[#This Row],[Units_Sold]]*Table13[[#This Row],[Unit_Price_Cleaned]]*(1-Table13[[#This Row],[Discount Cleaned]]))</f>
        <v>2924.2960000000003</v>
      </c>
      <c r="P1198" t="str">
        <f t="shared" si="94"/>
        <v>Profit</v>
      </c>
      <c r="Q1198" t="str" cm="1">
        <f t="array" ref="Q1198">IF(K1198="",INDEX($K$2:$K$2501,MATCH(MAX(COUNTIF($K$2:$K$2501,$K$2:$K$2501)),COUNTIF($K$2:$K$2501,$K$2:$K$2501),0)),K1198)</f>
        <v>B2C</v>
      </c>
    </row>
    <row r="1199" spans="1:17" x14ac:dyDescent="0.3">
      <c r="A1199">
        <v>2197</v>
      </c>
      <c r="B1199" t="s">
        <v>1238</v>
      </c>
      <c r="C1199" t="s">
        <v>38</v>
      </c>
      <c r="D1199" t="s">
        <v>91</v>
      </c>
      <c r="E1199">
        <v>2</v>
      </c>
      <c r="H1199" s="3">
        <f t="shared" si="90"/>
        <v>5737.5536363636356</v>
      </c>
      <c r="I1199" s="1">
        <v>45598</v>
      </c>
      <c r="J1199" t="s">
        <v>18</v>
      </c>
      <c r="K1199" t="s">
        <v>16</v>
      </c>
      <c r="L1199" s="2">
        <f t="shared" si="91"/>
        <v>2868.7768181818178</v>
      </c>
      <c r="M1199" s="4">
        <f t="shared" si="92"/>
        <v>0.6</v>
      </c>
      <c r="N1199" s="1">
        <f t="shared" si="93"/>
        <v>45598</v>
      </c>
      <c r="O1199" s="3">
        <f>(Table13[[#This Row],[Units_Sold]]*Table13[[#This Row],[Unit_Price_Cleaned]]*(1-Table13[[#This Row],[Discount Cleaned]]))</f>
        <v>2295.0214545454542</v>
      </c>
      <c r="P1199" t="str">
        <f t="shared" si="94"/>
        <v>Profit</v>
      </c>
      <c r="Q1199" t="str" cm="1">
        <f t="array" ref="Q1199">IF(K1199="",INDEX($K$2:$K$2501,MATCH(MAX(COUNTIF($K$2:$K$2501,$K$2:$K$2501)),COUNTIF($K$2:$K$2501,$K$2:$K$2501),0)),K1199)</f>
        <v>B2C</v>
      </c>
    </row>
    <row r="1200" spans="1:17" x14ac:dyDescent="0.3">
      <c r="A1200">
        <v>1004</v>
      </c>
      <c r="B1200" t="s">
        <v>1239</v>
      </c>
      <c r="C1200" t="s">
        <v>25</v>
      </c>
      <c r="D1200" t="s">
        <v>26</v>
      </c>
      <c r="E1200">
        <v>2</v>
      </c>
      <c r="G1200">
        <v>0.64</v>
      </c>
      <c r="H1200" s="3">
        <f t="shared" si="90"/>
        <v>5777.7428571428572</v>
      </c>
      <c r="I1200" s="1">
        <v>45658</v>
      </c>
      <c r="J1200" t="s">
        <v>46</v>
      </c>
      <c r="L1200" s="2">
        <f t="shared" si="91"/>
        <v>2888.8714285714286</v>
      </c>
      <c r="M1200" s="4">
        <f t="shared" si="92"/>
        <v>0.64</v>
      </c>
      <c r="N1200" s="1">
        <f t="shared" si="93"/>
        <v>45658</v>
      </c>
      <c r="O1200" s="3">
        <f>(Table13[[#This Row],[Units_Sold]]*Table13[[#This Row],[Unit_Price_Cleaned]]*(1-Table13[[#This Row],[Discount Cleaned]]))</f>
        <v>2079.9874285714286</v>
      </c>
      <c r="P1200" t="str">
        <f t="shared" si="94"/>
        <v>Profit</v>
      </c>
      <c r="Q1200" t="str" cm="1">
        <f t="array" ref="Q1200">IF(K1200="",INDEX($K$2:$K$2501,MATCH(MAX(COUNTIF($K$2:$K$2501,$K$2:$K$2501)),COUNTIF($K$2:$K$2501,$K$2:$K$2501),0)),K1200)</f>
        <v>B2B</v>
      </c>
    </row>
    <row r="1201" spans="1:17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 s="3">
        <f t="shared" si="90"/>
        <v>14922.23769230769</v>
      </c>
      <c r="I1201" s="1">
        <v>45815</v>
      </c>
      <c r="J1201" t="s">
        <v>56</v>
      </c>
      <c r="K1201" t="s">
        <v>23</v>
      </c>
      <c r="L1201" s="2">
        <f t="shared" si="91"/>
        <v>2487.039615384615</v>
      </c>
      <c r="M1201" s="4">
        <f t="shared" si="92"/>
        <v>0.6</v>
      </c>
      <c r="N1201" s="1">
        <f t="shared" si="93"/>
        <v>45815</v>
      </c>
      <c r="O1201" s="3">
        <f>(Table13[[#This Row],[Units_Sold]]*Table13[[#This Row],[Unit_Price_Cleaned]]*(1-Table13[[#This Row],[Discount Cleaned]]))</f>
        <v>5968.895076923076</v>
      </c>
      <c r="P1201" t="str">
        <f t="shared" si="94"/>
        <v>Profit</v>
      </c>
      <c r="Q1201" t="str" cm="1">
        <f t="array" ref="Q1201">IF(K1201="",INDEX($K$2:$K$2501,MATCH(MAX(COUNTIF($K$2:$K$2501,$K$2:$K$2501)),COUNTIF($K$2:$K$2501,$K$2:$K$2501),0)),K1201)</f>
        <v>B2B</v>
      </c>
    </row>
    <row r="1202" spans="1:17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 s="3">
        <f t="shared" si="90"/>
        <v>-1346.11</v>
      </c>
      <c r="J1202" t="s">
        <v>22</v>
      </c>
      <c r="L1202" s="2">
        <f t="shared" si="91"/>
        <v>1346.11</v>
      </c>
      <c r="M1202" s="4">
        <f t="shared" si="92"/>
        <v>0.72</v>
      </c>
      <c r="N1202" s="1">
        <f t="shared" si="93"/>
        <v>45782</v>
      </c>
      <c r="O1202" s="3">
        <f>(Table13[[#This Row],[Units_Sold]]*Table13[[#This Row],[Unit_Price_Cleaned]]*(1-Table13[[#This Row],[Discount Cleaned]]))</f>
        <v>-376.91079999999999</v>
      </c>
      <c r="P1202" t="str">
        <f t="shared" si="94"/>
        <v>Loss</v>
      </c>
      <c r="Q1202" t="str" cm="1">
        <f t="array" ref="Q1202">IF(K1202="",INDEX($K$2:$K$2501,MATCH(MAX(COUNTIF($K$2:$K$2501,$K$2:$K$2501)),COUNTIF($K$2:$K$2501,$K$2:$K$2501),0)),K1202)</f>
        <v>B2B</v>
      </c>
    </row>
    <row r="1203" spans="1:17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 s="3">
        <f t="shared" si="90"/>
        <v>-2845.2419672131159</v>
      </c>
      <c r="J1203" t="s">
        <v>40</v>
      </c>
      <c r="K1203" t="s">
        <v>23</v>
      </c>
      <c r="L1203" s="2">
        <f t="shared" si="91"/>
        <v>2845.2419672131159</v>
      </c>
      <c r="M1203" s="4">
        <f t="shared" si="92"/>
        <v>0.6</v>
      </c>
      <c r="N1203" s="1">
        <f t="shared" si="93"/>
        <v>45782</v>
      </c>
      <c r="O1203" s="3">
        <f>(Table13[[#This Row],[Units_Sold]]*Table13[[#This Row],[Unit_Price_Cleaned]]*(1-Table13[[#This Row],[Discount Cleaned]]))</f>
        <v>-1138.0967868852465</v>
      </c>
      <c r="P1203" t="str">
        <f t="shared" si="94"/>
        <v>Loss</v>
      </c>
      <c r="Q1203" t="str" cm="1">
        <f t="array" ref="Q1203">IF(K1203="",INDEX($K$2:$K$2501,MATCH(MAX(COUNTIF($K$2:$K$2501,$K$2:$K$2501)),COUNTIF($K$2:$K$2501,$K$2:$K$2501),0)),K1203)</f>
        <v>B2B</v>
      </c>
    </row>
    <row r="1204" spans="1:17" x14ac:dyDescent="0.3">
      <c r="A1204">
        <v>2202</v>
      </c>
      <c r="B1204" t="s">
        <v>1243</v>
      </c>
      <c r="C1204" t="s">
        <v>13</v>
      </c>
      <c r="D1204" t="s">
        <v>49</v>
      </c>
      <c r="E1204">
        <v>2</v>
      </c>
      <c r="G1204">
        <v>0.92</v>
      </c>
      <c r="H1204" s="3">
        <f t="shared" si="90"/>
        <v>5570.1755932203387</v>
      </c>
      <c r="I1204" s="1">
        <v>45314</v>
      </c>
      <c r="J1204" t="s">
        <v>18</v>
      </c>
      <c r="K1204" t="s">
        <v>16</v>
      </c>
      <c r="L1204" s="2">
        <f t="shared" si="91"/>
        <v>2785.0877966101693</v>
      </c>
      <c r="M1204" s="4">
        <f t="shared" si="92"/>
        <v>0.92</v>
      </c>
      <c r="N1204" s="1">
        <f t="shared" si="93"/>
        <v>45314</v>
      </c>
      <c r="O1204" s="3">
        <f>(Table13[[#This Row],[Units_Sold]]*Table13[[#This Row],[Unit_Price_Cleaned]]*(1-Table13[[#This Row],[Discount Cleaned]]))</f>
        <v>445.6140474576269</v>
      </c>
      <c r="P1204" t="str">
        <f t="shared" si="94"/>
        <v>Loss</v>
      </c>
      <c r="Q1204" t="str" cm="1">
        <f t="array" ref="Q1204">IF(K1204="",INDEX($K$2:$K$2501,MATCH(MAX(COUNTIF($K$2:$K$2501,$K$2:$K$2501)),COUNTIF($K$2:$K$2501,$K$2:$K$2501),0)),K1204)</f>
        <v>B2C</v>
      </c>
    </row>
    <row r="1205" spans="1:17" x14ac:dyDescent="0.3">
      <c r="A1205">
        <v>2203</v>
      </c>
      <c r="B1205" t="s">
        <v>1244</v>
      </c>
      <c r="C1205" t="s">
        <v>38</v>
      </c>
      <c r="D1205" t="s">
        <v>59</v>
      </c>
      <c r="E1205">
        <v>2</v>
      </c>
      <c r="F1205">
        <v>1611.02</v>
      </c>
      <c r="H1205" s="3">
        <f t="shared" si="90"/>
        <v>3222.04</v>
      </c>
      <c r="I1205" s="1">
        <v>45843</v>
      </c>
      <c r="J1205" t="s">
        <v>46</v>
      </c>
      <c r="K1205" t="s">
        <v>16</v>
      </c>
      <c r="L1205" s="2">
        <f t="shared" si="91"/>
        <v>1611.02</v>
      </c>
      <c r="M1205" s="4">
        <f t="shared" si="92"/>
        <v>0.6</v>
      </c>
      <c r="N1205" s="1">
        <f t="shared" si="93"/>
        <v>45843</v>
      </c>
      <c r="O1205" s="3">
        <f>(Table13[[#This Row],[Units_Sold]]*Table13[[#This Row],[Unit_Price_Cleaned]]*(1-Table13[[#This Row],[Discount Cleaned]]))</f>
        <v>1288.816</v>
      </c>
      <c r="P1205" t="str">
        <f t="shared" si="94"/>
        <v>Profit</v>
      </c>
      <c r="Q1205" t="str" cm="1">
        <f t="array" ref="Q1205">IF(K1205="",INDEX($K$2:$K$2501,MATCH(MAX(COUNTIF($K$2:$K$2501,$K$2:$K$2501)),COUNTIF($K$2:$K$2501,$K$2:$K$2501),0)),K1205)</f>
        <v>B2C</v>
      </c>
    </row>
    <row r="1206" spans="1:17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 s="3">
        <f t="shared" si="90"/>
        <v>5060.7673076923093</v>
      </c>
      <c r="J1206" t="s">
        <v>40</v>
      </c>
      <c r="L1206" s="2">
        <f t="shared" si="91"/>
        <v>2530.3836538461546</v>
      </c>
      <c r="M1206" s="4">
        <f t="shared" si="92"/>
        <v>0.6</v>
      </c>
      <c r="N1206" s="1">
        <f t="shared" si="93"/>
        <v>45782</v>
      </c>
      <c r="O1206" s="3">
        <f>(Table13[[#This Row],[Units_Sold]]*Table13[[#This Row],[Unit_Price_Cleaned]]*(1-Table13[[#This Row],[Discount Cleaned]]))</f>
        <v>2024.3069230769238</v>
      </c>
      <c r="P1206" t="str">
        <f t="shared" si="94"/>
        <v>Profit</v>
      </c>
      <c r="Q1206" t="str" cm="1">
        <f t="array" ref="Q1206">IF(K1206="",INDEX($K$2:$K$2501,MATCH(MAX(COUNTIF($K$2:$K$2501,$K$2:$K$2501)),COUNTIF($K$2:$K$2501,$K$2:$K$2501),0)),K1206)</f>
        <v>B2B</v>
      </c>
    </row>
    <row r="1207" spans="1:17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 s="3">
        <f t="shared" si="90"/>
        <v>-5552.4404000000004</v>
      </c>
      <c r="I1207" s="1">
        <v>45270</v>
      </c>
      <c r="J1207" t="s">
        <v>56</v>
      </c>
      <c r="K1207" t="s">
        <v>16</v>
      </c>
      <c r="L1207" s="2">
        <f t="shared" si="91"/>
        <v>2776.2202000000002</v>
      </c>
      <c r="M1207" s="4">
        <f t="shared" si="92"/>
        <v>0.14000000000000001</v>
      </c>
      <c r="N1207" s="1">
        <f t="shared" si="93"/>
        <v>45270</v>
      </c>
      <c r="O1207" s="3">
        <f>(Table13[[#This Row],[Units_Sold]]*Table13[[#This Row],[Unit_Price_Cleaned]]*(1-Table13[[#This Row],[Discount Cleaned]]))</f>
        <v>-4775.0987439999999</v>
      </c>
      <c r="P1207" t="str">
        <f t="shared" si="94"/>
        <v>Loss</v>
      </c>
      <c r="Q1207" t="str" cm="1">
        <f t="array" ref="Q1207">IF(K1207="",INDEX($K$2:$K$2501,MATCH(MAX(COUNTIF($K$2:$K$2501,$K$2:$K$2501)),COUNTIF($K$2:$K$2501,$K$2:$K$2501),0)),K1207)</f>
        <v>B2C</v>
      </c>
    </row>
    <row r="1208" spans="1:17" x14ac:dyDescent="0.3">
      <c r="A1208">
        <v>2206</v>
      </c>
      <c r="B1208" t="s">
        <v>801</v>
      </c>
      <c r="C1208" t="s">
        <v>29</v>
      </c>
      <c r="D1208" t="s">
        <v>120</v>
      </c>
      <c r="E1208">
        <v>2</v>
      </c>
      <c r="F1208">
        <v>2349.3000000000002</v>
      </c>
      <c r="G1208">
        <v>0.18</v>
      </c>
      <c r="H1208" s="3">
        <f t="shared" si="90"/>
        <v>4698.6000000000004</v>
      </c>
      <c r="I1208" s="1">
        <v>45705</v>
      </c>
      <c r="J1208" t="s">
        <v>15</v>
      </c>
      <c r="L1208" s="2">
        <f t="shared" si="91"/>
        <v>2349.3000000000002</v>
      </c>
      <c r="M1208" s="4">
        <f t="shared" si="92"/>
        <v>0.18</v>
      </c>
      <c r="N1208" s="1">
        <f t="shared" si="93"/>
        <v>45705</v>
      </c>
      <c r="O1208" s="3">
        <f>(Table13[[#This Row],[Units_Sold]]*Table13[[#This Row],[Unit_Price_Cleaned]]*(1-Table13[[#This Row],[Discount Cleaned]]))</f>
        <v>3852.8520000000008</v>
      </c>
      <c r="P1208" t="str">
        <f t="shared" si="94"/>
        <v>Profit</v>
      </c>
      <c r="Q1208" t="str" cm="1">
        <f t="array" ref="Q1208">IF(K1208="",INDEX($K$2:$K$2501,MATCH(MAX(COUNTIF($K$2:$K$2501,$K$2:$K$2501)),COUNTIF($K$2:$K$2501,$K$2:$K$2501),0)),K1208)</f>
        <v>B2B</v>
      </c>
    </row>
    <row r="1209" spans="1:17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 s="3">
        <f t="shared" si="90"/>
        <v>6438.2100000000009</v>
      </c>
      <c r="J1209" t="s">
        <v>46</v>
      </c>
      <c r="K1209" t="s">
        <v>16</v>
      </c>
      <c r="L1209" s="2">
        <f t="shared" si="91"/>
        <v>2146.0700000000002</v>
      </c>
      <c r="M1209" s="4">
        <f t="shared" si="92"/>
        <v>0.6</v>
      </c>
      <c r="N1209" s="1">
        <f t="shared" si="93"/>
        <v>45782</v>
      </c>
      <c r="O1209" s="3">
        <f>(Table13[[#This Row],[Units_Sold]]*Table13[[#This Row],[Unit_Price_Cleaned]]*(1-Table13[[#This Row],[Discount Cleaned]]))</f>
        <v>2575.2840000000006</v>
      </c>
      <c r="P1209" t="str">
        <f t="shared" si="94"/>
        <v>Profit</v>
      </c>
      <c r="Q1209" t="str" cm="1">
        <f t="array" ref="Q1209">IF(K1209="",INDEX($K$2:$K$2501,MATCH(MAX(COUNTIF($K$2:$K$2501,$K$2:$K$2501)),COUNTIF($K$2:$K$2501,$K$2:$K$2501),0)),K1209)</f>
        <v>B2C</v>
      </c>
    </row>
    <row r="1210" spans="1:17" x14ac:dyDescent="0.3">
      <c r="A1210">
        <v>2208</v>
      </c>
      <c r="B1210" t="s">
        <v>1248</v>
      </c>
      <c r="C1210" t="s">
        <v>29</v>
      </c>
      <c r="D1210" t="s">
        <v>42</v>
      </c>
      <c r="E1210">
        <v>2</v>
      </c>
      <c r="H1210" s="3">
        <f t="shared" si="90"/>
        <v>5119.3334615384629</v>
      </c>
      <c r="I1210" s="1">
        <v>45703</v>
      </c>
      <c r="J1210" t="s">
        <v>46</v>
      </c>
      <c r="L1210" s="2">
        <f t="shared" si="91"/>
        <v>2559.6667307692314</v>
      </c>
      <c r="M1210" s="4">
        <f t="shared" si="92"/>
        <v>0.6</v>
      </c>
      <c r="N1210" s="1">
        <f t="shared" si="93"/>
        <v>45703</v>
      </c>
      <c r="O1210" s="3">
        <f>(Table13[[#This Row],[Units_Sold]]*Table13[[#This Row],[Unit_Price_Cleaned]]*(1-Table13[[#This Row],[Discount Cleaned]]))</f>
        <v>2047.7333846153851</v>
      </c>
      <c r="P1210" t="str">
        <f t="shared" si="94"/>
        <v>Profit</v>
      </c>
      <c r="Q1210" t="str" cm="1">
        <f t="array" ref="Q1210">IF(K1210="",INDEX($K$2:$K$2501,MATCH(MAX(COUNTIF($K$2:$K$2501,$K$2:$K$2501)),COUNTIF($K$2:$K$2501,$K$2:$K$2501),0)),K1210)</f>
        <v>B2B</v>
      </c>
    </row>
    <row r="1211" spans="1:17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 s="3">
        <f t="shared" si="90"/>
        <v>-4974.07923076923</v>
      </c>
      <c r="J1211" t="s">
        <v>46</v>
      </c>
      <c r="K1211" t="s">
        <v>23</v>
      </c>
      <c r="L1211" s="2">
        <f t="shared" si="91"/>
        <v>2487.039615384615</v>
      </c>
      <c r="M1211" s="4">
        <f t="shared" si="92"/>
        <v>0.95</v>
      </c>
      <c r="N1211" s="1">
        <f t="shared" si="93"/>
        <v>45782</v>
      </c>
      <c r="O1211" s="3">
        <f>(Table13[[#This Row],[Units_Sold]]*Table13[[#This Row],[Unit_Price_Cleaned]]*(1-Table13[[#This Row],[Discount Cleaned]]))</f>
        <v>-248.70396153846173</v>
      </c>
      <c r="P1211" t="str">
        <f t="shared" si="94"/>
        <v>Loss</v>
      </c>
      <c r="Q1211" t="str" cm="1">
        <f t="array" ref="Q1211">IF(K1211="",INDEX($K$2:$K$2501,MATCH(MAX(COUNTIF($K$2:$K$2501,$K$2:$K$2501)),COUNTIF($K$2:$K$2501,$K$2:$K$2501),0)),K1211)</f>
        <v>B2B</v>
      </c>
    </row>
    <row r="1212" spans="1:17" x14ac:dyDescent="0.3">
      <c r="A1212">
        <v>2210</v>
      </c>
      <c r="B1212" t="s">
        <v>1250</v>
      </c>
      <c r="C1212" t="s">
        <v>20</v>
      </c>
      <c r="D1212" t="s">
        <v>80</v>
      </c>
      <c r="E1212">
        <v>2</v>
      </c>
      <c r="F1212">
        <v>4368.12</v>
      </c>
      <c r="H1212" s="3">
        <f t="shared" si="90"/>
        <v>8736.24</v>
      </c>
      <c r="I1212" s="1">
        <v>45779</v>
      </c>
      <c r="J1212" t="s">
        <v>15</v>
      </c>
      <c r="K1212" t="s">
        <v>16</v>
      </c>
      <c r="L1212" s="2">
        <f t="shared" si="91"/>
        <v>4368.12</v>
      </c>
      <c r="M1212" s="4">
        <f t="shared" si="92"/>
        <v>0.6</v>
      </c>
      <c r="N1212" s="1">
        <f t="shared" si="93"/>
        <v>45779</v>
      </c>
      <c r="O1212" s="3">
        <f>(Table13[[#This Row],[Units_Sold]]*Table13[[#This Row],[Unit_Price_Cleaned]]*(1-Table13[[#This Row],[Discount Cleaned]]))</f>
        <v>3494.4960000000001</v>
      </c>
      <c r="P1212" t="str">
        <f t="shared" si="94"/>
        <v>Profit</v>
      </c>
      <c r="Q1212" t="str" cm="1">
        <f t="array" ref="Q1212">IF(K1212="",INDEX($K$2:$K$2501,MATCH(MAX(COUNTIF($K$2:$K$2501,$K$2:$K$2501)),COUNTIF($K$2:$K$2501,$K$2:$K$2501),0)),K1212)</f>
        <v>B2C</v>
      </c>
    </row>
    <row r="1213" spans="1:17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 s="3">
        <f t="shared" si="90"/>
        <v>5451.7114285714297</v>
      </c>
      <c r="I1213" s="1">
        <v>45416</v>
      </c>
      <c r="J1213" t="s">
        <v>22</v>
      </c>
      <c r="K1213" t="s">
        <v>23</v>
      </c>
      <c r="L1213" s="2">
        <f t="shared" si="91"/>
        <v>2725.8557142857148</v>
      </c>
      <c r="M1213" s="4">
        <f t="shared" si="92"/>
        <v>1.08</v>
      </c>
      <c r="N1213" s="1">
        <f t="shared" si="93"/>
        <v>45416</v>
      </c>
      <c r="O1213" s="3">
        <f>(Table13[[#This Row],[Units_Sold]]*Table13[[#This Row],[Unit_Price_Cleaned]]*(1-Table13[[#This Row],[Discount Cleaned]]))</f>
        <v>-436.13691428571474</v>
      </c>
      <c r="P1213" t="str">
        <f t="shared" si="94"/>
        <v>Loss</v>
      </c>
      <c r="Q1213" t="str" cm="1">
        <f t="array" ref="Q1213">IF(K1213="",INDEX($K$2:$K$2501,MATCH(MAX(COUNTIF($K$2:$K$2501,$K$2:$K$2501)),COUNTIF($K$2:$K$2501,$K$2:$K$2501),0)),K1213)</f>
        <v>B2B</v>
      </c>
    </row>
    <row r="1214" spans="1:17" x14ac:dyDescent="0.3">
      <c r="A1214">
        <v>1031</v>
      </c>
      <c r="B1214" t="s">
        <v>1252</v>
      </c>
      <c r="C1214" t="s">
        <v>33</v>
      </c>
      <c r="D1214" t="s">
        <v>44</v>
      </c>
      <c r="E1214">
        <v>2</v>
      </c>
      <c r="G1214">
        <v>0.57999999999999996</v>
      </c>
      <c r="H1214" s="3">
        <f t="shared" si="90"/>
        <v>5683.5261224489814</v>
      </c>
      <c r="J1214" t="s">
        <v>15</v>
      </c>
      <c r="K1214" t="s">
        <v>16</v>
      </c>
      <c r="L1214" s="2">
        <f t="shared" si="91"/>
        <v>2841.7630612244907</v>
      </c>
      <c r="M1214" s="4">
        <f t="shared" si="92"/>
        <v>0.57999999999999996</v>
      </c>
      <c r="N1214" s="1">
        <f t="shared" si="93"/>
        <v>45782</v>
      </c>
      <c r="O1214" s="3">
        <f>(Table13[[#This Row],[Units_Sold]]*Table13[[#This Row],[Unit_Price_Cleaned]]*(1-Table13[[#This Row],[Discount Cleaned]]))</f>
        <v>2387.0809714285724</v>
      </c>
      <c r="P1214" t="str">
        <f t="shared" si="94"/>
        <v>Profit</v>
      </c>
      <c r="Q1214" t="str" cm="1">
        <f t="array" ref="Q1214">IF(K1214="",INDEX($K$2:$K$2501,MATCH(MAX(COUNTIF($K$2:$K$2501,$K$2:$K$2501)),COUNTIF($K$2:$K$2501,$K$2:$K$2501),0)),K1214)</f>
        <v>B2C</v>
      </c>
    </row>
    <row r="1215" spans="1:17" x14ac:dyDescent="0.3">
      <c r="A1215">
        <v>2213</v>
      </c>
      <c r="B1215" t="s">
        <v>1253</v>
      </c>
      <c r="C1215" t="s">
        <v>13</v>
      </c>
      <c r="D1215" t="s">
        <v>36</v>
      </c>
      <c r="E1215">
        <v>2</v>
      </c>
      <c r="F1215">
        <v>2543.9299999999998</v>
      </c>
      <c r="H1215" s="3">
        <f t="shared" si="90"/>
        <v>5087.8599999999997</v>
      </c>
      <c r="I1215" s="1">
        <v>45824</v>
      </c>
      <c r="J1215" t="s">
        <v>18</v>
      </c>
      <c r="K1215" t="s">
        <v>16</v>
      </c>
      <c r="L1215" s="2">
        <f t="shared" si="91"/>
        <v>2543.9299999999998</v>
      </c>
      <c r="M1215" s="4">
        <f t="shared" si="92"/>
        <v>0.6</v>
      </c>
      <c r="N1215" s="1">
        <f t="shared" si="93"/>
        <v>45824</v>
      </c>
      <c r="O1215" s="3">
        <f>(Table13[[#This Row],[Units_Sold]]*Table13[[#This Row],[Unit_Price_Cleaned]]*(1-Table13[[#This Row],[Discount Cleaned]]))</f>
        <v>2035.144</v>
      </c>
      <c r="P1215" t="str">
        <f t="shared" si="94"/>
        <v>Profit</v>
      </c>
      <c r="Q1215" t="str" cm="1">
        <f t="array" ref="Q1215">IF(K1215="",INDEX($K$2:$K$2501,MATCH(MAX(COUNTIF($K$2:$K$2501,$K$2:$K$2501)),COUNTIF($K$2:$K$2501,$K$2:$K$2501),0)),K1215)</f>
        <v>B2C</v>
      </c>
    </row>
    <row r="1216" spans="1:17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 s="3">
        <f t="shared" si="90"/>
        <v>-4854.03</v>
      </c>
      <c r="I1216" s="1">
        <v>45577</v>
      </c>
      <c r="J1216" t="s">
        <v>18</v>
      </c>
      <c r="L1216" s="2">
        <f t="shared" si="91"/>
        <v>4854.03</v>
      </c>
      <c r="M1216" s="4">
        <f t="shared" si="92"/>
        <v>0.6</v>
      </c>
      <c r="N1216" s="1">
        <f t="shared" si="93"/>
        <v>45577</v>
      </c>
      <c r="O1216" s="3">
        <f>(Table13[[#This Row],[Units_Sold]]*Table13[[#This Row],[Unit_Price_Cleaned]]*(1-Table13[[#This Row],[Discount Cleaned]]))</f>
        <v>-1941.6120000000001</v>
      </c>
      <c r="P1216" t="str">
        <f t="shared" si="94"/>
        <v>Loss</v>
      </c>
      <c r="Q1216" t="str" cm="1">
        <f t="array" ref="Q1216">IF(K1216="",INDEX($K$2:$K$2501,MATCH(MAX(COUNTIF($K$2:$K$2501,$K$2:$K$2501)),COUNTIF($K$2:$K$2501,$K$2:$K$2501),0)),K1216)</f>
        <v>B2B</v>
      </c>
    </row>
    <row r="1217" spans="1:17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 s="3">
        <f t="shared" si="90"/>
        <v>-884.82</v>
      </c>
      <c r="J1217" t="s">
        <v>15</v>
      </c>
      <c r="K1217" t="s">
        <v>16</v>
      </c>
      <c r="L1217" s="2">
        <f t="shared" si="91"/>
        <v>442.41</v>
      </c>
      <c r="M1217" s="4">
        <f t="shared" si="92"/>
        <v>0.6</v>
      </c>
      <c r="N1217" s="1">
        <f t="shared" si="93"/>
        <v>45782</v>
      </c>
      <c r="O1217" s="3">
        <f>(Table13[[#This Row],[Units_Sold]]*Table13[[#This Row],[Unit_Price_Cleaned]]*(1-Table13[[#This Row],[Discount Cleaned]]))</f>
        <v>-353.92800000000005</v>
      </c>
      <c r="P1217" t="str">
        <f t="shared" si="94"/>
        <v>Loss</v>
      </c>
      <c r="Q1217" t="str" cm="1">
        <f t="array" ref="Q1217">IF(K1217="",INDEX($K$2:$K$2501,MATCH(MAX(COUNTIF($K$2:$K$2501,$K$2:$K$2501)),COUNTIF($K$2:$K$2501,$K$2:$K$2501),0)),K1217)</f>
        <v>B2C</v>
      </c>
    </row>
    <row r="1218" spans="1:17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 s="3">
        <f t="shared" ref="H1218:H1281" si="95">(L1218*E1218)</f>
        <v>8177.5671428571441</v>
      </c>
      <c r="I1218" s="1">
        <v>45795</v>
      </c>
      <c r="J1218" t="s">
        <v>46</v>
      </c>
      <c r="L1218" s="2">
        <f t="shared" ref="L1218:L1281" si="96">IF(F1218="",AVERAGEIF($D$2:$D$2501,D1218,$F$2:$F$2501),F1218)</f>
        <v>2725.8557142857148</v>
      </c>
      <c r="M1218" s="4">
        <f t="shared" ref="M1218:M1281" si="97">IF(G1218="",MEDIAN($G$2,$G$2501),G1218)</f>
        <v>0.05</v>
      </c>
      <c r="N1218" s="1">
        <f t="shared" ref="N1218:N1281" si="98">IF(I1218="",MODE($I$32:$I$2501),I1218)</f>
        <v>45795</v>
      </c>
      <c r="O1218" s="3">
        <f>(Table13[[#This Row],[Units_Sold]]*Table13[[#This Row],[Unit_Price_Cleaned]]*(1-Table13[[#This Row],[Discount Cleaned]]))</f>
        <v>7768.6887857142865</v>
      </c>
      <c r="P1218" t="str">
        <f t="shared" ref="P1218:P1281" si="99">IF(O1218&gt;500,"Profit","Loss")</f>
        <v>Profit</v>
      </c>
      <c r="Q1218" t="str" cm="1">
        <f t="array" ref="Q1218">IF(K1218="",INDEX($K$2:$K$2501,MATCH(MAX(COUNTIF($K$2:$K$2501,$K$2:$K$2501)),COUNTIF($K$2:$K$2501,$K$2:$K$2501),0)),K1218)</f>
        <v>B2B</v>
      </c>
    </row>
    <row r="1219" spans="1:17" x14ac:dyDescent="0.3">
      <c r="A1219">
        <v>2217</v>
      </c>
      <c r="B1219" t="s">
        <v>1257</v>
      </c>
      <c r="C1219" t="s">
        <v>13</v>
      </c>
      <c r="D1219" t="s">
        <v>102</v>
      </c>
      <c r="E1219">
        <v>2</v>
      </c>
      <c r="F1219">
        <v>1540.5</v>
      </c>
      <c r="H1219" s="3">
        <f t="shared" si="95"/>
        <v>3081</v>
      </c>
      <c r="I1219" s="1">
        <v>45639</v>
      </c>
      <c r="J1219" t="s">
        <v>22</v>
      </c>
      <c r="K1219" t="s">
        <v>23</v>
      </c>
      <c r="L1219" s="2">
        <f t="shared" si="96"/>
        <v>1540.5</v>
      </c>
      <c r="M1219" s="4">
        <f t="shared" si="97"/>
        <v>0.6</v>
      </c>
      <c r="N1219" s="1">
        <f t="shared" si="98"/>
        <v>45639</v>
      </c>
      <c r="O1219" s="3">
        <f>(Table13[[#This Row],[Units_Sold]]*Table13[[#This Row],[Unit_Price_Cleaned]]*(1-Table13[[#This Row],[Discount Cleaned]]))</f>
        <v>1232.4000000000001</v>
      </c>
      <c r="P1219" t="str">
        <f t="shared" si="99"/>
        <v>Profit</v>
      </c>
      <c r="Q1219" t="str" cm="1">
        <f t="array" ref="Q1219">IF(K1219="",INDEX($K$2:$K$2501,MATCH(MAX(COUNTIF($K$2:$K$2501,$K$2:$K$2501)),COUNTIF($K$2:$K$2501,$K$2:$K$2501),0)),K1219)</f>
        <v>B2B</v>
      </c>
    </row>
    <row r="1220" spans="1:17" x14ac:dyDescent="0.3">
      <c r="A1220">
        <v>2218</v>
      </c>
      <c r="B1220" t="s">
        <v>1258</v>
      </c>
      <c r="C1220" t="s">
        <v>13</v>
      </c>
      <c r="D1220" t="s">
        <v>102</v>
      </c>
      <c r="E1220">
        <v>2</v>
      </c>
      <c r="H1220" s="3">
        <f t="shared" si="95"/>
        <v>5152.6113793103432</v>
      </c>
      <c r="I1220" s="1">
        <v>45680</v>
      </c>
      <c r="J1220" t="s">
        <v>56</v>
      </c>
      <c r="K1220" t="s">
        <v>23</v>
      </c>
      <c r="L1220" s="2">
        <f t="shared" si="96"/>
        <v>2576.3056896551716</v>
      </c>
      <c r="M1220" s="4">
        <f t="shared" si="97"/>
        <v>0.6</v>
      </c>
      <c r="N1220" s="1">
        <f t="shared" si="98"/>
        <v>45680</v>
      </c>
      <c r="O1220" s="3">
        <f>(Table13[[#This Row],[Units_Sold]]*Table13[[#This Row],[Unit_Price_Cleaned]]*(1-Table13[[#This Row],[Discount Cleaned]]))</f>
        <v>2061.0445517241374</v>
      </c>
      <c r="P1220" t="str">
        <f t="shared" si="99"/>
        <v>Profit</v>
      </c>
      <c r="Q1220" t="str" cm="1">
        <f t="array" ref="Q1220">IF(K1220="",INDEX($K$2:$K$2501,MATCH(MAX(COUNTIF($K$2:$K$2501,$K$2:$K$2501)),COUNTIF($K$2:$K$2501,$K$2:$K$2501),0)),K1220)</f>
        <v>B2B</v>
      </c>
    </row>
    <row r="1221" spans="1:17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 s="3">
        <f t="shared" si="95"/>
        <v>9615.7999999999993</v>
      </c>
      <c r="I1221" s="1">
        <v>45588</v>
      </c>
      <c r="J1221" t="s">
        <v>22</v>
      </c>
      <c r="K1221" t="s">
        <v>16</v>
      </c>
      <c r="L1221" s="2">
        <f t="shared" si="96"/>
        <v>2403.9499999999998</v>
      </c>
      <c r="M1221" s="4">
        <f t="shared" si="97"/>
        <v>0.6</v>
      </c>
      <c r="N1221" s="1">
        <f t="shared" si="98"/>
        <v>45588</v>
      </c>
      <c r="O1221" s="3">
        <f>(Table13[[#This Row],[Units_Sold]]*Table13[[#This Row],[Unit_Price_Cleaned]]*(1-Table13[[#This Row],[Discount Cleaned]]))</f>
        <v>3846.3199999999997</v>
      </c>
      <c r="P1221" t="str">
        <f t="shared" si="99"/>
        <v>Profit</v>
      </c>
      <c r="Q1221" t="str" cm="1">
        <f t="array" ref="Q1221">IF(K1221="",INDEX($K$2:$K$2501,MATCH(MAX(COUNTIF($K$2:$K$2501,$K$2:$K$2501)),COUNTIF($K$2:$K$2501,$K$2:$K$2501),0)),K1221)</f>
        <v>B2C</v>
      </c>
    </row>
    <row r="1222" spans="1:17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 s="3">
        <f t="shared" si="95"/>
        <v>-2170.71</v>
      </c>
      <c r="I1222" s="1">
        <v>45810</v>
      </c>
      <c r="J1222" t="s">
        <v>40</v>
      </c>
      <c r="L1222" s="2">
        <f t="shared" si="96"/>
        <v>2170.71</v>
      </c>
      <c r="M1222" s="4">
        <f t="shared" si="97"/>
        <v>0.57999999999999996</v>
      </c>
      <c r="N1222" s="1">
        <f t="shared" si="98"/>
        <v>45810</v>
      </c>
      <c r="O1222" s="3">
        <f>(Table13[[#This Row],[Units_Sold]]*Table13[[#This Row],[Unit_Price_Cleaned]]*(1-Table13[[#This Row],[Discount Cleaned]]))</f>
        <v>-911.69820000000016</v>
      </c>
      <c r="P1222" t="str">
        <f t="shared" si="99"/>
        <v>Loss</v>
      </c>
      <c r="Q1222" t="str" cm="1">
        <f t="array" ref="Q1222">IF(K1222="",INDEX($K$2:$K$2501,MATCH(MAX(COUNTIF($K$2:$K$2501,$K$2:$K$2501)),COUNTIF($K$2:$K$2501,$K$2:$K$2501),0)),K1222)</f>
        <v>B2B</v>
      </c>
    </row>
    <row r="1223" spans="1:17" x14ac:dyDescent="0.3">
      <c r="A1223">
        <v>2221</v>
      </c>
      <c r="B1223" t="s">
        <v>468</v>
      </c>
      <c r="C1223" t="s">
        <v>33</v>
      </c>
      <c r="D1223" t="s">
        <v>34</v>
      </c>
      <c r="E1223">
        <v>2</v>
      </c>
      <c r="F1223">
        <v>1762.23</v>
      </c>
      <c r="H1223" s="3">
        <f t="shared" si="95"/>
        <v>3524.46</v>
      </c>
      <c r="I1223" s="1">
        <v>45560</v>
      </c>
      <c r="J1223" t="s">
        <v>40</v>
      </c>
      <c r="K1223" t="s">
        <v>16</v>
      </c>
      <c r="L1223" s="2">
        <f t="shared" si="96"/>
        <v>1762.23</v>
      </c>
      <c r="M1223" s="4">
        <f t="shared" si="97"/>
        <v>0.6</v>
      </c>
      <c r="N1223" s="1">
        <f t="shared" si="98"/>
        <v>45560</v>
      </c>
      <c r="O1223" s="3">
        <f>(Table13[[#This Row],[Units_Sold]]*Table13[[#This Row],[Unit_Price_Cleaned]]*(1-Table13[[#This Row],[Discount Cleaned]]))</f>
        <v>1409.7840000000001</v>
      </c>
      <c r="P1223" t="str">
        <f t="shared" si="99"/>
        <v>Profit</v>
      </c>
      <c r="Q1223" t="str" cm="1">
        <f t="array" ref="Q1223">IF(K1223="",INDEX($K$2:$K$2501,MATCH(MAX(COUNTIF($K$2:$K$2501,$K$2:$K$2501)),COUNTIF($K$2:$K$2501,$K$2:$K$2501),0)),K1223)</f>
        <v>B2C</v>
      </c>
    </row>
    <row r="1224" spans="1:17" x14ac:dyDescent="0.3">
      <c r="A1224">
        <v>2222</v>
      </c>
      <c r="B1224" t="s">
        <v>1261</v>
      </c>
      <c r="C1224" t="s">
        <v>38</v>
      </c>
      <c r="D1224" t="s">
        <v>63</v>
      </c>
      <c r="E1224">
        <v>2</v>
      </c>
      <c r="F1224">
        <v>2161.8000000000002</v>
      </c>
      <c r="H1224" s="3">
        <f t="shared" si="95"/>
        <v>4323.6000000000004</v>
      </c>
      <c r="J1224" t="s">
        <v>18</v>
      </c>
      <c r="K1224" t="s">
        <v>23</v>
      </c>
      <c r="L1224" s="2">
        <f t="shared" si="96"/>
        <v>2161.8000000000002</v>
      </c>
      <c r="M1224" s="4">
        <f t="shared" si="97"/>
        <v>0.6</v>
      </c>
      <c r="N1224" s="1">
        <f t="shared" si="98"/>
        <v>45782</v>
      </c>
      <c r="O1224" s="3">
        <f>(Table13[[#This Row],[Units_Sold]]*Table13[[#This Row],[Unit_Price_Cleaned]]*(1-Table13[[#This Row],[Discount Cleaned]]))</f>
        <v>1729.4400000000003</v>
      </c>
      <c r="P1224" t="str">
        <f t="shared" si="99"/>
        <v>Profit</v>
      </c>
      <c r="Q1224" t="str" cm="1">
        <f t="array" ref="Q1224">IF(K1224="",INDEX($K$2:$K$2501,MATCH(MAX(COUNTIF($K$2:$K$2501,$K$2:$K$2501)),COUNTIF($K$2:$K$2501,$K$2:$K$2501),0)),K1224)</f>
        <v>B2B</v>
      </c>
    </row>
    <row r="1225" spans="1:17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 s="3">
        <f t="shared" si="95"/>
        <v>-3445.9</v>
      </c>
      <c r="I1225" s="1">
        <v>45654</v>
      </c>
      <c r="J1225" t="s">
        <v>22</v>
      </c>
      <c r="K1225" t="s">
        <v>23</v>
      </c>
      <c r="L1225" s="2">
        <f t="shared" si="96"/>
        <v>3445.9</v>
      </c>
      <c r="M1225" s="4">
        <f t="shared" si="97"/>
        <v>0.81</v>
      </c>
      <c r="N1225" s="1">
        <f t="shared" si="98"/>
        <v>45654</v>
      </c>
      <c r="O1225" s="3">
        <f>(Table13[[#This Row],[Units_Sold]]*Table13[[#This Row],[Unit_Price_Cleaned]]*(1-Table13[[#This Row],[Discount Cleaned]]))</f>
        <v>-654.72099999999989</v>
      </c>
      <c r="P1225" t="str">
        <f t="shared" si="99"/>
        <v>Loss</v>
      </c>
      <c r="Q1225" t="str" cm="1">
        <f t="array" ref="Q1225">IF(K1225="",INDEX($K$2:$K$2501,MATCH(MAX(COUNTIF($K$2:$K$2501,$K$2:$K$2501)),COUNTIF($K$2:$K$2501,$K$2:$K$2501),0)),K1225)</f>
        <v>B2B</v>
      </c>
    </row>
    <row r="1226" spans="1:17" x14ac:dyDescent="0.3">
      <c r="A1226">
        <v>2224</v>
      </c>
      <c r="B1226" t="s">
        <v>1263</v>
      </c>
      <c r="C1226" t="s">
        <v>25</v>
      </c>
      <c r="D1226" t="s">
        <v>66</v>
      </c>
      <c r="E1226">
        <v>2</v>
      </c>
      <c r="H1226" s="3">
        <f t="shared" si="95"/>
        <v>5145.5528000000013</v>
      </c>
      <c r="I1226" s="1">
        <v>45621</v>
      </c>
      <c r="J1226" t="s">
        <v>18</v>
      </c>
      <c r="K1226" t="s">
        <v>23</v>
      </c>
      <c r="L1226" s="2">
        <f t="shared" si="96"/>
        <v>2572.7764000000006</v>
      </c>
      <c r="M1226" s="4">
        <f t="shared" si="97"/>
        <v>0.6</v>
      </c>
      <c r="N1226" s="1">
        <f t="shared" si="98"/>
        <v>45621</v>
      </c>
      <c r="O1226" s="3">
        <f>(Table13[[#This Row],[Units_Sold]]*Table13[[#This Row],[Unit_Price_Cleaned]]*(1-Table13[[#This Row],[Discount Cleaned]]))</f>
        <v>2058.2211200000006</v>
      </c>
      <c r="P1226" t="str">
        <f t="shared" si="99"/>
        <v>Profit</v>
      </c>
      <c r="Q1226" t="str" cm="1">
        <f t="array" ref="Q1226">IF(K1226="",INDEX($K$2:$K$2501,MATCH(MAX(COUNTIF($K$2:$K$2501,$K$2:$K$2501)),COUNTIF($K$2:$K$2501,$K$2:$K$2501),0)),K1226)</f>
        <v>B2B</v>
      </c>
    </row>
    <row r="1227" spans="1:17" x14ac:dyDescent="0.3">
      <c r="A1227">
        <v>2225</v>
      </c>
      <c r="B1227" t="s">
        <v>1264</v>
      </c>
      <c r="C1227" t="s">
        <v>29</v>
      </c>
      <c r="D1227" t="s">
        <v>141</v>
      </c>
      <c r="E1227">
        <v>2</v>
      </c>
      <c r="H1227" s="3">
        <f t="shared" si="95"/>
        <v>4925.58</v>
      </c>
      <c r="J1227" t="s">
        <v>56</v>
      </c>
      <c r="K1227" t="s">
        <v>23</v>
      </c>
      <c r="L1227" s="2">
        <f t="shared" si="96"/>
        <v>2462.79</v>
      </c>
      <c r="M1227" s="4">
        <f t="shared" si="97"/>
        <v>0.6</v>
      </c>
      <c r="N1227" s="1">
        <f t="shared" si="98"/>
        <v>45782</v>
      </c>
      <c r="O1227" s="3">
        <f>(Table13[[#This Row],[Units_Sold]]*Table13[[#This Row],[Unit_Price_Cleaned]]*(1-Table13[[#This Row],[Discount Cleaned]]))</f>
        <v>1970.232</v>
      </c>
      <c r="P1227" t="str">
        <f t="shared" si="99"/>
        <v>Profit</v>
      </c>
      <c r="Q1227" t="str" cm="1">
        <f t="array" ref="Q1227">IF(K1227="",INDEX($K$2:$K$2501,MATCH(MAX(COUNTIF($K$2:$K$2501,$K$2:$K$2501)),COUNTIF($K$2:$K$2501,$K$2:$K$2501),0)),K1227)</f>
        <v>B2B</v>
      </c>
    </row>
    <row r="1228" spans="1:17" x14ac:dyDescent="0.3">
      <c r="A1228">
        <v>2226</v>
      </c>
      <c r="B1228" t="s">
        <v>1265</v>
      </c>
      <c r="C1228" t="s">
        <v>33</v>
      </c>
      <c r="D1228" t="s">
        <v>82</v>
      </c>
      <c r="E1228">
        <v>2</v>
      </c>
      <c r="F1228">
        <v>4484.13</v>
      </c>
      <c r="G1228">
        <v>0.79</v>
      </c>
      <c r="H1228" s="3">
        <f t="shared" si="95"/>
        <v>8968.26</v>
      </c>
      <c r="J1228" t="s">
        <v>56</v>
      </c>
      <c r="K1228" t="s">
        <v>23</v>
      </c>
      <c r="L1228" s="2">
        <f t="shared" si="96"/>
        <v>4484.13</v>
      </c>
      <c r="M1228" s="4">
        <f t="shared" si="97"/>
        <v>0.79</v>
      </c>
      <c r="N1228" s="1">
        <f t="shared" si="98"/>
        <v>45782</v>
      </c>
      <c r="O1228" s="3">
        <f>(Table13[[#This Row],[Units_Sold]]*Table13[[#This Row],[Unit_Price_Cleaned]]*(1-Table13[[#This Row],[Discount Cleaned]]))</f>
        <v>1883.3345999999997</v>
      </c>
      <c r="P1228" t="str">
        <f t="shared" si="99"/>
        <v>Profit</v>
      </c>
      <c r="Q1228" t="str" cm="1">
        <f t="array" ref="Q1228">IF(K1228="",INDEX($K$2:$K$2501,MATCH(MAX(COUNTIF($K$2:$K$2501,$K$2:$K$2501)),COUNTIF($K$2:$K$2501,$K$2:$K$2501),0)),K1228)</f>
        <v>B2B</v>
      </c>
    </row>
    <row r="1229" spans="1:17" x14ac:dyDescent="0.3">
      <c r="A1229">
        <v>2227</v>
      </c>
      <c r="B1229" t="s">
        <v>1266</v>
      </c>
      <c r="C1229" t="s">
        <v>38</v>
      </c>
      <c r="D1229" t="s">
        <v>63</v>
      </c>
      <c r="E1229">
        <v>2</v>
      </c>
      <c r="H1229" s="3">
        <f t="shared" si="95"/>
        <v>5690.4839344262318</v>
      </c>
      <c r="I1229" s="1">
        <v>45846</v>
      </c>
      <c r="J1229" t="s">
        <v>46</v>
      </c>
      <c r="K1229" t="s">
        <v>23</v>
      </c>
      <c r="L1229" s="2">
        <f t="shared" si="96"/>
        <v>2845.2419672131159</v>
      </c>
      <c r="M1229" s="4">
        <f t="shared" si="97"/>
        <v>0.6</v>
      </c>
      <c r="N1229" s="1">
        <f t="shared" si="98"/>
        <v>45846</v>
      </c>
      <c r="O1229" s="3">
        <f>(Table13[[#This Row],[Units_Sold]]*Table13[[#This Row],[Unit_Price_Cleaned]]*(1-Table13[[#This Row],[Discount Cleaned]]))</f>
        <v>2276.193573770493</v>
      </c>
      <c r="P1229" t="str">
        <f t="shared" si="99"/>
        <v>Profit</v>
      </c>
      <c r="Q1229" t="str" cm="1">
        <f t="array" ref="Q1229">IF(K1229="",INDEX($K$2:$K$2501,MATCH(MAX(COUNTIF($K$2:$K$2501,$K$2:$K$2501)),COUNTIF($K$2:$K$2501,$K$2:$K$2501),0)),K1229)</f>
        <v>B2B</v>
      </c>
    </row>
    <row r="1230" spans="1:17" x14ac:dyDescent="0.3">
      <c r="A1230">
        <v>2228</v>
      </c>
      <c r="B1230" t="s">
        <v>1267</v>
      </c>
      <c r="C1230" t="s">
        <v>29</v>
      </c>
      <c r="D1230" t="s">
        <v>42</v>
      </c>
      <c r="E1230">
        <v>2</v>
      </c>
      <c r="G1230">
        <v>0.93</v>
      </c>
      <c r="H1230" s="3">
        <f t="shared" si="95"/>
        <v>5119.3334615384629</v>
      </c>
      <c r="I1230" s="1">
        <v>45675</v>
      </c>
      <c r="J1230" t="s">
        <v>56</v>
      </c>
      <c r="K1230" t="s">
        <v>16</v>
      </c>
      <c r="L1230" s="2">
        <f t="shared" si="96"/>
        <v>2559.6667307692314</v>
      </c>
      <c r="M1230" s="4">
        <f t="shared" si="97"/>
        <v>0.93</v>
      </c>
      <c r="N1230" s="1">
        <f t="shared" si="98"/>
        <v>45675</v>
      </c>
      <c r="O1230" s="3">
        <f>(Table13[[#This Row],[Units_Sold]]*Table13[[#This Row],[Unit_Price_Cleaned]]*(1-Table13[[#This Row],[Discount Cleaned]]))</f>
        <v>358.35334230769217</v>
      </c>
      <c r="P1230" t="str">
        <f t="shared" si="99"/>
        <v>Loss</v>
      </c>
      <c r="Q1230" t="str" cm="1">
        <f t="array" ref="Q1230">IF(K1230="",INDEX($K$2:$K$2501,MATCH(MAX(COUNTIF($K$2:$K$2501,$K$2:$K$2501)),COUNTIF($K$2:$K$2501,$K$2:$K$2501),0)),K1230)</f>
        <v>B2C</v>
      </c>
    </row>
    <row r="1231" spans="1:17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 s="3">
        <f t="shared" si="95"/>
        <v>2681.1743636363635</v>
      </c>
      <c r="I1231" s="1">
        <v>45495</v>
      </c>
      <c r="J1231" t="s">
        <v>22</v>
      </c>
      <c r="L1231" s="2">
        <f t="shared" si="96"/>
        <v>2681.1743636363635</v>
      </c>
      <c r="M1231" s="4">
        <f t="shared" si="97"/>
        <v>0.6</v>
      </c>
      <c r="N1231" s="1">
        <f t="shared" si="98"/>
        <v>45495</v>
      </c>
      <c r="O1231" s="3">
        <f>(Table13[[#This Row],[Units_Sold]]*Table13[[#This Row],[Unit_Price_Cleaned]]*(1-Table13[[#This Row],[Discount Cleaned]]))</f>
        <v>1072.4697454545455</v>
      </c>
      <c r="P1231" t="str">
        <f t="shared" si="99"/>
        <v>Profit</v>
      </c>
      <c r="Q1231" t="str" cm="1">
        <f t="array" ref="Q1231">IF(K1231="",INDEX($K$2:$K$2501,MATCH(MAX(COUNTIF($K$2:$K$2501,$K$2:$K$2501)),COUNTIF($K$2:$K$2501,$K$2:$K$2501),0)),K1231)</f>
        <v>B2B</v>
      </c>
    </row>
    <row r="1232" spans="1:17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 s="3">
        <f t="shared" si="95"/>
        <v>13573.920000000002</v>
      </c>
      <c r="I1232" s="1">
        <v>45806</v>
      </c>
      <c r="J1232" t="s">
        <v>46</v>
      </c>
      <c r="K1232" t="s">
        <v>16</v>
      </c>
      <c r="L1232" s="2">
        <f t="shared" si="96"/>
        <v>4524.6400000000003</v>
      </c>
      <c r="M1232" s="4">
        <f t="shared" si="97"/>
        <v>1.0900000000000001</v>
      </c>
      <c r="N1232" s="1">
        <f t="shared" si="98"/>
        <v>45806</v>
      </c>
      <c r="O1232" s="3">
        <f>(Table13[[#This Row],[Units_Sold]]*Table13[[#This Row],[Unit_Price_Cleaned]]*(1-Table13[[#This Row],[Discount Cleaned]]))</f>
        <v>-1221.6528000000012</v>
      </c>
      <c r="P1232" t="str">
        <f t="shared" si="99"/>
        <v>Loss</v>
      </c>
      <c r="Q1232" t="str" cm="1">
        <f t="array" ref="Q1232">IF(K1232="",INDEX($K$2:$K$2501,MATCH(MAX(COUNTIF($K$2:$K$2501,$K$2:$K$2501)),COUNTIF($K$2:$K$2501,$K$2:$K$2501),0)),K1232)</f>
        <v>B2C</v>
      </c>
    </row>
    <row r="1233" spans="1:17" x14ac:dyDescent="0.3">
      <c r="A1233">
        <v>2231</v>
      </c>
      <c r="B1233" t="s">
        <v>1270</v>
      </c>
      <c r="C1233" t="s">
        <v>25</v>
      </c>
      <c r="D1233" t="s">
        <v>26</v>
      </c>
      <c r="E1233">
        <v>2</v>
      </c>
      <c r="H1233" s="3">
        <f t="shared" si="95"/>
        <v>5777.7428571428572</v>
      </c>
      <c r="I1233" s="1">
        <v>45709</v>
      </c>
      <c r="J1233" t="s">
        <v>18</v>
      </c>
      <c r="K1233" t="s">
        <v>16</v>
      </c>
      <c r="L1233" s="2">
        <f t="shared" si="96"/>
        <v>2888.8714285714286</v>
      </c>
      <c r="M1233" s="4">
        <f t="shared" si="97"/>
        <v>0.6</v>
      </c>
      <c r="N1233" s="1">
        <f t="shared" si="98"/>
        <v>45709</v>
      </c>
      <c r="O1233" s="3">
        <f>(Table13[[#This Row],[Units_Sold]]*Table13[[#This Row],[Unit_Price_Cleaned]]*(1-Table13[[#This Row],[Discount Cleaned]]))</f>
        <v>2311.0971428571429</v>
      </c>
      <c r="P1233" t="str">
        <f t="shared" si="99"/>
        <v>Profit</v>
      </c>
      <c r="Q1233" t="str" cm="1">
        <f t="array" ref="Q1233">IF(K1233="",INDEX($K$2:$K$2501,MATCH(MAX(COUNTIF($K$2:$K$2501,$K$2:$K$2501)),COUNTIF($K$2:$K$2501,$K$2:$K$2501),0)),K1233)</f>
        <v>B2C</v>
      </c>
    </row>
    <row r="1234" spans="1:17" x14ac:dyDescent="0.3">
      <c r="A1234">
        <v>2232</v>
      </c>
      <c r="B1234" t="s">
        <v>1271</v>
      </c>
      <c r="C1234" t="s">
        <v>38</v>
      </c>
      <c r="D1234" t="s">
        <v>39</v>
      </c>
      <c r="E1234">
        <v>2</v>
      </c>
      <c r="H1234" s="3">
        <f t="shared" si="95"/>
        <v>6016.7688888888888</v>
      </c>
      <c r="I1234" s="1">
        <v>45800</v>
      </c>
      <c r="J1234" t="s">
        <v>15</v>
      </c>
      <c r="K1234" t="s">
        <v>23</v>
      </c>
      <c r="L1234" s="2">
        <f t="shared" si="96"/>
        <v>3008.3844444444444</v>
      </c>
      <c r="M1234" s="4">
        <f t="shared" si="97"/>
        <v>0.6</v>
      </c>
      <c r="N1234" s="1">
        <f t="shared" si="98"/>
        <v>45800</v>
      </c>
      <c r="O1234" s="3">
        <f>(Table13[[#This Row],[Units_Sold]]*Table13[[#This Row],[Unit_Price_Cleaned]]*(1-Table13[[#This Row],[Discount Cleaned]]))</f>
        <v>2406.7075555555557</v>
      </c>
      <c r="P1234" t="str">
        <f t="shared" si="99"/>
        <v>Profit</v>
      </c>
      <c r="Q1234" t="str" cm="1">
        <f t="array" ref="Q1234">IF(K1234="",INDEX($K$2:$K$2501,MATCH(MAX(COUNTIF($K$2:$K$2501,$K$2:$K$2501)),COUNTIF($K$2:$K$2501,$K$2:$K$2501),0)),K1234)</f>
        <v>B2B</v>
      </c>
    </row>
    <row r="1235" spans="1:17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 s="3">
        <f t="shared" si="95"/>
        <v>4604.8500000000004</v>
      </c>
      <c r="I1235" s="1">
        <v>45854</v>
      </c>
      <c r="J1235" t="s">
        <v>56</v>
      </c>
      <c r="L1235" s="2">
        <f t="shared" si="96"/>
        <v>4604.8500000000004</v>
      </c>
      <c r="M1235" s="4">
        <f t="shared" si="97"/>
        <v>0.14000000000000001</v>
      </c>
      <c r="N1235" s="1">
        <f t="shared" si="98"/>
        <v>45854</v>
      </c>
      <c r="O1235" s="3">
        <f>(Table13[[#This Row],[Units_Sold]]*Table13[[#This Row],[Unit_Price_Cleaned]]*(1-Table13[[#This Row],[Discount Cleaned]]))</f>
        <v>3960.1710000000003</v>
      </c>
      <c r="P1235" t="str">
        <f t="shared" si="99"/>
        <v>Profit</v>
      </c>
      <c r="Q1235" t="str" cm="1">
        <f t="array" ref="Q1235">IF(K1235="",INDEX($K$2:$K$2501,MATCH(MAX(COUNTIF($K$2:$K$2501,$K$2:$K$2501)),COUNTIF($K$2:$K$2501,$K$2:$K$2501),0)),K1235)</f>
        <v>B2B</v>
      </c>
    </row>
    <row r="1236" spans="1:17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 s="3">
        <f t="shared" si="95"/>
        <v>-4925.58</v>
      </c>
      <c r="I1236" s="1">
        <v>45248</v>
      </c>
      <c r="J1236" t="s">
        <v>22</v>
      </c>
      <c r="K1236" t="s">
        <v>16</v>
      </c>
      <c r="L1236" s="2">
        <f t="shared" si="96"/>
        <v>2462.79</v>
      </c>
      <c r="M1236" s="4">
        <f t="shared" si="97"/>
        <v>0.6</v>
      </c>
      <c r="N1236" s="1">
        <f t="shared" si="98"/>
        <v>45248</v>
      </c>
      <c r="O1236" s="3">
        <f>(Table13[[#This Row],[Units_Sold]]*Table13[[#This Row],[Unit_Price_Cleaned]]*(1-Table13[[#This Row],[Discount Cleaned]]))</f>
        <v>-1970.232</v>
      </c>
      <c r="P1236" t="str">
        <f t="shared" si="99"/>
        <v>Loss</v>
      </c>
      <c r="Q1236" t="str" cm="1">
        <f t="array" ref="Q1236">IF(K1236="",INDEX($K$2:$K$2501,MATCH(MAX(COUNTIF($K$2:$K$2501,$K$2:$K$2501)),COUNTIF($K$2:$K$2501,$K$2:$K$2501),0)),K1236)</f>
        <v>B2C</v>
      </c>
    </row>
    <row r="1237" spans="1:17" x14ac:dyDescent="0.3">
      <c r="A1237">
        <v>2235</v>
      </c>
      <c r="B1237" t="s">
        <v>1274</v>
      </c>
      <c r="C1237" t="s">
        <v>13</v>
      </c>
      <c r="D1237" t="s">
        <v>49</v>
      </c>
      <c r="E1237">
        <v>2</v>
      </c>
      <c r="H1237" s="3">
        <f t="shared" si="95"/>
        <v>5570.1755932203387</v>
      </c>
      <c r="I1237" s="1">
        <v>45696</v>
      </c>
      <c r="J1237" t="s">
        <v>22</v>
      </c>
      <c r="L1237" s="2">
        <f t="shared" si="96"/>
        <v>2785.0877966101693</v>
      </c>
      <c r="M1237" s="4">
        <f t="shared" si="97"/>
        <v>0.6</v>
      </c>
      <c r="N1237" s="1">
        <f t="shared" si="98"/>
        <v>45696</v>
      </c>
      <c r="O1237" s="3">
        <f>(Table13[[#This Row],[Units_Sold]]*Table13[[#This Row],[Unit_Price_Cleaned]]*(1-Table13[[#This Row],[Discount Cleaned]]))</f>
        <v>2228.0702372881356</v>
      </c>
      <c r="P1237" t="str">
        <f t="shared" si="99"/>
        <v>Profit</v>
      </c>
      <c r="Q1237" t="str" cm="1">
        <f t="array" ref="Q1237">IF(K1237="",INDEX($K$2:$K$2501,MATCH(MAX(COUNTIF($K$2:$K$2501,$K$2:$K$2501)),COUNTIF($K$2:$K$2501,$K$2:$K$2501),0)),K1237)</f>
        <v>B2B</v>
      </c>
    </row>
    <row r="1238" spans="1:17" x14ac:dyDescent="0.3">
      <c r="A1238">
        <v>2236</v>
      </c>
      <c r="B1238" t="s">
        <v>1275</v>
      </c>
      <c r="C1238" t="s">
        <v>25</v>
      </c>
      <c r="D1238" t="s">
        <v>66</v>
      </c>
      <c r="E1238">
        <v>2</v>
      </c>
      <c r="F1238">
        <v>2420.16</v>
      </c>
      <c r="H1238" s="3">
        <f t="shared" si="95"/>
        <v>4840.32</v>
      </c>
      <c r="I1238" s="1">
        <v>45800</v>
      </c>
      <c r="J1238" t="s">
        <v>15</v>
      </c>
      <c r="K1238" t="s">
        <v>16</v>
      </c>
      <c r="L1238" s="2">
        <f t="shared" si="96"/>
        <v>2420.16</v>
      </c>
      <c r="M1238" s="4">
        <f t="shared" si="97"/>
        <v>0.6</v>
      </c>
      <c r="N1238" s="1">
        <f t="shared" si="98"/>
        <v>45800</v>
      </c>
      <c r="O1238" s="3">
        <f>(Table13[[#This Row],[Units_Sold]]*Table13[[#This Row],[Unit_Price_Cleaned]]*(1-Table13[[#This Row],[Discount Cleaned]]))</f>
        <v>1936.1279999999999</v>
      </c>
      <c r="P1238" t="str">
        <f t="shared" si="99"/>
        <v>Profit</v>
      </c>
      <c r="Q1238" t="str" cm="1">
        <f t="array" ref="Q1238">IF(K1238="",INDEX($K$2:$K$2501,MATCH(MAX(COUNTIF($K$2:$K$2501,$K$2:$K$2501)),COUNTIF($K$2:$K$2501,$K$2:$K$2501),0)),K1238)</f>
        <v>B2C</v>
      </c>
    </row>
    <row r="1239" spans="1:17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 s="3">
        <f t="shared" si="95"/>
        <v>2496.17</v>
      </c>
      <c r="I1239" s="1">
        <v>45669</v>
      </c>
      <c r="J1239" t="s">
        <v>46</v>
      </c>
      <c r="K1239" t="s">
        <v>16</v>
      </c>
      <c r="L1239" s="2">
        <f t="shared" si="96"/>
        <v>2496.17</v>
      </c>
      <c r="M1239" s="4">
        <f t="shared" si="97"/>
        <v>1.1100000000000001</v>
      </c>
      <c r="N1239" s="1">
        <f t="shared" si="98"/>
        <v>45669</v>
      </c>
      <c r="O1239" s="3">
        <f>(Table13[[#This Row],[Units_Sold]]*Table13[[#This Row],[Unit_Price_Cleaned]]*(1-Table13[[#This Row],[Discount Cleaned]]))</f>
        <v>-274.57870000000025</v>
      </c>
      <c r="P1239" t="str">
        <f t="shared" si="99"/>
        <v>Loss</v>
      </c>
      <c r="Q1239" t="str" cm="1">
        <f t="array" ref="Q1239">IF(K1239="",INDEX($K$2:$K$2501,MATCH(MAX(COUNTIF($K$2:$K$2501,$K$2:$K$2501)),COUNTIF($K$2:$K$2501,$K$2:$K$2501),0)),K1239)</f>
        <v>B2C</v>
      </c>
    </row>
    <row r="1240" spans="1:17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 s="3">
        <f t="shared" si="95"/>
        <v>-4808.3500000000004</v>
      </c>
      <c r="I1240" s="1">
        <v>45744</v>
      </c>
      <c r="J1240" t="s">
        <v>18</v>
      </c>
      <c r="L1240" s="2">
        <f t="shared" si="96"/>
        <v>4808.3500000000004</v>
      </c>
      <c r="M1240" s="4">
        <f t="shared" si="97"/>
        <v>0.6</v>
      </c>
      <c r="N1240" s="1">
        <f t="shared" si="98"/>
        <v>45744</v>
      </c>
      <c r="O1240" s="3">
        <f>(Table13[[#This Row],[Units_Sold]]*Table13[[#This Row],[Unit_Price_Cleaned]]*(1-Table13[[#This Row],[Discount Cleaned]]))</f>
        <v>-1923.3400000000001</v>
      </c>
      <c r="P1240" t="str">
        <f t="shared" si="99"/>
        <v>Loss</v>
      </c>
      <c r="Q1240" t="str" cm="1">
        <f t="array" ref="Q1240">IF(K1240="",INDEX($K$2:$K$2501,MATCH(MAX(COUNTIF($K$2:$K$2501,$K$2:$K$2501)),COUNTIF($K$2:$K$2501,$K$2:$K$2501),0)),K1240)</f>
        <v>B2B</v>
      </c>
    </row>
    <row r="1241" spans="1:17" x14ac:dyDescent="0.3">
      <c r="A1241">
        <v>2239</v>
      </c>
      <c r="B1241" t="s">
        <v>1278</v>
      </c>
      <c r="C1241" t="s">
        <v>29</v>
      </c>
      <c r="D1241" t="s">
        <v>120</v>
      </c>
      <c r="E1241">
        <v>2</v>
      </c>
      <c r="F1241">
        <v>3427.66</v>
      </c>
      <c r="H1241" s="3">
        <f t="shared" si="95"/>
        <v>6855.32</v>
      </c>
      <c r="I1241" s="1">
        <v>45627</v>
      </c>
      <c r="J1241" t="s">
        <v>22</v>
      </c>
      <c r="K1241" t="s">
        <v>16</v>
      </c>
      <c r="L1241" s="2">
        <f t="shared" si="96"/>
        <v>3427.66</v>
      </c>
      <c r="M1241" s="4">
        <f t="shared" si="97"/>
        <v>0.6</v>
      </c>
      <c r="N1241" s="1">
        <f t="shared" si="98"/>
        <v>45627</v>
      </c>
      <c r="O1241" s="3">
        <f>(Table13[[#This Row],[Units_Sold]]*Table13[[#This Row],[Unit_Price_Cleaned]]*(1-Table13[[#This Row],[Discount Cleaned]]))</f>
        <v>2742.1280000000002</v>
      </c>
      <c r="P1241" t="str">
        <f t="shared" si="99"/>
        <v>Profit</v>
      </c>
      <c r="Q1241" t="str" cm="1">
        <f t="array" ref="Q1241">IF(K1241="",INDEX($K$2:$K$2501,MATCH(MAX(COUNTIF($K$2:$K$2501,$K$2:$K$2501)),COUNTIF($K$2:$K$2501,$K$2:$K$2501),0)),K1241)</f>
        <v>B2C</v>
      </c>
    </row>
    <row r="1242" spans="1:17" x14ac:dyDescent="0.3">
      <c r="A1242">
        <v>2240</v>
      </c>
      <c r="B1242" t="s">
        <v>1279</v>
      </c>
      <c r="C1242" t="s">
        <v>33</v>
      </c>
      <c r="D1242" t="s">
        <v>44</v>
      </c>
      <c r="E1242">
        <v>2</v>
      </c>
      <c r="F1242">
        <v>4205.29</v>
      </c>
      <c r="H1242" s="3">
        <f t="shared" si="95"/>
        <v>8410.58</v>
      </c>
      <c r="I1242" s="1">
        <v>45562</v>
      </c>
      <c r="J1242" t="s">
        <v>56</v>
      </c>
      <c r="L1242" s="2">
        <f t="shared" si="96"/>
        <v>4205.29</v>
      </c>
      <c r="M1242" s="4">
        <f t="shared" si="97"/>
        <v>0.6</v>
      </c>
      <c r="N1242" s="1">
        <f t="shared" si="98"/>
        <v>45562</v>
      </c>
      <c r="O1242" s="3">
        <f>(Table13[[#This Row],[Units_Sold]]*Table13[[#This Row],[Unit_Price_Cleaned]]*(1-Table13[[#This Row],[Discount Cleaned]]))</f>
        <v>3364.232</v>
      </c>
      <c r="P1242" t="str">
        <f t="shared" si="99"/>
        <v>Profit</v>
      </c>
      <c r="Q1242" t="str" cm="1">
        <f t="array" ref="Q1242">IF(K1242="",INDEX($K$2:$K$2501,MATCH(MAX(COUNTIF($K$2:$K$2501,$K$2:$K$2501)),COUNTIF($K$2:$K$2501,$K$2:$K$2501),0)),K1242)</f>
        <v>B2B</v>
      </c>
    </row>
    <row r="1243" spans="1:17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 s="3">
        <f t="shared" si="95"/>
        <v>3200.42</v>
      </c>
      <c r="J1243" t="s">
        <v>46</v>
      </c>
      <c r="L1243" s="2">
        <f t="shared" si="96"/>
        <v>1600.21</v>
      </c>
      <c r="M1243" s="4">
        <f t="shared" si="97"/>
        <v>0.6</v>
      </c>
      <c r="N1243" s="1">
        <f t="shared" si="98"/>
        <v>45782</v>
      </c>
      <c r="O1243" s="3">
        <f>(Table13[[#This Row],[Units_Sold]]*Table13[[#This Row],[Unit_Price_Cleaned]]*(1-Table13[[#This Row],[Discount Cleaned]]))</f>
        <v>1280.1680000000001</v>
      </c>
      <c r="P1243" t="str">
        <f t="shared" si="99"/>
        <v>Profit</v>
      </c>
      <c r="Q1243" t="str" cm="1">
        <f t="array" ref="Q1243">IF(K1243="",INDEX($K$2:$K$2501,MATCH(MAX(COUNTIF($K$2:$K$2501,$K$2:$K$2501)),COUNTIF($K$2:$K$2501,$K$2:$K$2501),0)),K1243)</f>
        <v>B2B</v>
      </c>
    </row>
    <row r="1244" spans="1:17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 s="3">
        <f t="shared" si="95"/>
        <v>26701.02</v>
      </c>
      <c r="I1244" s="1">
        <v>45613</v>
      </c>
      <c r="J1244" t="s">
        <v>18</v>
      </c>
      <c r="L1244" s="2">
        <f t="shared" si="96"/>
        <v>4450.17</v>
      </c>
      <c r="M1244" s="4">
        <f t="shared" si="97"/>
        <v>0.6</v>
      </c>
      <c r="N1244" s="1">
        <f t="shared" si="98"/>
        <v>45613</v>
      </c>
      <c r="O1244" s="3">
        <f>(Table13[[#This Row],[Units_Sold]]*Table13[[#This Row],[Unit_Price_Cleaned]]*(1-Table13[[#This Row],[Discount Cleaned]]))</f>
        <v>10680.408000000001</v>
      </c>
      <c r="P1244" t="str">
        <f t="shared" si="99"/>
        <v>Profit</v>
      </c>
      <c r="Q1244" t="str" cm="1">
        <f t="array" ref="Q1244">IF(K1244="",INDEX($K$2:$K$2501,MATCH(MAX(COUNTIF($K$2:$K$2501,$K$2:$K$2501)),COUNTIF($K$2:$K$2501,$K$2:$K$2501),0)),K1244)</f>
        <v>B2B</v>
      </c>
    </row>
    <row r="1245" spans="1:17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 s="3">
        <f t="shared" si="95"/>
        <v>4925.58</v>
      </c>
      <c r="I1245" s="1">
        <v>45814</v>
      </c>
      <c r="J1245" t="s">
        <v>18</v>
      </c>
      <c r="K1245" t="s">
        <v>16</v>
      </c>
      <c r="L1245" s="2">
        <f t="shared" si="96"/>
        <v>2462.79</v>
      </c>
      <c r="M1245" s="4">
        <f t="shared" si="97"/>
        <v>0.6</v>
      </c>
      <c r="N1245" s="1">
        <f t="shared" si="98"/>
        <v>45814</v>
      </c>
      <c r="O1245" s="3">
        <f>(Table13[[#This Row],[Units_Sold]]*Table13[[#This Row],[Unit_Price_Cleaned]]*(1-Table13[[#This Row],[Discount Cleaned]]))</f>
        <v>1970.232</v>
      </c>
      <c r="P1245" t="str">
        <f t="shared" si="99"/>
        <v>Profit</v>
      </c>
      <c r="Q1245" t="str" cm="1">
        <f t="array" ref="Q1245">IF(K1245="",INDEX($K$2:$K$2501,MATCH(MAX(COUNTIF($K$2:$K$2501,$K$2:$K$2501)),COUNTIF($K$2:$K$2501,$K$2:$K$2501),0)),K1245)</f>
        <v>B2C</v>
      </c>
    </row>
    <row r="1246" spans="1:17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 s="3">
        <f t="shared" si="95"/>
        <v>8412.7955769230757</v>
      </c>
      <c r="I1246" s="1">
        <v>45568</v>
      </c>
      <c r="J1246" t="s">
        <v>40</v>
      </c>
      <c r="K1246" t="s">
        <v>16</v>
      </c>
      <c r="L1246" s="2">
        <f t="shared" si="96"/>
        <v>2804.2651923076919</v>
      </c>
      <c r="M1246" s="4">
        <f t="shared" si="97"/>
        <v>0.62</v>
      </c>
      <c r="N1246" s="1">
        <f t="shared" si="98"/>
        <v>45568</v>
      </c>
      <c r="O1246" s="3">
        <f>(Table13[[#This Row],[Units_Sold]]*Table13[[#This Row],[Unit_Price_Cleaned]]*(1-Table13[[#This Row],[Discount Cleaned]]))</f>
        <v>3196.8623192307687</v>
      </c>
      <c r="P1246" t="str">
        <f t="shared" si="99"/>
        <v>Profit</v>
      </c>
      <c r="Q1246" t="str" cm="1">
        <f t="array" ref="Q1246">IF(K1246="",INDEX($K$2:$K$2501,MATCH(MAX(COUNTIF($K$2:$K$2501,$K$2:$K$2501)),COUNTIF($K$2:$K$2501,$K$2:$K$2501),0)),K1246)</f>
        <v>B2C</v>
      </c>
    </row>
    <row r="1247" spans="1:17" x14ac:dyDescent="0.3">
      <c r="A1247">
        <v>2245</v>
      </c>
      <c r="B1247" t="s">
        <v>1284</v>
      </c>
      <c r="C1247" t="s">
        <v>33</v>
      </c>
      <c r="D1247" t="s">
        <v>82</v>
      </c>
      <c r="E1247">
        <v>2</v>
      </c>
      <c r="G1247">
        <v>1.27</v>
      </c>
      <c r="H1247" s="3">
        <f t="shared" si="95"/>
        <v>5552.4404000000004</v>
      </c>
      <c r="J1247" t="s">
        <v>40</v>
      </c>
      <c r="K1247" t="s">
        <v>23</v>
      </c>
      <c r="L1247" s="2">
        <f t="shared" si="96"/>
        <v>2776.2202000000002</v>
      </c>
      <c r="M1247" s="4">
        <f t="shared" si="97"/>
        <v>1.27</v>
      </c>
      <c r="N1247" s="1">
        <f t="shared" si="98"/>
        <v>45782</v>
      </c>
      <c r="O1247" s="3">
        <f>(Table13[[#This Row],[Units_Sold]]*Table13[[#This Row],[Unit_Price_Cleaned]]*(1-Table13[[#This Row],[Discount Cleaned]]))</f>
        <v>-1499.1589080000001</v>
      </c>
      <c r="P1247" t="str">
        <f t="shared" si="99"/>
        <v>Loss</v>
      </c>
      <c r="Q1247" t="str" cm="1">
        <f t="array" ref="Q1247">IF(K1247="",INDEX($K$2:$K$2501,MATCH(MAX(COUNTIF($K$2:$K$2501,$K$2:$K$2501)),COUNTIF($K$2:$K$2501,$K$2:$K$2501),0)),K1247)</f>
        <v>B2B</v>
      </c>
    </row>
    <row r="1248" spans="1:17" x14ac:dyDescent="0.3">
      <c r="A1248">
        <v>2246</v>
      </c>
      <c r="B1248" t="s">
        <v>1285</v>
      </c>
      <c r="C1248" t="s">
        <v>25</v>
      </c>
      <c r="D1248" t="s">
        <v>66</v>
      </c>
      <c r="E1248">
        <v>2</v>
      </c>
      <c r="G1248">
        <v>1.25</v>
      </c>
      <c r="H1248" s="3">
        <f t="shared" si="95"/>
        <v>5145.5528000000013</v>
      </c>
      <c r="I1248" s="1">
        <v>45321</v>
      </c>
      <c r="J1248" t="s">
        <v>46</v>
      </c>
      <c r="L1248" s="2">
        <f t="shared" si="96"/>
        <v>2572.7764000000006</v>
      </c>
      <c r="M1248" s="4">
        <f t="shared" si="97"/>
        <v>1.25</v>
      </c>
      <c r="N1248" s="1">
        <f t="shared" si="98"/>
        <v>45321</v>
      </c>
      <c r="O1248" s="3">
        <f>(Table13[[#This Row],[Units_Sold]]*Table13[[#This Row],[Unit_Price_Cleaned]]*(1-Table13[[#This Row],[Discount Cleaned]]))</f>
        <v>-1286.3882000000003</v>
      </c>
      <c r="P1248" t="str">
        <f t="shared" si="99"/>
        <v>Loss</v>
      </c>
      <c r="Q1248" t="str" cm="1">
        <f t="array" ref="Q1248">IF(K1248="",INDEX($K$2:$K$2501,MATCH(MAX(COUNTIF($K$2:$K$2501,$K$2:$K$2501)),COUNTIF($K$2:$K$2501,$K$2:$K$2501),0)),K1248)</f>
        <v>B2B</v>
      </c>
    </row>
    <row r="1249" spans="1:17" x14ac:dyDescent="0.3">
      <c r="A1249">
        <v>2247</v>
      </c>
      <c r="B1249" t="s">
        <v>1286</v>
      </c>
      <c r="C1249" t="s">
        <v>38</v>
      </c>
      <c r="D1249" t="s">
        <v>63</v>
      </c>
      <c r="E1249">
        <v>2</v>
      </c>
      <c r="F1249">
        <v>2209.4899999999998</v>
      </c>
      <c r="H1249" s="3">
        <f t="shared" si="95"/>
        <v>4418.9799999999996</v>
      </c>
      <c r="I1249" s="1">
        <v>45769</v>
      </c>
      <c r="J1249" t="s">
        <v>56</v>
      </c>
      <c r="K1249" t="s">
        <v>16</v>
      </c>
      <c r="L1249" s="2">
        <f t="shared" si="96"/>
        <v>2209.4899999999998</v>
      </c>
      <c r="M1249" s="4">
        <f t="shared" si="97"/>
        <v>0.6</v>
      </c>
      <c r="N1249" s="1">
        <f t="shared" si="98"/>
        <v>45769</v>
      </c>
      <c r="O1249" s="3">
        <f>(Table13[[#This Row],[Units_Sold]]*Table13[[#This Row],[Unit_Price_Cleaned]]*(1-Table13[[#This Row],[Discount Cleaned]]))</f>
        <v>1767.5919999999999</v>
      </c>
      <c r="P1249" t="str">
        <f t="shared" si="99"/>
        <v>Profit</v>
      </c>
      <c r="Q1249" t="str" cm="1">
        <f t="array" ref="Q1249">IF(K1249="",INDEX($K$2:$K$2501,MATCH(MAX(COUNTIF($K$2:$K$2501,$K$2:$K$2501)),COUNTIF($K$2:$K$2501,$K$2:$K$2501),0)),K1249)</f>
        <v>B2C</v>
      </c>
    </row>
    <row r="1250" spans="1:17" x14ac:dyDescent="0.3">
      <c r="A1250">
        <v>2248</v>
      </c>
      <c r="B1250" t="s">
        <v>1287</v>
      </c>
      <c r="C1250" t="s">
        <v>13</v>
      </c>
      <c r="D1250" t="s">
        <v>49</v>
      </c>
      <c r="E1250">
        <v>2</v>
      </c>
      <c r="H1250" s="3">
        <f t="shared" si="95"/>
        <v>5570.1755932203387</v>
      </c>
      <c r="I1250" s="1">
        <v>45849</v>
      </c>
      <c r="J1250" t="s">
        <v>56</v>
      </c>
      <c r="K1250" t="s">
        <v>16</v>
      </c>
      <c r="L1250" s="2">
        <f t="shared" si="96"/>
        <v>2785.0877966101693</v>
      </c>
      <c r="M1250" s="4">
        <f t="shared" si="97"/>
        <v>0.6</v>
      </c>
      <c r="N1250" s="1">
        <f t="shared" si="98"/>
        <v>45849</v>
      </c>
      <c r="O1250" s="3">
        <f>(Table13[[#This Row],[Units_Sold]]*Table13[[#This Row],[Unit_Price_Cleaned]]*(1-Table13[[#This Row],[Discount Cleaned]]))</f>
        <v>2228.0702372881356</v>
      </c>
      <c r="P1250" t="str">
        <f t="shared" si="99"/>
        <v>Profit</v>
      </c>
      <c r="Q1250" t="str" cm="1">
        <f t="array" ref="Q1250">IF(K1250="",INDEX($K$2:$K$2501,MATCH(MAX(COUNTIF($K$2:$K$2501,$K$2:$K$2501)),COUNTIF($K$2:$K$2501,$K$2:$K$2501),0)),K1250)</f>
        <v>B2C</v>
      </c>
    </row>
    <row r="1251" spans="1:17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 s="3">
        <f t="shared" si="95"/>
        <v>2804.2651923076919</v>
      </c>
      <c r="I1251" s="1">
        <v>45398</v>
      </c>
      <c r="J1251" t="s">
        <v>22</v>
      </c>
      <c r="L1251" s="2">
        <f t="shared" si="96"/>
        <v>2804.2651923076919</v>
      </c>
      <c r="M1251" s="4">
        <f t="shared" si="97"/>
        <v>0.6</v>
      </c>
      <c r="N1251" s="1">
        <f t="shared" si="98"/>
        <v>45398</v>
      </c>
      <c r="O1251" s="3">
        <f>(Table13[[#This Row],[Units_Sold]]*Table13[[#This Row],[Unit_Price_Cleaned]]*(1-Table13[[#This Row],[Discount Cleaned]]))</f>
        <v>1121.7060769230768</v>
      </c>
      <c r="P1251" t="str">
        <f t="shared" si="99"/>
        <v>Profit</v>
      </c>
      <c r="Q1251" t="str" cm="1">
        <f t="array" ref="Q1251">IF(K1251="",INDEX($K$2:$K$2501,MATCH(MAX(COUNTIF($K$2:$K$2501,$K$2:$K$2501)),COUNTIF($K$2:$K$2501,$K$2:$K$2501),0)),K1251)</f>
        <v>B2B</v>
      </c>
    </row>
    <row r="1252" spans="1:17" x14ac:dyDescent="0.3">
      <c r="A1252">
        <v>2250</v>
      </c>
      <c r="B1252" t="s">
        <v>1289</v>
      </c>
      <c r="C1252" t="s">
        <v>20</v>
      </c>
      <c r="D1252" t="s">
        <v>21</v>
      </c>
      <c r="E1252">
        <v>2</v>
      </c>
      <c r="G1252">
        <v>1.17</v>
      </c>
      <c r="H1252" s="3">
        <f t="shared" si="95"/>
        <v>5362.348727272727</v>
      </c>
      <c r="J1252" t="s">
        <v>22</v>
      </c>
      <c r="L1252" s="2">
        <f t="shared" si="96"/>
        <v>2681.1743636363635</v>
      </c>
      <c r="M1252" s="4">
        <f t="shared" si="97"/>
        <v>1.17</v>
      </c>
      <c r="N1252" s="1">
        <f t="shared" si="98"/>
        <v>45782</v>
      </c>
      <c r="O1252" s="3">
        <f>(Table13[[#This Row],[Units_Sold]]*Table13[[#This Row],[Unit_Price_Cleaned]]*(1-Table13[[#This Row],[Discount Cleaned]]))</f>
        <v>-911.59928363636323</v>
      </c>
      <c r="P1252" t="str">
        <f t="shared" si="99"/>
        <v>Loss</v>
      </c>
      <c r="Q1252" t="str" cm="1">
        <f t="array" ref="Q1252">IF(K1252="",INDEX($K$2:$K$2501,MATCH(MAX(COUNTIF($K$2:$K$2501,$K$2:$K$2501)),COUNTIF($K$2:$K$2501,$K$2:$K$2501),0)),K1252)</f>
        <v>B2B</v>
      </c>
    </row>
    <row r="1253" spans="1:17" x14ac:dyDescent="0.3">
      <c r="A1253">
        <v>2251</v>
      </c>
      <c r="B1253" t="s">
        <v>1290</v>
      </c>
      <c r="C1253" t="s">
        <v>38</v>
      </c>
      <c r="D1253" t="s">
        <v>39</v>
      </c>
      <c r="E1253">
        <v>2</v>
      </c>
      <c r="F1253">
        <v>1438.68</v>
      </c>
      <c r="H1253" s="3">
        <f t="shared" si="95"/>
        <v>2877.36</v>
      </c>
      <c r="I1253" s="1">
        <v>45722</v>
      </c>
      <c r="J1253" t="s">
        <v>18</v>
      </c>
      <c r="K1253" t="s">
        <v>16</v>
      </c>
      <c r="L1253" s="2">
        <f t="shared" si="96"/>
        <v>1438.68</v>
      </c>
      <c r="M1253" s="4">
        <f t="shared" si="97"/>
        <v>0.6</v>
      </c>
      <c r="N1253" s="1">
        <f t="shared" si="98"/>
        <v>45722</v>
      </c>
      <c r="O1253" s="3">
        <f>(Table13[[#This Row],[Units_Sold]]*Table13[[#This Row],[Unit_Price_Cleaned]]*(1-Table13[[#This Row],[Discount Cleaned]]))</f>
        <v>1150.9440000000002</v>
      </c>
      <c r="P1253" t="str">
        <f t="shared" si="99"/>
        <v>Profit</v>
      </c>
      <c r="Q1253" t="str" cm="1">
        <f t="array" ref="Q1253">IF(K1253="",INDEX($K$2:$K$2501,MATCH(MAX(COUNTIF($K$2:$K$2501,$K$2:$K$2501)),COUNTIF($K$2:$K$2501,$K$2:$K$2501),0)),K1253)</f>
        <v>B2C</v>
      </c>
    </row>
    <row r="1254" spans="1:17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 s="3">
        <f t="shared" si="95"/>
        <v>16532.22</v>
      </c>
      <c r="I1254" s="1">
        <v>45793</v>
      </c>
      <c r="J1254" t="s">
        <v>15</v>
      </c>
      <c r="K1254" t="s">
        <v>16</v>
      </c>
      <c r="L1254" s="2">
        <f t="shared" si="96"/>
        <v>2755.37</v>
      </c>
      <c r="M1254" s="4">
        <f t="shared" si="97"/>
        <v>0.6</v>
      </c>
      <c r="N1254" s="1">
        <f t="shared" si="98"/>
        <v>45793</v>
      </c>
      <c r="O1254" s="3">
        <f>(Table13[[#This Row],[Units_Sold]]*Table13[[#This Row],[Unit_Price_Cleaned]]*(1-Table13[[#This Row],[Discount Cleaned]]))</f>
        <v>6612.8880000000008</v>
      </c>
      <c r="P1254" t="str">
        <f t="shared" si="99"/>
        <v>Profit</v>
      </c>
      <c r="Q1254" t="str" cm="1">
        <f t="array" ref="Q1254">IF(K1254="",INDEX($K$2:$K$2501,MATCH(MAX(COUNTIF($K$2:$K$2501,$K$2:$K$2501)),COUNTIF($K$2:$K$2501,$K$2:$K$2501),0)),K1254)</f>
        <v>B2C</v>
      </c>
    </row>
    <row r="1255" spans="1:17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 s="3">
        <f t="shared" si="95"/>
        <v>0</v>
      </c>
      <c r="I1255" s="1">
        <v>45700</v>
      </c>
      <c r="J1255" t="s">
        <v>40</v>
      </c>
      <c r="K1255" t="s">
        <v>23</v>
      </c>
      <c r="L1255" s="2">
        <f t="shared" si="96"/>
        <v>2700.1263043478252</v>
      </c>
      <c r="M1255" s="4">
        <f t="shared" si="97"/>
        <v>0.6</v>
      </c>
      <c r="N1255" s="1">
        <f t="shared" si="98"/>
        <v>45700</v>
      </c>
      <c r="O1255" s="3">
        <f>(Table13[[#This Row],[Units_Sold]]*Table13[[#This Row],[Unit_Price_Cleaned]]*(1-Table13[[#This Row],[Discount Cleaned]]))</f>
        <v>0</v>
      </c>
      <c r="P1255" t="str">
        <f t="shared" si="99"/>
        <v>Loss</v>
      </c>
      <c r="Q1255" t="str" cm="1">
        <f t="array" ref="Q1255">IF(K1255="",INDEX($K$2:$K$2501,MATCH(MAX(COUNTIF($K$2:$K$2501,$K$2:$K$2501)),COUNTIF($K$2:$K$2501,$K$2:$K$2501),0)),K1255)</f>
        <v>B2B</v>
      </c>
    </row>
    <row r="1256" spans="1:17" x14ac:dyDescent="0.3">
      <c r="A1256">
        <v>2254</v>
      </c>
      <c r="B1256" t="s">
        <v>1293</v>
      </c>
      <c r="C1256" t="s">
        <v>33</v>
      </c>
      <c r="D1256" t="s">
        <v>72</v>
      </c>
      <c r="E1256">
        <v>2</v>
      </c>
      <c r="F1256">
        <v>4998.91</v>
      </c>
      <c r="H1256" s="3">
        <f t="shared" si="95"/>
        <v>9997.82</v>
      </c>
      <c r="J1256" t="s">
        <v>22</v>
      </c>
      <c r="K1256" t="s">
        <v>23</v>
      </c>
      <c r="L1256" s="2">
        <f t="shared" si="96"/>
        <v>4998.91</v>
      </c>
      <c r="M1256" s="4">
        <f t="shared" si="97"/>
        <v>0.6</v>
      </c>
      <c r="N1256" s="1">
        <f t="shared" si="98"/>
        <v>45782</v>
      </c>
      <c r="O1256" s="3">
        <f>(Table13[[#This Row],[Units_Sold]]*Table13[[#This Row],[Unit_Price_Cleaned]]*(1-Table13[[#This Row],[Discount Cleaned]]))</f>
        <v>3999.1280000000002</v>
      </c>
      <c r="P1256" t="str">
        <f t="shared" si="99"/>
        <v>Profit</v>
      </c>
      <c r="Q1256" t="str" cm="1">
        <f t="array" ref="Q1256">IF(K1256="",INDEX($K$2:$K$2501,MATCH(MAX(COUNTIF($K$2:$K$2501,$K$2:$K$2501)),COUNTIF($K$2:$K$2501,$K$2:$K$2501),0)),K1256)</f>
        <v>B2B</v>
      </c>
    </row>
    <row r="1257" spans="1:17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 s="3">
        <f t="shared" si="95"/>
        <v>-8956.16</v>
      </c>
      <c r="I1257" s="1">
        <v>45782</v>
      </c>
      <c r="J1257" t="s">
        <v>46</v>
      </c>
      <c r="L1257" s="2">
        <f t="shared" si="96"/>
        <v>4478.08</v>
      </c>
      <c r="M1257" s="4">
        <f t="shared" si="97"/>
        <v>0.6</v>
      </c>
      <c r="N1257" s="1">
        <f t="shared" si="98"/>
        <v>45782</v>
      </c>
      <c r="O1257" s="3">
        <f>(Table13[[#This Row],[Units_Sold]]*Table13[[#This Row],[Unit_Price_Cleaned]]*(1-Table13[[#This Row],[Discount Cleaned]]))</f>
        <v>-3582.4639999999999</v>
      </c>
      <c r="P1257" t="str">
        <f t="shared" si="99"/>
        <v>Loss</v>
      </c>
      <c r="Q1257" t="str" cm="1">
        <f t="array" ref="Q1257">IF(K1257="",INDEX($K$2:$K$2501,MATCH(MAX(COUNTIF($K$2:$K$2501,$K$2:$K$2501)),COUNTIF($K$2:$K$2501,$K$2:$K$2501),0)),K1257)</f>
        <v>B2B</v>
      </c>
    </row>
    <row r="1258" spans="1:17" x14ac:dyDescent="0.3">
      <c r="A1258">
        <v>2256</v>
      </c>
      <c r="B1258" t="s">
        <v>1295</v>
      </c>
      <c r="C1258" t="s">
        <v>38</v>
      </c>
      <c r="D1258" t="s">
        <v>39</v>
      </c>
      <c r="E1258">
        <v>2</v>
      </c>
      <c r="F1258">
        <v>535.27</v>
      </c>
      <c r="H1258" s="3">
        <f t="shared" si="95"/>
        <v>1070.54</v>
      </c>
      <c r="I1258" s="1">
        <v>45740</v>
      </c>
      <c r="J1258" t="s">
        <v>18</v>
      </c>
      <c r="K1258" t="s">
        <v>23</v>
      </c>
      <c r="L1258" s="2">
        <f t="shared" si="96"/>
        <v>535.27</v>
      </c>
      <c r="M1258" s="4">
        <f t="shared" si="97"/>
        <v>0.6</v>
      </c>
      <c r="N1258" s="1">
        <f t="shared" si="98"/>
        <v>45740</v>
      </c>
      <c r="O1258" s="3">
        <f>(Table13[[#This Row],[Units_Sold]]*Table13[[#This Row],[Unit_Price_Cleaned]]*(1-Table13[[#This Row],[Discount Cleaned]]))</f>
        <v>428.21600000000001</v>
      </c>
      <c r="P1258" t="str">
        <f t="shared" si="99"/>
        <v>Loss</v>
      </c>
      <c r="Q1258" t="str" cm="1">
        <f t="array" ref="Q1258">IF(K1258="",INDEX($K$2:$K$2501,MATCH(MAX(COUNTIF($K$2:$K$2501,$K$2:$K$2501)),COUNTIF($K$2:$K$2501,$K$2:$K$2501),0)),K1258)</f>
        <v>B2B</v>
      </c>
    </row>
    <row r="1259" spans="1:17" x14ac:dyDescent="0.3">
      <c r="A1259">
        <v>2257</v>
      </c>
      <c r="B1259" t="s">
        <v>1296</v>
      </c>
      <c r="C1259" t="s">
        <v>38</v>
      </c>
      <c r="D1259" t="s">
        <v>91</v>
      </c>
      <c r="E1259">
        <v>2</v>
      </c>
      <c r="H1259" s="3">
        <f t="shared" si="95"/>
        <v>5737.5536363636356</v>
      </c>
      <c r="I1259" s="1">
        <v>45678</v>
      </c>
      <c r="J1259" t="s">
        <v>22</v>
      </c>
      <c r="K1259" t="s">
        <v>16</v>
      </c>
      <c r="L1259" s="2">
        <f t="shared" si="96"/>
        <v>2868.7768181818178</v>
      </c>
      <c r="M1259" s="4">
        <f t="shared" si="97"/>
        <v>0.6</v>
      </c>
      <c r="N1259" s="1">
        <f t="shared" si="98"/>
        <v>45678</v>
      </c>
      <c r="O1259" s="3">
        <f>(Table13[[#This Row],[Units_Sold]]*Table13[[#This Row],[Unit_Price_Cleaned]]*(1-Table13[[#This Row],[Discount Cleaned]]))</f>
        <v>2295.0214545454542</v>
      </c>
      <c r="P1259" t="str">
        <f t="shared" si="99"/>
        <v>Profit</v>
      </c>
      <c r="Q1259" t="str" cm="1">
        <f t="array" ref="Q1259">IF(K1259="",INDEX($K$2:$K$2501,MATCH(MAX(COUNTIF($K$2:$K$2501,$K$2:$K$2501)),COUNTIF($K$2:$K$2501,$K$2:$K$2501),0)),K1259)</f>
        <v>B2C</v>
      </c>
    </row>
    <row r="1260" spans="1:17" x14ac:dyDescent="0.3">
      <c r="A1260">
        <v>2258</v>
      </c>
      <c r="B1260" t="s">
        <v>1297</v>
      </c>
      <c r="C1260" t="s">
        <v>25</v>
      </c>
      <c r="D1260" t="s">
        <v>86</v>
      </c>
      <c r="E1260">
        <v>2</v>
      </c>
      <c r="H1260" s="3">
        <f t="shared" si="95"/>
        <v>5003.0619999999999</v>
      </c>
      <c r="I1260" s="1">
        <v>45810</v>
      </c>
      <c r="J1260" t="s">
        <v>40</v>
      </c>
      <c r="L1260" s="2">
        <f t="shared" si="96"/>
        <v>2501.5309999999999</v>
      </c>
      <c r="M1260" s="4">
        <f t="shared" si="97"/>
        <v>0.6</v>
      </c>
      <c r="N1260" s="1">
        <f t="shared" si="98"/>
        <v>45810</v>
      </c>
      <c r="O1260" s="3">
        <f>(Table13[[#This Row],[Units_Sold]]*Table13[[#This Row],[Unit_Price_Cleaned]]*(1-Table13[[#This Row],[Discount Cleaned]]))</f>
        <v>2001.2248</v>
      </c>
      <c r="P1260" t="str">
        <f t="shared" si="99"/>
        <v>Profit</v>
      </c>
      <c r="Q1260" t="str" cm="1">
        <f t="array" ref="Q1260">IF(K1260="",INDEX($K$2:$K$2501,MATCH(MAX(COUNTIF($K$2:$K$2501,$K$2:$K$2501)),COUNTIF($K$2:$K$2501,$K$2:$K$2501),0)),K1260)</f>
        <v>B2B</v>
      </c>
    </row>
    <row r="1261" spans="1:17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 s="3">
        <f t="shared" si="95"/>
        <v>2854.4</v>
      </c>
      <c r="I1261" s="1">
        <v>45508</v>
      </c>
      <c r="J1261" t="s">
        <v>40</v>
      </c>
      <c r="K1261" t="s">
        <v>16</v>
      </c>
      <c r="L1261" s="2">
        <f t="shared" si="96"/>
        <v>2854.4</v>
      </c>
      <c r="M1261" s="4">
        <f t="shared" si="97"/>
        <v>0.6</v>
      </c>
      <c r="N1261" s="1">
        <f t="shared" si="98"/>
        <v>45508</v>
      </c>
      <c r="O1261" s="3">
        <f>(Table13[[#This Row],[Units_Sold]]*Table13[[#This Row],[Unit_Price_Cleaned]]*(1-Table13[[#This Row],[Discount Cleaned]]))</f>
        <v>1141.76</v>
      </c>
      <c r="P1261" t="str">
        <f t="shared" si="99"/>
        <v>Profit</v>
      </c>
      <c r="Q1261" t="str" cm="1">
        <f t="array" ref="Q1261">IF(K1261="",INDEX($K$2:$K$2501,MATCH(MAX(COUNTIF($K$2:$K$2501,$K$2:$K$2501)),COUNTIF($K$2:$K$2501,$K$2:$K$2501),0)),K1261)</f>
        <v>B2C</v>
      </c>
    </row>
    <row r="1262" spans="1:17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 s="3">
        <f t="shared" si="95"/>
        <v>-2576.3056896551716</v>
      </c>
      <c r="J1262" t="s">
        <v>56</v>
      </c>
      <c r="K1262" t="s">
        <v>23</v>
      </c>
      <c r="L1262" s="2">
        <f t="shared" si="96"/>
        <v>2576.3056896551716</v>
      </c>
      <c r="M1262" s="4">
        <f t="shared" si="97"/>
        <v>0.6</v>
      </c>
      <c r="N1262" s="1">
        <f t="shared" si="98"/>
        <v>45782</v>
      </c>
      <c r="O1262" s="3">
        <f>(Table13[[#This Row],[Units_Sold]]*Table13[[#This Row],[Unit_Price_Cleaned]]*(1-Table13[[#This Row],[Discount Cleaned]]))</f>
        <v>-1030.5222758620687</v>
      </c>
      <c r="P1262" t="str">
        <f t="shared" si="99"/>
        <v>Loss</v>
      </c>
      <c r="Q1262" t="str" cm="1">
        <f t="array" ref="Q1262">IF(K1262="",INDEX($K$2:$K$2501,MATCH(MAX(COUNTIF($K$2:$K$2501,$K$2:$K$2501)),COUNTIF($K$2:$K$2501,$K$2:$K$2501),0)),K1262)</f>
        <v>B2B</v>
      </c>
    </row>
    <row r="1263" spans="1:17" x14ac:dyDescent="0.3">
      <c r="A1263">
        <v>1039</v>
      </c>
      <c r="B1263" t="s">
        <v>1300</v>
      </c>
      <c r="C1263" t="s">
        <v>33</v>
      </c>
      <c r="D1263" t="s">
        <v>34</v>
      </c>
      <c r="E1263">
        <v>2</v>
      </c>
      <c r="F1263">
        <v>633.23</v>
      </c>
      <c r="H1263" s="3">
        <f t="shared" si="95"/>
        <v>1266.46</v>
      </c>
      <c r="I1263" s="1">
        <v>45539</v>
      </c>
      <c r="J1263" t="s">
        <v>22</v>
      </c>
      <c r="K1263" t="s">
        <v>16</v>
      </c>
      <c r="L1263" s="2">
        <f t="shared" si="96"/>
        <v>633.23</v>
      </c>
      <c r="M1263" s="4">
        <f t="shared" si="97"/>
        <v>0.6</v>
      </c>
      <c r="N1263" s="1">
        <f t="shared" si="98"/>
        <v>45539</v>
      </c>
      <c r="O1263" s="3">
        <f>(Table13[[#This Row],[Units_Sold]]*Table13[[#This Row],[Unit_Price_Cleaned]]*(1-Table13[[#This Row],[Discount Cleaned]]))</f>
        <v>506.58400000000006</v>
      </c>
      <c r="P1263" t="str">
        <f t="shared" si="99"/>
        <v>Profit</v>
      </c>
      <c r="Q1263" t="str" cm="1">
        <f t="array" ref="Q1263">IF(K1263="",INDEX($K$2:$K$2501,MATCH(MAX(COUNTIF($K$2:$K$2501,$K$2:$K$2501)),COUNTIF($K$2:$K$2501,$K$2:$K$2501),0)),K1263)</f>
        <v>B2C</v>
      </c>
    </row>
    <row r="1264" spans="1:17" x14ac:dyDescent="0.3">
      <c r="A1264">
        <v>2262</v>
      </c>
      <c r="B1264" t="s">
        <v>1301</v>
      </c>
      <c r="C1264" t="s">
        <v>38</v>
      </c>
      <c r="D1264" t="s">
        <v>59</v>
      </c>
      <c r="E1264">
        <v>2</v>
      </c>
      <c r="F1264">
        <v>2957.48</v>
      </c>
      <c r="H1264" s="3">
        <f t="shared" si="95"/>
        <v>5914.96</v>
      </c>
      <c r="I1264" s="1">
        <v>45544</v>
      </c>
      <c r="J1264" t="s">
        <v>56</v>
      </c>
      <c r="K1264" t="s">
        <v>23</v>
      </c>
      <c r="L1264" s="2">
        <f t="shared" si="96"/>
        <v>2957.48</v>
      </c>
      <c r="M1264" s="4">
        <f t="shared" si="97"/>
        <v>0.6</v>
      </c>
      <c r="N1264" s="1">
        <f t="shared" si="98"/>
        <v>45544</v>
      </c>
      <c r="O1264" s="3">
        <f>(Table13[[#This Row],[Units_Sold]]*Table13[[#This Row],[Unit_Price_Cleaned]]*(1-Table13[[#This Row],[Discount Cleaned]]))</f>
        <v>2365.9839999999999</v>
      </c>
      <c r="P1264" t="str">
        <f t="shared" si="99"/>
        <v>Profit</v>
      </c>
      <c r="Q1264" t="str" cm="1">
        <f t="array" ref="Q1264">IF(K1264="",INDEX($K$2:$K$2501,MATCH(MAX(COUNTIF($K$2:$K$2501,$K$2:$K$2501)),COUNTIF($K$2:$K$2501,$K$2:$K$2501),0)),K1264)</f>
        <v>B2B</v>
      </c>
    </row>
    <row r="1265" spans="1:17" x14ac:dyDescent="0.3">
      <c r="A1265">
        <v>2263</v>
      </c>
      <c r="B1265" t="s">
        <v>1302</v>
      </c>
      <c r="C1265" t="s">
        <v>25</v>
      </c>
      <c r="D1265" t="s">
        <v>86</v>
      </c>
      <c r="E1265">
        <v>2</v>
      </c>
      <c r="F1265">
        <v>4252.05</v>
      </c>
      <c r="H1265" s="3">
        <f t="shared" si="95"/>
        <v>8504.1</v>
      </c>
      <c r="J1265" t="s">
        <v>22</v>
      </c>
      <c r="K1265" t="s">
        <v>16</v>
      </c>
      <c r="L1265" s="2">
        <f t="shared" si="96"/>
        <v>4252.05</v>
      </c>
      <c r="M1265" s="4">
        <f t="shared" si="97"/>
        <v>0.6</v>
      </c>
      <c r="N1265" s="1">
        <f t="shared" si="98"/>
        <v>45782</v>
      </c>
      <c r="O1265" s="3">
        <f>(Table13[[#This Row],[Units_Sold]]*Table13[[#This Row],[Unit_Price_Cleaned]]*(1-Table13[[#This Row],[Discount Cleaned]]))</f>
        <v>3401.6400000000003</v>
      </c>
      <c r="P1265" t="str">
        <f t="shared" si="99"/>
        <v>Profit</v>
      </c>
      <c r="Q1265" t="str" cm="1">
        <f t="array" ref="Q1265">IF(K1265="",INDEX($K$2:$K$2501,MATCH(MAX(COUNTIF($K$2:$K$2501,$K$2:$K$2501)),COUNTIF($K$2:$K$2501,$K$2:$K$2501),0)),K1265)</f>
        <v>B2C</v>
      </c>
    </row>
    <row r="1266" spans="1:17" x14ac:dyDescent="0.3">
      <c r="A1266">
        <v>2264</v>
      </c>
      <c r="B1266" t="s">
        <v>1303</v>
      </c>
      <c r="C1266" t="s">
        <v>13</v>
      </c>
      <c r="D1266" t="s">
        <v>49</v>
      </c>
      <c r="E1266">
        <v>2</v>
      </c>
      <c r="F1266">
        <v>3541.13</v>
      </c>
      <c r="G1266">
        <v>1.3</v>
      </c>
      <c r="H1266" s="3">
        <f t="shared" si="95"/>
        <v>7082.26</v>
      </c>
      <c r="J1266" t="s">
        <v>56</v>
      </c>
      <c r="K1266" t="s">
        <v>23</v>
      </c>
      <c r="L1266" s="2">
        <f t="shared" si="96"/>
        <v>3541.13</v>
      </c>
      <c r="M1266" s="4">
        <f t="shared" si="97"/>
        <v>1.3</v>
      </c>
      <c r="N1266" s="1">
        <f t="shared" si="98"/>
        <v>45782</v>
      </c>
      <c r="O1266" s="3">
        <f>(Table13[[#This Row],[Units_Sold]]*Table13[[#This Row],[Unit_Price_Cleaned]]*(1-Table13[[#This Row],[Discount Cleaned]]))</f>
        <v>-2124.6780000000003</v>
      </c>
      <c r="P1266" t="str">
        <f t="shared" si="99"/>
        <v>Loss</v>
      </c>
      <c r="Q1266" t="str" cm="1">
        <f t="array" ref="Q1266">IF(K1266="",INDEX($K$2:$K$2501,MATCH(MAX(COUNTIF($K$2:$K$2501,$K$2:$K$2501)),COUNTIF($K$2:$K$2501,$K$2:$K$2501),0)),K1266)</f>
        <v>B2B</v>
      </c>
    </row>
    <row r="1267" spans="1:17" x14ac:dyDescent="0.3">
      <c r="A1267">
        <v>2265</v>
      </c>
      <c r="B1267" t="s">
        <v>1304</v>
      </c>
      <c r="C1267" t="s">
        <v>33</v>
      </c>
      <c r="D1267" t="s">
        <v>82</v>
      </c>
      <c r="E1267">
        <v>2</v>
      </c>
      <c r="G1267">
        <v>0.5</v>
      </c>
      <c r="H1267" s="3">
        <f t="shared" si="95"/>
        <v>5552.4404000000004</v>
      </c>
      <c r="I1267" s="1">
        <v>45736</v>
      </c>
      <c r="J1267" t="s">
        <v>40</v>
      </c>
      <c r="K1267" t="s">
        <v>16</v>
      </c>
      <c r="L1267" s="2">
        <f t="shared" si="96"/>
        <v>2776.2202000000002</v>
      </c>
      <c r="M1267" s="4">
        <f t="shared" si="97"/>
        <v>0.5</v>
      </c>
      <c r="N1267" s="1">
        <f t="shared" si="98"/>
        <v>45736</v>
      </c>
      <c r="O1267" s="3">
        <f>(Table13[[#This Row],[Units_Sold]]*Table13[[#This Row],[Unit_Price_Cleaned]]*(1-Table13[[#This Row],[Discount Cleaned]]))</f>
        <v>2776.2202000000002</v>
      </c>
      <c r="P1267" t="str">
        <f t="shared" si="99"/>
        <v>Profit</v>
      </c>
      <c r="Q1267" t="str" cm="1">
        <f t="array" ref="Q1267">IF(K1267="",INDEX($K$2:$K$2501,MATCH(MAX(COUNTIF($K$2:$K$2501,$K$2:$K$2501)),COUNTIF($K$2:$K$2501,$K$2:$K$2501),0)),K1267)</f>
        <v>B2C</v>
      </c>
    </row>
    <row r="1268" spans="1:17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 s="3">
        <f t="shared" si="95"/>
        <v>26624.639999999999</v>
      </c>
      <c r="I1268" s="1">
        <v>45539</v>
      </c>
      <c r="J1268" t="s">
        <v>46</v>
      </c>
      <c r="K1268" t="s">
        <v>16</v>
      </c>
      <c r="L1268" s="2">
        <f t="shared" si="96"/>
        <v>4437.4399999999996</v>
      </c>
      <c r="M1268" s="4">
        <f t="shared" si="97"/>
        <v>0.6</v>
      </c>
      <c r="N1268" s="1">
        <f t="shared" si="98"/>
        <v>45539</v>
      </c>
      <c r="O1268" s="3">
        <f>(Table13[[#This Row],[Units_Sold]]*Table13[[#This Row],[Unit_Price_Cleaned]]*(1-Table13[[#This Row],[Discount Cleaned]]))</f>
        <v>10649.856</v>
      </c>
      <c r="P1268" t="str">
        <f t="shared" si="99"/>
        <v>Profit</v>
      </c>
      <c r="Q1268" t="str" cm="1">
        <f t="array" ref="Q1268">IF(K1268="",INDEX($K$2:$K$2501,MATCH(MAX(COUNTIF($K$2:$K$2501,$K$2:$K$2501)),COUNTIF($K$2:$K$2501,$K$2:$K$2501),0)),K1268)</f>
        <v>B2C</v>
      </c>
    </row>
    <row r="1269" spans="1:17" x14ac:dyDescent="0.3">
      <c r="A1269">
        <v>2267</v>
      </c>
      <c r="B1269" t="s">
        <v>1306</v>
      </c>
      <c r="C1269" t="s">
        <v>38</v>
      </c>
      <c r="D1269" t="s">
        <v>39</v>
      </c>
      <c r="E1269">
        <v>2</v>
      </c>
      <c r="H1269" s="3">
        <f t="shared" si="95"/>
        <v>6016.7688888888888</v>
      </c>
      <c r="J1269" t="s">
        <v>40</v>
      </c>
      <c r="L1269" s="2">
        <f t="shared" si="96"/>
        <v>3008.3844444444444</v>
      </c>
      <c r="M1269" s="4">
        <f t="shared" si="97"/>
        <v>0.6</v>
      </c>
      <c r="N1269" s="1">
        <f t="shared" si="98"/>
        <v>45782</v>
      </c>
      <c r="O1269" s="3">
        <f>(Table13[[#This Row],[Units_Sold]]*Table13[[#This Row],[Unit_Price_Cleaned]]*(1-Table13[[#This Row],[Discount Cleaned]]))</f>
        <v>2406.7075555555557</v>
      </c>
      <c r="P1269" t="str">
        <f t="shared" si="99"/>
        <v>Profit</v>
      </c>
      <c r="Q1269" t="str" cm="1">
        <f t="array" ref="Q1269">IF(K1269="",INDEX($K$2:$K$2501,MATCH(MAX(COUNTIF($K$2:$K$2501,$K$2:$K$2501)),COUNTIF($K$2:$K$2501,$K$2:$K$2501),0)),K1269)</f>
        <v>B2B</v>
      </c>
    </row>
    <row r="1270" spans="1:17" x14ac:dyDescent="0.3">
      <c r="A1270">
        <v>2268</v>
      </c>
      <c r="B1270" t="s">
        <v>1307</v>
      </c>
      <c r="C1270" t="s">
        <v>25</v>
      </c>
      <c r="D1270" t="s">
        <v>26</v>
      </c>
      <c r="E1270">
        <v>2</v>
      </c>
      <c r="F1270">
        <v>4300.05</v>
      </c>
      <c r="H1270" s="3">
        <f t="shared" si="95"/>
        <v>8600.1</v>
      </c>
      <c r="I1270" s="1">
        <v>45618</v>
      </c>
      <c r="J1270" t="s">
        <v>40</v>
      </c>
      <c r="K1270" t="s">
        <v>23</v>
      </c>
      <c r="L1270" s="2">
        <f t="shared" si="96"/>
        <v>4300.05</v>
      </c>
      <c r="M1270" s="4">
        <f t="shared" si="97"/>
        <v>0.6</v>
      </c>
      <c r="N1270" s="1">
        <f t="shared" si="98"/>
        <v>45618</v>
      </c>
      <c r="O1270" s="3">
        <f>(Table13[[#This Row],[Units_Sold]]*Table13[[#This Row],[Unit_Price_Cleaned]]*(1-Table13[[#This Row],[Discount Cleaned]]))</f>
        <v>3440.0400000000004</v>
      </c>
      <c r="P1270" t="str">
        <f t="shared" si="99"/>
        <v>Profit</v>
      </c>
      <c r="Q1270" t="str" cm="1">
        <f t="array" ref="Q1270">IF(K1270="",INDEX($K$2:$K$2501,MATCH(MAX(COUNTIF($K$2:$K$2501,$K$2:$K$2501)),COUNTIF($K$2:$K$2501,$K$2:$K$2501),0)),K1270)</f>
        <v>B2B</v>
      </c>
    </row>
    <row r="1271" spans="1:17" x14ac:dyDescent="0.3">
      <c r="A1271">
        <v>2269</v>
      </c>
      <c r="B1271" t="s">
        <v>1308</v>
      </c>
      <c r="C1271" t="s">
        <v>25</v>
      </c>
      <c r="D1271" t="s">
        <v>86</v>
      </c>
      <c r="E1271">
        <v>2</v>
      </c>
      <c r="H1271" s="3">
        <f t="shared" si="95"/>
        <v>5003.0619999999999</v>
      </c>
      <c r="I1271" s="1">
        <v>45834</v>
      </c>
      <c r="J1271" t="s">
        <v>56</v>
      </c>
      <c r="L1271" s="2">
        <f t="shared" si="96"/>
        <v>2501.5309999999999</v>
      </c>
      <c r="M1271" s="4">
        <f t="shared" si="97"/>
        <v>0.6</v>
      </c>
      <c r="N1271" s="1">
        <f t="shared" si="98"/>
        <v>45834</v>
      </c>
      <c r="O1271" s="3">
        <f>(Table13[[#This Row],[Units_Sold]]*Table13[[#This Row],[Unit_Price_Cleaned]]*(1-Table13[[#This Row],[Discount Cleaned]]))</f>
        <v>2001.2248</v>
      </c>
      <c r="P1271" t="str">
        <f t="shared" si="99"/>
        <v>Profit</v>
      </c>
      <c r="Q1271" t="str" cm="1">
        <f t="array" ref="Q1271">IF(K1271="",INDEX($K$2:$K$2501,MATCH(MAX(COUNTIF($K$2:$K$2501,$K$2:$K$2501)),COUNTIF($K$2:$K$2501,$K$2:$K$2501),0)),K1271)</f>
        <v>B2B</v>
      </c>
    </row>
    <row r="1272" spans="1:17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 s="3">
        <f t="shared" si="95"/>
        <v>2710.56</v>
      </c>
      <c r="I1272" s="1">
        <v>45783</v>
      </c>
      <c r="J1272" t="s">
        <v>15</v>
      </c>
      <c r="L1272" s="2">
        <f t="shared" si="96"/>
        <v>2710.56</v>
      </c>
      <c r="M1272" s="4">
        <f t="shared" si="97"/>
        <v>0.6</v>
      </c>
      <c r="N1272" s="1">
        <f t="shared" si="98"/>
        <v>45783</v>
      </c>
      <c r="O1272" s="3">
        <f>(Table13[[#This Row],[Units_Sold]]*Table13[[#This Row],[Unit_Price_Cleaned]]*(1-Table13[[#This Row],[Discount Cleaned]]))</f>
        <v>1084.2239999999999</v>
      </c>
      <c r="P1272" t="str">
        <f t="shared" si="99"/>
        <v>Profit</v>
      </c>
      <c r="Q1272" t="str" cm="1">
        <f t="array" ref="Q1272">IF(K1272="",INDEX($K$2:$K$2501,MATCH(MAX(COUNTIF($K$2:$K$2501,$K$2:$K$2501)),COUNTIF($K$2:$K$2501,$K$2:$K$2501),0)),K1272)</f>
        <v>B2B</v>
      </c>
    </row>
    <row r="1273" spans="1:17" x14ac:dyDescent="0.3">
      <c r="A1273">
        <v>2271</v>
      </c>
      <c r="B1273" t="s">
        <v>1310</v>
      </c>
      <c r="C1273" t="s">
        <v>29</v>
      </c>
      <c r="D1273" t="s">
        <v>42</v>
      </c>
      <c r="E1273">
        <v>2</v>
      </c>
      <c r="G1273">
        <v>0.36</v>
      </c>
      <c r="H1273" s="3">
        <f t="shared" si="95"/>
        <v>5119.3334615384629</v>
      </c>
      <c r="J1273" t="s">
        <v>40</v>
      </c>
      <c r="K1273" t="s">
        <v>16</v>
      </c>
      <c r="L1273" s="2">
        <f t="shared" si="96"/>
        <v>2559.6667307692314</v>
      </c>
      <c r="M1273" s="4">
        <f t="shared" si="97"/>
        <v>0.36</v>
      </c>
      <c r="N1273" s="1">
        <f t="shared" si="98"/>
        <v>45782</v>
      </c>
      <c r="O1273" s="3">
        <f>(Table13[[#This Row],[Units_Sold]]*Table13[[#This Row],[Unit_Price_Cleaned]]*(1-Table13[[#This Row],[Discount Cleaned]]))</f>
        <v>3276.3734153846162</v>
      </c>
      <c r="P1273" t="str">
        <f t="shared" si="99"/>
        <v>Profit</v>
      </c>
      <c r="Q1273" t="str" cm="1">
        <f t="array" ref="Q1273">IF(K1273="",INDEX($K$2:$K$2501,MATCH(MAX(COUNTIF($K$2:$K$2501,$K$2:$K$2501)),COUNTIF($K$2:$K$2501,$K$2:$K$2501),0)),K1273)</f>
        <v>B2C</v>
      </c>
    </row>
    <row r="1274" spans="1:17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 s="3">
        <f t="shared" si="95"/>
        <v>10160.4</v>
      </c>
      <c r="I1274" s="1">
        <v>45803</v>
      </c>
      <c r="J1274" t="s">
        <v>22</v>
      </c>
      <c r="K1274" t="s">
        <v>16</v>
      </c>
      <c r="L1274" s="2">
        <f t="shared" si="96"/>
        <v>2540.1</v>
      </c>
      <c r="M1274" s="4">
        <f t="shared" si="97"/>
        <v>0.69</v>
      </c>
      <c r="N1274" s="1">
        <f t="shared" si="98"/>
        <v>45803</v>
      </c>
      <c r="O1274" s="3">
        <f>(Table13[[#This Row],[Units_Sold]]*Table13[[#This Row],[Unit_Price_Cleaned]]*(1-Table13[[#This Row],[Discount Cleaned]]))</f>
        <v>3149.7240000000006</v>
      </c>
      <c r="P1274" t="str">
        <f t="shared" si="99"/>
        <v>Profit</v>
      </c>
      <c r="Q1274" t="str" cm="1">
        <f t="array" ref="Q1274">IF(K1274="",INDEX($K$2:$K$2501,MATCH(MAX(COUNTIF($K$2:$K$2501,$K$2:$K$2501)),COUNTIF($K$2:$K$2501,$K$2:$K$2501),0)),K1274)</f>
        <v>B2C</v>
      </c>
    </row>
    <row r="1275" spans="1:17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 s="3">
        <f t="shared" si="95"/>
        <v>18385.260000000002</v>
      </c>
      <c r="I1275" s="1">
        <v>45571</v>
      </c>
      <c r="J1275" t="s">
        <v>15</v>
      </c>
      <c r="K1275" t="s">
        <v>16</v>
      </c>
      <c r="L1275" s="2">
        <f t="shared" si="96"/>
        <v>3064.21</v>
      </c>
      <c r="M1275" s="4">
        <f t="shared" si="97"/>
        <v>0.6</v>
      </c>
      <c r="N1275" s="1">
        <f t="shared" si="98"/>
        <v>45571</v>
      </c>
      <c r="O1275" s="3">
        <f>(Table13[[#This Row],[Units_Sold]]*Table13[[#This Row],[Unit_Price_Cleaned]]*(1-Table13[[#This Row],[Discount Cleaned]]))</f>
        <v>7354.1040000000012</v>
      </c>
      <c r="P1275" t="str">
        <f t="shared" si="99"/>
        <v>Profit</v>
      </c>
      <c r="Q1275" t="str" cm="1">
        <f t="array" ref="Q1275">IF(K1275="",INDEX($K$2:$K$2501,MATCH(MAX(COUNTIF($K$2:$K$2501,$K$2:$K$2501)),COUNTIF($K$2:$K$2501,$K$2:$K$2501),0)),K1275)</f>
        <v>B2C</v>
      </c>
    </row>
    <row r="1276" spans="1:17" x14ac:dyDescent="0.3">
      <c r="A1276">
        <v>2274</v>
      </c>
      <c r="B1276" t="s">
        <v>1313</v>
      </c>
      <c r="C1276" t="s">
        <v>38</v>
      </c>
      <c r="D1276" t="s">
        <v>63</v>
      </c>
      <c r="E1276">
        <v>2</v>
      </c>
      <c r="F1276">
        <v>4456.6499999999996</v>
      </c>
      <c r="H1276" s="3">
        <f t="shared" si="95"/>
        <v>8913.2999999999993</v>
      </c>
      <c r="I1276" s="1">
        <v>45572</v>
      </c>
      <c r="J1276" t="s">
        <v>15</v>
      </c>
      <c r="K1276" t="s">
        <v>16</v>
      </c>
      <c r="L1276" s="2">
        <f t="shared" si="96"/>
        <v>4456.6499999999996</v>
      </c>
      <c r="M1276" s="4">
        <f t="shared" si="97"/>
        <v>0.6</v>
      </c>
      <c r="N1276" s="1">
        <f t="shared" si="98"/>
        <v>45572</v>
      </c>
      <c r="O1276" s="3">
        <f>(Table13[[#This Row],[Units_Sold]]*Table13[[#This Row],[Unit_Price_Cleaned]]*(1-Table13[[#This Row],[Discount Cleaned]]))</f>
        <v>3565.3199999999997</v>
      </c>
      <c r="P1276" t="str">
        <f t="shared" si="99"/>
        <v>Profit</v>
      </c>
      <c r="Q1276" t="str" cm="1">
        <f t="array" ref="Q1276">IF(K1276="",INDEX($K$2:$K$2501,MATCH(MAX(COUNTIF($K$2:$K$2501,$K$2:$K$2501)),COUNTIF($K$2:$K$2501,$K$2:$K$2501),0)),K1276)</f>
        <v>B2C</v>
      </c>
    </row>
    <row r="1277" spans="1:17" x14ac:dyDescent="0.3">
      <c r="A1277">
        <v>2275</v>
      </c>
      <c r="B1277" t="s">
        <v>1314</v>
      </c>
      <c r="C1277" t="s">
        <v>29</v>
      </c>
      <c r="D1277" t="s">
        <v>42</v>
      </c>
      <c r="E1277">
        <v>2</v>
      </c>
      <c r="F1277">
        <v>3899.04</v>
      </c>
      <c r="H1277" s="3">
        <f t="shared" si="95"/>
        <v>7798.08</v>
      </c>
      <c r="I1277" s="1">
        <v>45497</v>
      </c>
      <c r="J1277" t="s">
        <v>18</v>
      </c>
      <c r="L1277" s="2">
        <f t="shared" si="96"/>
        <v>3899.04</v>
      </c>
      <c r="M1277" s="4">
        <f t="shared" si="97"/>
        <v>0.6</v>
      </c>
      <c r="N1277" s="1">
        <f t="shared" si="98"/>
        <v>45497</v>
      </c>
      <c r="O1277" s="3">
        <f>(Table13[[#This Row],[Units_Sold]]*Table13[[#This Row],[Unit_Price_Cleaned]]*(1-Table13[[#This Row],[Discount Cleaned]]))</f>
        <v>3119.232</v>
      </c>
      <c r="P1277" t="str">
        <f t="shared" si="99"/>
        <v>Profit</v>
      </c>
      <c r="Q1277" t="str" cm="1">
        <f t="array" ref="Q1277">IF(K1277="",INDEX($K$2:$K$2501,MATCH(MAX(COUNTIF($K$2:$K$2501,$K$2:$K$2501)),COUNTIF($K$2:$K$2501,$K$2:$K$2501),0)),K1277)</f>
        <v>B2B</v>
      </c>
    </row>
    <row r="1278" spans="1:17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 s="3">
        <f t="shared" si="95"/>
        <v>8100.3789130434761</v>
      </c>
      <c r="I1278" s="1">
        <v>45216</v>
      </c>
      <c r="J1278" t="s">
        <v>40</v>
      </c>
      <c r="K1278" t="s">
        <v>16</v>
      </c>
      <c r="L1278" s="2">
        <f t="shared" si="96"/>
        <v>2700.1263043478252</v>
      </c>
      <c r="M1278" s="4">
        <f t="shared" si="97"/>
        <v>0.6</v>
      </c>
      <c r="N1278" s="1">
        <f t="shared" si="98"/>
        <v>45216</v>
      </c>
      <c r="O1278" s="3">
        <f>(Table13[[#This Row],[Units_Sold]]*Table13[[#This Row],[Unit_Price_Cleaned]]*(1-Table13[[#This Row],[Discount Cleaned]]))</f>
        <v>3240.1515652173907</v>
      </c>
      <c r="P1278" t="str">
        <f t="shared" si="99"/>
        <v>Profit</v>
      </c>
      <c r="Q1278" t="str" cm="1">
        <f t="array" ref="Q1278">IF(K1278="",INDEX($K$2:$K$2501,MATCH(MAX(COUNTIF($K$2:$K$2501,$K$2:$K$2501)),COUNTIF($K$2:$K$2501,$K$2:$K$2501),0)),K1278)</f>
        <v>B2C</v>
      </c>
    </row>
    <row r="1279" spans="1:17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 s="3">
        <f t="shared" si="95"/>
        <v>8647.5139655172406</v>
      </c>
      <c r="I1279" s="1">
        <v>45597</v>
      </c>
      <c r="J1279" t="s">
        <v>22</v>
      </c>
      <c r="L1279" s="2">
        <f t="shared" si="96"/>
        <v>2882.5046551724135</v>
      </c>
      <c r="M1279" s="4">
        <f t="shared" si="97"/>
        <v>0.6</v>
      </c>
      <c r="N1279" s="1">
        <f t="shared" si="98"/>
        <v>45597</v>
      </c>
      <c r="O1279" s="3">
        <f>(Table13[[#This Row],[Units_Sold]]*Table13[[#This Row],[Unit_Price_Cleaned]]*(1-Table13[[#This Row],[Discount Cleaned]]))</f>
        <v>3459.0055862068966</v>
      </c>
      <c r="P1279" t="str">
        <f t="shared" si="99"/>
        <v>Profit</v>
      </c>
      <c r="Q1279" t="str" cm="1">
        <f t="array" ref="Q1279">IF(K1279="",INDEX($K$2:$K$2501,MATCH(MAX(COUNTIF($K$2:$K$2501,$K$2:$K$2501)),COUNTIF($K$2:$K$2501,$K$2:$K$2501),0)),K1279)</f>
        <v>B2B</v>
      </c>
    </row>
    <row r="1280" spans="1:17" x14ac:dyDescent="0.3">
      <c r="A1280">
        <v>2278</v>
      </c>
      <c r="B1280" t="s">
        <v>1317</v>
      </c>
      <c r="C1280" t="s">
        <v>38</v>
      </c>
      <c r="D1280" t="s">
        <v>39</v>
      </c>
      <c r="E1280">
        <v>2</v>
      </c>
      <c r="G1280">
        <v>0.95</v>
      </c>
      <c r="H1280" s="3">
        <f t="shared" si="95"/>
        <v>6016.7688888888888</v>
      </c>
      <c r="I1280" s="1">
        <v>45816</v>
      </c>
      <c r="J1280" t="s">
        <v>22</v>
      </c>
      <c r="K1280" t="s">
        <v>23</v>
      </c>
      <c r="L1280" s="2">
        <f t="shared" si="96"/>
        <v>3008.3844444444444</v>
      </c>
      <c r="M1280" s="4">
        <f t="shared" si="97"/>
        <v>0.95</v>
      </c>
      <c r="N1280" s="1">
        <f t="shared" si="98"/>
        <v>45816</v>
      </c>
      <c r="O1280" s="3">
        <f>(Table13[[#This Row],[Units_Sold]]*Table13[[#This Row],[Unit_Price_Cleaned]]*(1-Table13[[#This Row],[Discount Cleaned]]))</f>
        <v>300.83844444444469</v>
      </c>
      <c r="P1280" t="str">
        <f t="shared" si="99"/>
        <v>Loss</v>
      </c>
      <c r="Q1280" t="str" cm="1">
        <f t="array" ref="Q1280">IF(K1280="",INDEX($K$2:$K$2501,MATCH(MAX(COUNTIF($K$2:$K$2501,$K$2:$K$2501)),COUNTIF($K$2:$K$2501,$K$2:$K$2501),0)),K1280)</f>
        <v>B2B</v>
      </c>
    </row>
    <row r="1281" spans="1:17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 s="3">
        <f t="shared" si="95"/>
        <v>19765.260000000002</v>
      </c>
      <c r="I1281" s="1">
        <v>45572</v>
      </c>
      <c r="J1281" t="s">
        <v>46</v>
      </c>
      <c r="K1281" t="s">
        <v>16</v>
      </c>
      <c r="L1281" s="2">
        <f t="shared" si="96"/>
        <v>3294.21</v>
      </c>
      <c r="M1281" s="4">
        <f t="shared" si="97"/>
        <v>0.89</v>
      </c>
      <c r="N1281" s="1">
        <f t="shared" si="98"/>
        <v>45572</v>
      </c>
      <c r="O1281" s="3">
        <f>(Table13[[#This Row],[Units_Sold]]*Table13[[#This Row],[Unit_Price_Cleaned]]*(1-Table13[[#This Row],[Discount Cleaned]]))</f>
        <v>2174.1786000000002</v>
      </c>
      <c r="P1281" t="str">
        <f t="shared" si="99"/>
        <v>Profit</v>
      </c>
      <c r="Q1281" t="str" cm="1">
        <f t="array" ref="Q1281">IF(K1281="",INDEX($K$2:$K$2501,MATCH(MAX(COUNTIF($K$2:$K$2501,$K$2:$K$2501)),COUNTIF($K$2:$K$2501,$K$2:$K$2501),0)),K1281)</f>
        <v>B2C</v>
      </c>
    </row>
    <row r="1282" spans="1:17" x14ac:dyDescent="0.3">
      <c r="A1282">
        <v>2280</v>
      </c>
      <c r="B1282" t="s">
        <v>1319</v>
      </c>
      <c r="C1282" t="s">
        <v>33</v>
      </c>
      <c r="D1282" t="s">
        <v>34</v>
      </c>
      <c r="E1282">
        <v>2</v>
      </c>
      <c r="G1282">
        <v>1.1499999999999999</v>
      </c>
      <c r="H1282" s="3">
        <f t="shared" ref="H1282:H1345" si="100">(L1282*E1282)</f>
        <v>4974.07923076923</v>
      </c>
      <c r="I1282" s="1">
        <v>45860</v>
      </c>
      <c r="J1282" t="s">
        <v>18</v>
      </c>
      <c r="L1282" s="2">
        <f t="shared" ref="L1282:L1345" si="101">IF(F1282="",AVERAGEIF($D$2:$D$2501,D1282,$F$2:$F$2501),F1282)</f>
        <v>2487.039615384615</v>
      </c>
      <c r="M1282" s="4">
        <f t="shared" ref="M1282:M1345" si="102">IF(G1282="",MEDIAN($G$2,$G$2501),G1282)</f>
        <v>1.1499999999999999</v>
      </c>
      <c r="N1282" s="1">
        <f t="shared" ref="N1282:N1345" si="103">IF(I1282="",MODE($I$32:$I$2501),I1282)</f>
        <v>45860</v>
      </c>
      <c r="O1282" s="3">
        <f>(Table13[[#This Row],[Units_Sold]]*Table13[[#This Row],[Unit_Price_Cleaned]]*(1-Table13[[#This Row],[Discount Cleaned]]))</f>
        <v>-746.11188461538404</v>
      </c>
      <c r="P1282" t="str">
        <f t="shared" ref="P1282:P1345" si="104">IF(O1282&gt;500,"Profit","Loss")</f>
        <v>Loss</v>
      </c>
      <c r="Q1282" t="str" cm="1">
        <f t="array" ref="Q1282">IF(K1282="",INDEX($K$2:$K$2501,MATCH(MAX(COUNTIF($K$2:$K$2501,$K$2:$K$2501)),COUNTIF($K$2:$K$2501,$K$2:$K$2501),0)),K1282)</f>
        <v>B2B</v>
      </c>
    </row>
    <row r="1283" spans="1:17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 s="3">
        <f t="shared" si="100"/>
        <v>-3008.3844444444444</v>
      </c>
      <c r="J1283" t="s">
        <v>46</v>
      </c>
      <c r="K1283" t="s">
        <v>16</v>
      </c>
      <c r="L1283" s="2">
        <f t="shared" si="101"/>
        <v>3008.3844444444444</v>
      </c>
      <c r="M1283" s="4">
        <f t="shared" si="102"/>
        <v>0.6</v>
      </c>
      <c r="N1283" s="1">
        <f t="shared" si="103"/>
        <v>45782</v>
      </c>
      <c r="O1283" s="3">
        <f>(Table13[[#This Row],[Units_Sold]]*Table13[[#This Row],[Unit_Price_Cleaned]]*(1-Table13[[#This Row],[Discount Cleaned]]))</f>
        <v>-1203.3537777777779</v>
      </c>
      <c r="P1283" t="str">
        <f t="shared" si="104"/>
        <v>Loss</v>
      </c>
      <c r="Q1283" t="str" cm="1">
        <f t="array" ref="Q1283">IF(K1283="",INDEX($K$2:$K$2501,MATCH(MAX(COUNTIF($K$2:$K$2501,$K$2:$K$2501)),COUNTIF($K$2:$K$2501,$K$2:$K$2501),0)),K1283)</f>
        <v>B2C</v>
      </c>
    </row>
    <row r="1284" spans="1:17" x14ac:dyDescent="0.3">
      <c r="A1284">
        <v>2282</v>
      </c>
      <c r="B1284" t="s">
        <v>1321</v>
      </c>
      <c r="C1284" t="s">
        <v>20</v>
      </c>
      <c r="D1284" t="s">
        <v>21</v>
      </c>
      <c r="E1284">
        <v>2</v>
      </c>
      <c r="F1284">
        <v>491.36</v>
      </c>
      <c r="G1284">
        <v>0.42</v>
      </c>
      <c r="H1284" s="3">
        <f t="shared" si="100"/>
        <v>982.72</v>
      </c>
      <c r="I1284" s="1">
        <v>45276</v>
      </c>
      <c r="J1284" t="s">
        <v>15</v>
      </c>
      <c r="L1284" s="2">
        <f t="shared" si="101"/>
        <v>491.36</v>
      </c>
      <c r="M1284" s="4">
        <f t="shared" si="102"/>
        <v>0.42</v>
      </c>
      <c r="N1284" s="1">
        <f t="shared" si="103"/>
        <v>45276</v>
      </c>
      <c r="O1284" s="3">
        <f>(Table13[[#This Row],[Units_Sold]]*Table13[[#This Row],[Unit_Price_Cleaned]]*(1-Table13[[#This Row],[Discount Cleaned]]))</f>
        <v>569.97760000000005</v>
      </c>
      <c r="P1284" t="str">
        <f t="shared" si="104"/>
        <v>Profit</v>
      </c>
      <c r="Q1284" t="str" cm="1">
        <f t="array" ref="Q1284">IF(K1284="",INDEX($K$2:$K$2501,MATCH(MAX(COUNTIF($K$2:$K$2501,$K$2:$K$2501)),COUNTIF($K$2:$K$2501,$K$2:$K$2501),0)),K1284)</f>
        <v>B2B</v>
      </c>
    </row>
    <row r="1285" spans="1:17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 s="3">
        <f t="shared" si="100"/>
        <v>16355.134285714288</v>
      </c>
      <c r="I1285" s="1">
        <v>45762</v>
      </c>
      <c r="J1285" t="s">
        <v>40</v>
      </c>
      <c r="L1285" s="2">
        <f t="shared" si="101"/>
        <v>2725.8557142857148</v>
      </c>
      <c r="M1285" s="4">
        <f t="shared" si="102"/>
        <v>0.94</v>
      </c>
      <c r="N1285" s="1">
        <f t="shared" si="103"/>
        <v>45762</v>
      </c>
      <c r="O1285" s="3">
        <f>(Table13[[#This Row],[Units_Sold]]*Table13[[#This Row],[Unit_Price_Cleaned]]*(1-Table13[[#This Row],[Discount Cleaned]]))</f>
        <v>981.30805714285816</v>
      </c>
      <c r="P1285" t="str">
        <f t="shared" si="104"/>
        <v>Profit</v>
      </c>
      <c r="Q1285" t="str" cm="1">
        <f t="array" ref="Q1285">IF(K1285="",INDEX($K$2:$K$2501,MATCH(MAX(COUNTIF($K$2:$K$2501,$K$2:$K$2501)),COUNTIF($K$2:$K$2501,$K$2:$K$2501),0)),K1285)</f>
        <v>B2B</v>
      </c>
    </row>
    <row r="1286" spans="1:17" x14ac:dyDescent="0.3">
      <c r="A1286">
        <v>2284</v>
      </c>
      <c r="B1286" t="s">
        <v>1323</v>
      </c>
      <c r="C1286" t="s">
        <v>29</v>
      </c>
      <c r="D1286" t="s">
        <v>141</v>
      </c>
      <c r="E1286">
        <v>2</v>
      </c>
      <c r="F1286">
        <v>3736.2</v>
      </c>
      <c r="H1286" s="3">
        <f t="shared" si="100"/>
        <v>7472.4</v>
      </c>
      <c r="I1286" s="1">
        <v>45743</v>
      </c>
      <c r="J1286" t="s">
        <v>15</v>
      </c>
      <c r="K1286" t="s">
        <v>16</v>
      </c>
      <c r="L1286" s="2">
        <f t="shared" si="101"/>
        <v>3736.2</v>
      </c>
      <c r="M1286" s="4">
        <f t="shared" si="102"/>
        <v>0.6</v>
      </c>
      <c r="N1286" s="1">
        <f t="shared" si="103"/>
        <v>45743</v>
      </c>
      <c r="O1286" s="3">
        <f>(Table13[[#This Row],[Units_Sold]]*Table13[[#This Row],[Unit_Price_Cleaned]]*(1-Table13[[#This Row],[Discount Cleaned]]))</f>
        <v>2988.96</v>
      </c>
      <c r="P1286" t="str">
        <f t="shared" si="104"/>
        <v>Profit</v>
      </c>
      <c r="Q1286" t="str" cm="1">
        <f t="array" ref="Q1286">IF(K1286="",INDEX($K$2:$K$2501,MATCH(MAX(COUNTIF($K$2:$K$2501,$K$2:$K$2501)),COUNTIF($K$2:$K$2501,$K$2:$K$2501),0)),K1286)</f>
        <v>B2C</v>
      </c>
    </row>
    <row r="1287" spans="1:17" x14ac:dyDescent="0.3">
      <c r="A1287">
        <v>2285</v>
      </c>
      <c r="B1287" t="s">
        <v>1324</v>
      </c>
      <c r="C1287" t="s">
        <v>25</v>
      </c>
      <c r="D1287" t="s">
        <v>26</v>
      </c>
      <c r="E1287">
        <v>2</v>
      </c>
      <c r="F1287">
        <v>2287.67</v>
      </c>
      <c r="G1287">
        <v>0.56000000000000005</v>
      </c>
      <c r="H1287" s="3">
        <f t="shared" si="100"/>
        <v>4575.34</v>
      </c>
      <c r="I1287" s="1">
        <v>45391</v>
      </c>
      <c r="J1287" t="s">
        <v>56</v>
      </c>
      <c r="K1287" t="s">
        <v>23</v>
      </c>
      <c r="L1287" s="2">
        <f t="shared" si="101"/>
        <v>2287.67</v>
      </c>
      <c r="M1287" s="4">
        <f t="shared" si="102"/>
        <v>0.56000000000000005</v>
      </c>
      <c r="N1287" s="1">
        <f t="shared" si="103"/>
        <v>45391</v>
      </c>
      <c r="O1287" s="3">
        <f>(Table13[[#This Row],[Units_Sold]]*Table13[[#This Row],[Unit_Price_Cleaned]]*(1-Table13[[#This Row],[Discount Cleaned]]))</f>
        <v>2013.1495999999997</v>
      </c>
      <c r="P1287" t="str">
        <f t="shared" si="104"/>
        <v>Profit</v>
      </c>
      <c r="Q1287" t="str" cm="1">
        <f t="array" ref="Q1287">IF(K1287="",INDEX($K$2:$K$2501,MATCH(MAX(COUNTIF($K$2:$K$2501,$K$2:$K$2501)),COUNTIF($K$2:$K$2501,$K$2:$K$2501),0)),K1287)</f>
        <v>B2B</v>
      </c>
    </row>
    <row r="1288" spans="1:17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 s="3">
        <f t="shared" si="100"/>
        <v>2725.8557142857148</v>
      </c>
      <c r="I1288" s="1">
        <v>45770</v>
      </c>
      <c r="J1288" t="s">
        <v>46</v>
      </c>
      <c r="K1288" t="s">
        <v>16</v>
      </c>
      <c r="L1288" s="2">
        <f t="shared" si="101"/>
        <v>2725.8557142857148</v>
      </c>
      <c r="M1288" s="4">
        <f t="shared" si="102"/>
        <v>0.6</v>
      </c>
      <c r="N1288" s="1">
        <f t="shared" si="103"/>
        <v>45770</v>
      </c>
      <c r="O1288" s="3">
        <f>(Table13[[#This Row],[Units_Sold]]*Table13[[#This Row],[Unit_Price_Cleaned]]*(1-Table13[[#This Row],[Discount Cleaned]]))</f>
        <v>1090.3422857142859</v>
      </c>
      <c r="P1288" t="str">
        <f t="shared" si="104"/>
        <v>Profit</v>
      </c>
      <c r="Q1288" t="str" cm="1">
        <f t="array" ref="Q1288">IF(K1288="",INDEX($K$2:$K$2501,MATCH(MAX(COUNTIF($K$2:$K$2501,$K$2:$K$2501)),COUNTIF($K$2:$K$2501,$K$2:$K$2501),0)),K1288)</f>
        <v>B2C</v>
      </c>
    </row>
    <row r="1289" spans="1:17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 s="3">
        <f t="shared" si="100"/>
        <v>11555.485714285714</v>
      </c>
      <c r="J1289" t="s">
        <v>40</v>
      </c>
      <c r="K1289" t="s">
        <v>23</v>
      </c>
      <c r="L1289" s="2">
        <f t="shared" si="101"/>
        <v>2888.8714285714286</v>
      </c>
      <c r="M1289" s="4">
        <f t="shared" si="102"/>
        <v>0.6</v>
      </c>
      <c r="N1289" s="1">
        <f t="shared" si="103"/>
        <v>45782</v>
      </c>
      <c r="O1289" s="3">
        <f>(Table13[[#This Row],[Units_Sold]]*Table13[[#This Row],[Unit_Price_Cleaned]]*(1-Table13[[#This Row],[Discount Cleaned]]))</f>
        <v>4622.1942857142858</v>
      </c>
      <c r="P1289" t="str">
        <f t="shared" si="104"/>
        <v>Profit</v>
      </c>
      <c r="Q1289" t="str" cm="1">
        <f t="array" ref="Q1289">IF(K1289="",INDEX($K$2:$K$2501,MATCH(MAX(COUNTIF($K$2:$K$2501,$K$2:$K$2501)),COUNTIF($K$2:$K$2501,$K$2:$K$2501),0)),K1289)</f>
        <v>B2B</v>
      </c>
    </row>
    <row r="1290" spans="1:17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 s="3">
        <f t="shared" si="100"/>
        <v>11380.967868852464</v>
      </c>
      <c r="J1290" t="s">
        <v>40</v>
      </c>
      <c r="L1290" s="2">
        <f t="shared" si="101"/>
        <v>2845.2419672131159</v>
      </c>
      <c r="M1290" s="4">
        <f t="shared" si="102"/>
        <v>0.6</v>
      </c>
      <c r="N1290" s="1">
        <f t="shared" si="103"/>
        <v>45782</v>
      </c>
      <c r="O1290" s="3">
        <f>(Table13[[#This Row],[Units_Sold]]*Table13[[#This Row],[Unit_Price_Cleaned]]*(1-Table13[[#This Row],[Discount Cleaned]]))</f>
        <v>4552.387147540986</v>
      </c>
      <c r="P1290" t="str">
        <f t="shared" si="104"/>
        <v>Profit</v>
      </c>
      <c r="Q1290" t="str" cm="1">
        <f t="array" ref="Q1290">IF(K1290="",INDEX($K$2:$K$2501,MATCH(MAX(COUNTIF($K$2:$K$2501,$K$2:$K$2501)),COUNTIF($K$2:$K$2501,$K$2:$K$2501),0)),K1290)</f>
        <v>B2B</v>
      </c>
    </row>
    <row r="1291" spans="1:17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 s="3">
        <f t="shared" si="100"/>
        <v>0</v>
      </c>
      <c r="J1291" t="s">
        <v>18</v>
      </c>
      <c r="K1291" t="s">
        <v>16</v>
      </c>
      <c r="L1291" s="2">
        <f t="shared" si="101"/>
        <v>3407.2</v>
      </c>
      <c r="M1291" s="4">
        <f t="shared" si="102"/>
        <v>0.6</v>
      </c>
      <c r="N1291" s="1">
        <f t="shared" si="103"/>
        <v>45782</v>
      </c>
      <c r="O1291" s="3">
        <f>(Table13[[#This Row],[Units_Sold]]*Table13[[#This Row],[Unit_Price_Cleaned]]*(1-Table13[[#This Row],[Discount Cleaned]]))</f>
        <v>0</v>
      </c>
      <c r="P1291" t="str">
        <f t="shared" si="104"/>
        <v>Loss</v>
      </c>
      <c r="Q1291" t="str" cm="1">
        <f t="array" ref="Q1291">IF(K1291="",INDEX($K$2:$K$2501,MATCH(MAX(COUNTIF($K$2:$K$2501,$K$2:$K$2501)),COUNTIF($K$2:$K$2501,$K$2:$K$2501),0)),K1291)</f>
        <v>B2C</v>
      </c>
    </row>
    <row r="1292" spans="1:17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 s="3">
        <f t="shared" si="100"/>
        <v>5621.56</v>
      </c>
      <c r="I1292" s="1">
        <v>45527</v>
      </c>
      <c r="J1292" t="s">
        <v>40</v>
      </c>
      <c r="K1292" t="s">
        <v>16</v>
      </c>
      <c r="L1292" s="2">
        <f t="shared" si="101"/>
        <v>1405.39</v>
      </c>
      <c r="M1292" s="4">
        <f t="shared" si="102"/>
        <v>0.6</v>
      </c>
      <c r="N1292" s="1">
        <f t="shared" si="103"/>
        <v>45527</v>
      </c>
      <c r="O1292" s="3">
        <f>(Table13[[#This Row],[Units_Sold]]*Table13[[#This Row],[Unit_Price_Cleaned]]*(1-Table13[[#This Row],[Discount Cleaned]]))</f>
        <v>2248.6240000000003</v>
      </c>
      <c r="P1292" t="str">
        <f t="shared" si="104"/>
        <v>Profit</v>
      </c>
      <c r="Q1292" t="str" cm="1">
        <f t="array" ref="Q1292">IF(K1292="",INDEX($K$2:$K$2501,MATCH(MAX(COUNTIF($K$2:$K$2501,$K$2:$K$2501)),COUNTIF($K$2:$K$2501,$K$2:$K$2501),0)),K1292)</f>
        <v>B2C</v>
      </c>
    </row>
    <row r="1293" spans="1:17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 s="3">
        <f t="shared" si="100"/>
        <v>12871.28</v>
      </c>
      <c r="J1293" t="s">
        <v>40</v>
      </c>
      <c r="K1293" t="s">
        <v>23</v>
      </c>
      <c r="L1293" s="2">
        <f t="shared" si="101"/>
        <v>3217.82</v>
      </c>
      <c r="M1293" s="4">
        <f t="shared" si="102"/>
        <v>0.6</v>
      </c>
      <c r="N1293" s="1">
        <f t="shared" si="103"/>
        <v>45782</v>
      </c>
      <c r="O1293" s="3">
        <f>(Table13[[#This Row],[Units_Sold]]*Table13[[#This Row],[Unit_Price_Cleaned]]*(1-Table13[[#This Row],[Discount Cleaned]]))</f>
        <v>5148.5120000000006</v>
      </c>
      <c r="P1293" t="str">
        <f t="shared" si="104"/>
        <v>Profit</v>
      </c>
      <c r="Q1293" t="str" cm="1">
        <f t="array" ref="Q1293">IF(K1293="",INDEX($K$2:$K$2501,MATCH(MAX(COUNTIF($K$2:$K$2501,$K$2:$K$2501)),COUNTIF($K$2:$K$2501,$K$2:$K$2501),0)),K1293)</f>
        <v>B2B</v>
      </c>
    </row>
    <row r="1294" spans="1:17" x14ac:dyDescent="0.3">
      <c r="A1294">
        <v>2292</v>
      </c>
      <c r="B1294" t="s">
        <v>1331</v>
      </c>
      <c r="C1294" t="s">
        <v>38</v>
      </c>
      <c r="D1294" t="s">
        <v>91</v>
      </c>
      <c r="E1294">
        <v>2</v>
      </c>
      <c r="F1294">
        <v>3974.58</v>
      </c>
      <c r="H1294" s="3">
        <f t="shared" si="100"/>
        <v>7949.16</v>
      </c>
      <c r="I1294" s="1">
        <v>45726</v>
      </c>
      <c r="J1294" t="s">
        <v>56</v>
      </c>
      <c r="L1294" s="2">
        <f t="shared" si="101"/>
        <v>3974.58</v>
      </c>
      <c r="M1294" s="4">
        <f t="shared" si="102"/>
        <v>0.6</v>
      </c>
      <c r="N1294" s="1">
        <f t="shared" si="103"/>
        <v>45726</v>
      </c>
      <c r="O1294" s="3">
        <f>(Table13[[#This Row],[Units_Sold]]*Table13[[#This Row],[Unit_Price_Cleaned]]*(1-Table13[[#This Row],[Discount Cleaned]]))</f>
        <v>3179.6640000000002</v>
      </c>
      <c r="P1294" t="str">
        <f t="shared" si="104"/>
        <v>Profit</v>
      </c>
      <c r="Q1294" t="str" cm="1">
        <f t="array" ref="Q1294">IF(K1294="",INDEX($K$2:$K$2501,MATCH(MAX(COUNTIF($K$2:$K$2501,$K$2:$K$2501)),COUNTIF($K$2:$K$2501,$K$2:$K$2501),0)),K1294)</f>
        <v>B2B</v>
      </c>
    </row>
    <row r="1295" spans="1:17" x14ac:dyDescent="0.3">
      <c r="A1295">
        <v>2293</v>
      </c>
      <c r="B1295" t="s">
        <v>1332</v>
      </c>
      <c r="C1295" t="s">
        <v>25</v>
      </c>
      <c r="D1295" t="s">
        <v>26</v>
      </c>
      <c r="E1295">
        <v>2</v>
      </c>
      <c r="F1295">
        <v>3241.57</v>
      </c>
      <c r="H1295" s="3">
        <f t="shared" si="100"/>
        <v>6483.14</v>
      </c>
      <c r="I1295" s="1">
        <v>45500</v>
      </c>
      <c r="J1295" t="s">
        <v>18</v>
      </c>
      <c r="K1295" t="s">
        <v>16</v>
      </c>
      <c r="L1295" s="2">
        <f t="shared" si="101"/>
        <v>3241.57</v>
      </c>
      <c r="M1295" s="4">
        <f t="shared" si="102"/>
        <v>0.6</v>
      </c>
      <c r="N1295" s="1">
        <f t="shared" si="103"/>
        <v>45500</v>
      </c>
      <c r="O1295" s="3">
        <f>(Table13[[#This Row],[Units_Sold]]*Table13[[#This Row],[Unit_Price_Cleaned]]*(1-Table13[[#This Row],[Discount Cleaned]]))</f>
        <v>2593.2560000000003</v>
      </c>
      <c r="P1295" t="str">
        <f t="shared" si="104"/>
        <v>Profit</v>
      </c>
      <c r="Q1295" t="str" cm="1">
        <f t="array" ref="Q1295">IF(K1295="",INDEX($K$2:$K$2501,MATCH(MAX(COUNTIF($K$2:$K$2501,$K$2:$K$2501)),COUNTIF($K$2:$K$2501,$K$2:$K$2501),0)),K1295)</f>
        <v>B2C</v>
      </c>
    </row>
    <row r="1296" spans="1:17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 s="3">
        <f t="shared" si="100"/>
        <v>-2804.2651923076919</v>
      </c>
      <c r="I1296" s="1">
        <v>45147</v>
      </c>
      <c r="J1296" t="s">
        <v>15</v>
      </c>
      <c r="L1296" s="2">
        <f t="shared" si="101"/>
        <v>2804.2651923076919</v>
      </c>
      <c r="M1296" s="4">
        <f t="shared" si="102"/>
        <v>0.16</v>
      </c>
      <c r="N1296" s="1">
        <f t="shared" si="103"/>
        <v>45147</v>
      </c>
      <c r="O1296" s="3">
        <f>(Table13[[#This Row],[Units_Sold]]*Table13[[#This Row],[Unit_Price_Cleaned]]*(1-Table13[[#This Row],[Discount Cleaned]]))</f>
        <v>-2355.582761538461</v>
      </c>
      <c r="P1296" t="str">
        <f t="shared" si="104"/>
        <v>Loss</v>
      </c>
      <c r="Q1296" t="str" cm="1">
        <f t="array" ref="Q1296">IF(K1296="",INDEX($K$2:$K$2501,MATCH(MAX(COUNTIF($K$2:$K$2501,$K$2:$K$2501)),COUNTIF($K$2:$K$2501,$K$2:$K$2501),0)),K1296)</f>
        <v>B2B</v>
      </c>
    </row>
    <row r="1297" spans="1:17" x14ac:dyDescent="0.3">
      <c r="A1297">
        <v>2295</v>
      </c>
      <c r="B1297" t="s">
        <v>1334</v>
      </c>
      <c r="C1297" t="s">
        <v>25</v>
      </c>
      <c r="D1297" t="s">
        <v>54</v>
      </c>
      <c r="E1297">
        <v>2</v>
      </c>
      <c r="F1297">
        <v>3189.35</v>
      </c>
      <c r="H1297" s="3">
        <f t="shared" si="100"/>
        <v>6378.7</v>
      </c>
      <c r="I1297" s="1">
        <v>45569</v>
      </c>
      <c r="J1297" t="s">
        <v>40</v>
      </c>
      <c r="L1297" s="2">
        <f t="shared" si="101"/>
        <v>3189.35</v>
      </c>
      <c r="M1297" s="4">
        <f t="shared" si="102"/>
        <v>0.6</v>
      </c>
      <c r="N1297" s="1">
        <f t="shared" si="103"/>
        <v>45569</v>
      </c>
      <c r="O1297" s="3">
        <f>(Table13[[#This Row],[Units_Sold]]*Table13[[#This Row],[Unit_Price_Cleaned]]*(1-Table13[[#This Row],[Discount Cleaned]]))</f>
        <v>2551.48</v>
      </c>
      <c r="P1297" t="str">
        <f t="shared" si="104"/>
        <v>Profit</v>
      </c>
      <c r="Q1297" t="str" cm="1">
        <f t="array" ref="Q1297">IF(K1297="",INDEX($K$2:$K$2501,MATCH(MAX(COUNTIF($K$2:$K$2501,$K$2:$K$2501)),COUNTIF($K$2:$K$2501,$K$2:$K$2501),0)),K1297)</f>
        <v>B2B</v>
      </c>
    </row>
    <row r="1298" spans="1:17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 s="3">
        <f t="shared" si="100"/>
        <v>16657.321200000002</v>
      </c>
      <c r="I1298" s="1">
        <v>45840</v>
      </c>
      <c r="J1298" t="s">
        <v>46</v>
      </c>
      <c r="K1298" t="s">
        <v>16</v>
      </c>
      <c r="L1298" s="2">
        <f t="shared" si="101"/>
        <v>2776.2202000000002</v>
      </c>
      <c r="M1298" s="4">
        <f t="shared" si="102"/>
        <v>0.28999999999999998</v>
      </c>
      <c r="N1298" s="1">
        <f t="shared" si="103"/>
        <v>45840</v>
      </c>
      <c r="O1298" s="3">
        <f>(Table13[[#This Row],[Units_Sold]]*Table13[[#This Row],[Unit_Price_Cleaned]]*(1-Table13[[#This Row],[Discount Cleaned]]))</f>
        <v>11826.698052000002</v>
      </c>
      <c r="P1298" t="str">
        <f t="shared" si="104"/>
        <v>Profit</v>
      </c>
      <c r="Q1298" t="str" cm="1">
        <f t="array" ref="Q1298">IF(K1298="",INDEX($K$2:$K$2501,MATCH(MAX(COUNTIF($K$2:$K$2501,$K$2:$K$2501)),COUNTIF($K$2:$K$2501,$K$2:$K$2501),0)),K1298)</f>
        <v>B2C</v>
      </c>
    </row>
    <row r="1299" spans="1:17" x14ac:dyDescent="0.3">
      <c r="A1299">
        <v>2297</v>
      </c>
      <c r="B1299" t="s">
        <v>1336</v>
      </c>
      <c r="C1299" t="s">
        <v>38</v>
      </c>
      <c r="D1299" t="s">
        <v>91</v>
      </c>
      <c r="E1299">
        <v>2</v>
      </c>
      <c r="G1299">
        <v>0.28999999999999998</v>
      </c>
      <c r="H1299" s="3">
        <f t="shared" si="100"/>
        <v>5737.5536363636356</v>
      </c>
      <c r="I1299" s="1">
        <v>45666</v>
      </c>
      <c r="J1299" t="s">
        <v>15</v>
      </c>
      <c r="L1299" s="2">
        <f t="shared" si="101"/>
        <v>2868.7768181818178</v>
      </c>
      <c r="M1299" s="4">
        <f t="shared" si="102"/>
        <v>0.28999999999999998</v>
      </c>
      <c r="N1299" s="1">
        <f t="shared" si="103"/>
        <v>45666</v>
      </c>
      <c r="O1299" s="3">
        <f>(Table13[[#This Row],[Units_Sold]]*Table13[[#This Row],[Unit_Price_Cleaned]]*(1-Table13[[#This Row],[Discount Cleaned]]))</f>
        <v>4073.6630818181811</v>
      </c>
      <c r="P1299" t="str">
        <f t="shared" si="104"/>
        <v>Profit</v>
      </c>
      <c r="Q1299" t="str" cm="1">
        <f t="array" ref="Q1299">IF(K1299="",INDEX($K$2:$K$2501,MATCH(MAX(COUNTIF($K$2:$K$2501,$K$2:$K$2501)),COUNTIF($K$2:$K$2501,$K$2:$K$2501),0)),K1299)</f>
        <v>B2B</v>
      </c>
    </row>
    <row r="1300" spans="1:17" x14ac:dyDescent="0.3">
      <c r="A1300">
        <v>2298</v>
      </c>
      <c r="B1300" t="s">
        <v>1337</v>
      </c>
      <c r="C1300" t="s">
        <v>33</v>
      </c>
      <c r="D1300" t="s">
        <v>82</v>
      </c>
      <c r="E1300">
        <v>2</v>
      </c>
      <c r="H1300" s="3">
        <f t="shared" si="100"/>
        <v>5552.4404000000004</v>
      </c>
      <c r="I1300" s="1">
        <v>45812</v>
      </c>
      <c r="J1300" t="s">
        <v>18</v>
      </c>
      <c r="L1300" s="2">
        <f t="shared" si="101"/>
        <v>2776.2202000000002</v>
      </c>
      <c r="M1300" s="4">
        <f t="shared" si="102"/>
        <v>0.6</v>
      </c>
      <c r="N1300" s="1">
        <f t="shared" si="103"/>
        <v>45812</v>
      </c>
      <c r="O1300" s="3">
        <f>(Table13[[#This Row],[Units_Sold]]*Table13[[#This Row],[Unit_Price_Cleaned]]*(1-Table13[[#This Row],[Discount Cleaned]]))</f>
        <v>2220.9761600000002</v>
      </c>
      <c r="P1300" t="str">
        <f t="shared" si="104"/>
        <v>Profit</v>
      </c>
      <c r="Q1300" t="str" cm="1">
        <f t="array" ref="Q1300">IF(K1300="",INDEX($K$2:$K$2501,MATCH(MAX(COUNTIF($K$2:$K$2501,$K$2:$K$2501)),COUNTIF($K$2:$K$2501,$K$2:$K$2501),0)),K1300)</f>
        <v>B2B</v>
      </c>
    </row>
    <row r="1301" spans="1:17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 s="3">
        <f t="shared" si="100"/>
        <v>-5552.4404000000004</v>
      </c>
      <c r="I1301" s="1">
        <v>45770</v>
      </c>
      <c r="J1301" t="s">
        <v>22</v>
      </c>
      <c r="K1301" t="s">
        <v>16</v>
      </c>
      <c r="L1301" s="2">
        <f t="shared" si="101"/>
        <v>2776.2202000000002</v>
      </c>
      <c r="M1301" s="4">
        <f t="shared" si="102"/>
        <v>1.27</v>
      </c>
      <c r="N1301" s="1">
        <f t="shared" si="103"/>
        <v>45770</v>
      </c>
      <c r="O1301" s="3">
        <f>(Table13[[#This Row],[Units_Sold]]*Table13[[#This Row],[Unit_Price_Cleaned]]*(1-Table13[[#This Row],[Discount Cleaned]]))</f>
        <v>1499.1589080000001</v>
      </c>
      <c r="P1301" t="str">
        <f t="shared" si="104"/>
        <v>Profit</v>
      </c>
      <c r="Q1301" t="str" cm="1">
        <f t="array" ref="Q1301">IF(K1301="",INDEX($K$2:$K$2501,MATCH(MAX(COUNTIF($K$2:$K$2501,$K$2:$K$2501)),COUNTIF($K$2:$K$2501,$K$2:$K$2501),0)),K1301)</f>
        <v>B2C</v>
      </c>
    </row>
    <row r="1302" spans="1:17" x14ac:dyDescent="0.3">
      <c r="A1302">
        <v>2300</v>
      </c>
      <c r="B1302" t="s">
        <v>1339</v>
      </c>
      <c r="C1302" t="s">
        <v>29</v>
      </c>
      <c r="D1302" t="s">
        <v>42</v>
      </c>
      <c r="E1302">
        <v>2</v>
      </c>
      <c r="H1302" s="3">
        <f t="shared" si="100"/>
        <v>5119.3334615384629</v>
      </c>
      <c r="J1302" t="s">
        <v>56</v>
      </c>
      <c r="L1302" s="2">
        <f t="shared" si="101"/>
        <v>2559.6667307692314</v>
      </c>
      <c r="M1302" s="4">
        <f t="shared" si="102"/>
        <v>0.6</v>
      </c>
      <c r="N1302" s="1">
        <f t="shared" si="103"/>
        <v>45782</v>
      </c>
      <c r="O1302" s="3">
        <f>(Table13[[#This Row],[Units_Sold]]*Table13[[#This Row],[Unit_Price_Cleaned]]*(1-Table13[[#This Row],[Discount Cleaned]]))</f>
        <v>2047.7333846153851</v>
      </c>
      <c r="P1302" t="str">
        <f t="shared" si="104"/>
        <v>Profit</v>
      </c>
      <c r="Q1302" t="str" cm="1">
        <f t="array" ref="Q1302">IF(K1302="",INDEX($K$2:$K$2501,MATCH(MAX(COUNTIF($K$2:$K$2501,$K$2:$K$2501)),COUNTIF($K$2:$K$2501,$K$2:$K$2501),0)),K1302)</f>
        <v>B2B</v>
      </c>
    </row>
    <row r="1303" spans="1:17" x14ac:dyDescent="0.3">
      <c r="A1303">
        <v>2301</v>
      </c>
      <c r="B1303" t="s">
        <v>1340</v>
      </c>
      <c r="C1303" t="s">
        <v>38</v>
      </c>
      <c r="D1303" t="s">
        <v>59</v>
      </c>
      <c r="E1303">
        <v>2</v>
      </c>
      <c r="F1303">
        <v>3335.27</v>
      </c>
      <c r="G1303">
        <v>1.1299999999999999</v>
      </c>
      <c r="H1303" s="3">
        <f t="shared" si="100"/>
        <v>6670.54</v>
      </c>
      <c r="I1303" s="1">
        <v>45626</v>
      </c>
      <c r="J1303" t="s">
        <v>22</v>
      </c>
      <c r="L1303" s="2">
        <f t="shared" si="101"/>
        <v>3335.27</v>
      </c>
      <c r="M1303" s="4">
        <f t="shared" si="102"/>
        <v>1.1299999999999999</v>
      </c>
      <c r="N1303" s="1">
        <f t="shared" si="103"/>
        <v>45626</v>
      </c>
      <c r="O1303" s="3">
        <f>(Table13[[#This Row],[Units_Sold]]*Table13[[#This Row],[Unit_Price_Cleaned]]*(1-Table13[[#This Row],[Discount Cleaned]]))</f>
        <v>-867.17019999999934</v>
      </c>
      <c r="P1303" t="str">
        <f t="shared" si="104"/>
        <v>Loss</v>
      </c>
      <c r="Q1303" t="str" cm="1">
        <f t="array" ref="Q1303">IF(K1303="",INDEX($K$2:$K$2501,MATCH(MAX(COUNTIF($K$2:$K$2501,$K$2:$K$2501)),COUNTIF($K$2:$K$2501,$K$2:$K$2501),0)),K1303)</f>
        <v>B2B</v>
      </c>
    </row>
    <row r="1304" spans="1:17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 s="3">
        <f t="shared" si="100"/>
        <v>2868.7768181818178</v>
      </c>
      <c r="J1304" t="s">
        <v>18</v>
      </c>
      <c r="K1304" t="s">
        <v>16</v>
      </c>
      <c r="L1304" s="2">
        <f t="shared" si="101"/>
        <v>2868.7768181818178</v>
      </c>
      <c r="M1304" s="4">
        <f t="shared" si="102"/>
        <v>0.6</v>
      </c>
      <c r="N1304" s="1">
        <f t="shared" si="103"/>
        <v>45782</v>
      </c>
      <c r="O1304" s="3">
        <f>(Table13[[#This Row],[Units_Sold]]*Table13[[#This Row],[Unit_Price_Cleaned]]*(1-Table13[[#This Row],[Discount Cleaned]]))</f>
        <v>1147.5107272727271</v>
      </c>
      <c r="P1304" t="str">
        <f t="shared" si="104"/>
        <v>Profit</v>
      </c>
      <c r="Q1304" t="str" cm="1">
        <f t="array" ref="Q1304">IF(K1304="",INDEX($K$2:$K$2501,MATCH(MAX(COUNTIF($K$2:$K$2501,$K$2:$K$2501)),COUNTIF($K$2:$K$2501,$K$2:$K$2501),0)),K1304)</f>
        <v>B2C</v>
      </c>
    </row>
    <row r="1305" spans="1:17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 s="3">
        <f t="shared" si="100"/>
        <v>13211.22</v>
      </c>
      <c r="J1305" t="s">
        <v>56</v>
      </c>
      <c r="L1305" s="2">
        <f t="shared" si="101"/>
        <v>2201.87</v>
      </c>
      <c r="M1305" s="4">
        <f t="shared" si="102"/>
        <v>0.6</v>
      </c>
      <c r="N1305" s="1">
        <f t="shared" si="103"/>
        <v>45782</v>
      </c>
      <c r="O1305" s="3">
        <f>(Table13[[#This Row],[Units_Sold]]*Table13[[#This Row],[Unit_Price_Cleaned]]*(1-Table13[[#This Row],[Discount Cleaned]]))</f>
        <v>5284.4880000000003</v>
      </c>
      <c r="P1305" t="str">
        <f t="shared" si="104"/>
        <v>Profit</v>
      </c>
      <c r="Q1305" t="str" cm="1">
        <f t="array" ref="Q1305">IF(K1305="",INDEX($K$2:$K$2501,MATCH(MAX(COUNTIF($K$2:$K$2501,$K$2:$K$2501)),COUNTIF($K$2:$K$2501,$K$2:$K$2501),0)),K1305)</f>
        <v>B2B</v>
      </c>
    </row>
    <row r="1306" spans="1:17" x14ac:dyDescent="0.3">
      <c r="A1306">
        <v>2304</v>
      </c>
      <c r="B1306" t="s">
        <v>1343</v>
      </c>
      <c r="C1306" t="s">
        <v>29</v>
      </c>
      <c r="D1306" t="s">
        <v>141</v>
      </c>
      <c r="E1306">
        <v>2</v>
      </c>
      <c r="G1306">
        <v>0.3</v>
      </c>
      <c r="H1306" s="3">
        <f t="shared" si="100"/>
        <v>4925.58</v>
      </c>
      <c r="I1306" s="1">
        <v>45811</v>
      </c>
      <c r="J1306" t="s">
        <v>46</v>
      </c>
      <c r="K1306" t="s">
        <v>16</v>
      </c>
      <c r="L1306" s="2">
        <f t="shared" si="101"/>
        <v>2462.79</v>
      </c>
      <c r="M1306" s="4">
        <f t="shared" si="102"/>
        <v>0.3</v>
      </c>
      <c r="N1306" s="1">
        <f t="shared" si="103"/>
        <v>45811</v>
      </c>
      <c r="O1306" s="3">
        <f>(Table13[[#This Row],[Units_Sold]]*Table13[[#This Row],[Unit_Price_Cleaned]]*(1-Table13[[#This Row],[Discount Cleaned]]))</f>
        <v>3447.9059999999999</v>
      </c>
      <c r="P1306" t="str">
        <f t="shared" si="104"/>
        <v>Profit</v>
      </c>
      <c r="Q1306" t="str" cm="1">
        <f t="array" ref="Q1306">IF(K1306="",INDEX($K$2:$K$2501,MATCH(MAX(COUNTIF($K$2:$K$2501,$K$2:$K$2501)),COUNTIF($K$2:$K$2501,$K$2:$K$2501),0)),K1306)</f>
        <v>B2C</v>
      </c>
    </row>
    <row r="1307" spans="1:17" x14ac:dyDescent="0.3">
      <c r="A1307">
        <v>2305</v>
      </c>
      <c r="B1307" t="s">
        <v>1344</v>
      </c>
      <c r="C1307" t="s">
        <v>20</v>
      </c>
      <c r="D1307" t="s">
        <v>80</v>
      </c>
      <c r="E1307">
        <v>2</v>
      </c>
      <c r="F1307">
        <v>3476.06</v>
      </c>
      <c r="H1307" s="3">
        <f t="shared" si="100"/>
        <v>6952.12</v>
      </c>
      <c r="J1307" t="s">
        <v>40</v>
      </c>
      <c r="K1307" t="s">
        <v>16</v>
      </c>
      <c r="L1307" s="2">
        <f t="shared" si="101"/>
        <v>3476.06</v>
      </c>
      <c r="M1307" s="4">
        <f t="shared" si="102"/>
        <v>0.6</v>
      </c>
      <c r="N1307" s="1">
        <f t="shared" si="103"/>
        <v>45782</v>
      </c>
      <c r="O1307" s="3">
        <f>(Table13[[#This Row],[Units_Sold]]*Table13[[#This Row],[Unit_Price_Cleaned]]*(1-Table13[[#This Row],[Discount Cleaned]]))</f>
        <v>2780.848</v>
      </c>
      <c r="P1307" t="str">
        <f t="shared" si="104"/>
        <v>Profit</v>
      </c>
      <c r="Q1307" t="str" cm="1">
        <f t="array" ref="Q1307">IF(K1307="",INDEX($K$2:$K$2501,MATCH(MAX(COUNTIF($K$2:$K$2501,$K$2:$K$2501)),COUNTIF($K$2:$K$2501,$K$2:$K$2501),0)),K1307)</f>
        <v>B2C</v>
      </c>
    </row>
    <row r="1308" spans="1:17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 s="3">
        <f t="shared" si="100"/>
        <v>-5003.0619999999999</v>
      </c>
      <c r="I1308" s="1">
        <v>45260</v>
      </c>
      <c r="J1308" t="s">
        <v>18</v>
      </c>
      <c r="K1308" t="s">
        <v>16</v>
      </c>
      <c r="L1308" s="2">
        <f t="shared" si="101"/>
        <v>2501.5309999999999</v>
      </c>
      <c r="M1308" s="4">
        <f t="shared" si="102"/>
        <v>1.1499999999999999</v>
      </c>
      <c r="N1308" s="1">
        <f t="shared" si="103"/>
        <v>45260</v>
      </c>
      <c r="O1308" s="3">
        <f>(Table13[[#This Row],[Units_Sold]]*Table13[[#This Row],[Unit_Price_Cleaned]]*(1-Table13[[#This Row],[Discount Cleaned]]))</f>
        <v>750.45929999999953</v>
      </c>
      <c r="P1308" t="str">
        <f t="shared" si="104"/>
        <v>Profit</v>
      </c>
      <c r="Q1308" t="str" cm="1">
        <f t="array" ref="Q1308">IF(K1308="",INDEX($K$2:$K$2501,MATCH(MAX(COUNTIF($K$2:$K$2501,$K$2:$K$2501)),COUNTIF($K$2:$K$2501,$K$2:$K$2501),0)),K1308)</f>
        <v>B2C</v>
      </c>
    </row>
    <row r="1309" spans="1:17" x14ac:dyDescent="0.3">
      <c r="A1309">
        <v>2307</v>
      </c>
      <c r="B1309" t="s">
        <v>1346</v>
      </c>
      <c r="C1309" t="s">
        <v>25</v>
      </c>
      <c r="D1309" t="s">
        <v>86</v>
      </c>
      <c r="E1309">
        <v>2</v>
      </c>
      <c r="H1309" s="3">
        <f t="shared" si="100"/>
        <v>5003.0619999999999</v>
      </c>
      <c r="I1309" s="1">
        <v>45283</v>
      </c>
      <c r="J1309" t="s">
        <v>46</v>
      </c>
      <c r="L1309" s="2">
        <f t="shared" si="101"/>
        <v>2501.5309999999999</v>
      </c>
      <c r="M1309" s="4">
        <f t="shared" si="102"/>
        <v>0.6</v>
      </c>
      <c r="N1309" s="1">
        <f t="shared" si="103"/>
        <v>45283</v>
      </c>
      <c r="O1309" s="3">
        <f>(Table13[[#This Row],[Units_Sold]]*Table13[[#This Row],[Unit_Price_Cleaned]]*(1-Table13[[#This Row],[Discount Cleaned]]))</f>
        <v>2001.2248</v>
      </c>
      <c r="P1309" t="str">
        <f t="shared" si="104"/>
        <v>Profit</v>
      </c>
      <c r="Q1309" t="str" cm="1">
        <f t="array" ref="Q1309">IF(K1309="",INDEX($K$2:$K$2501,MATCH(MAX(COUNTIF($K$2:$K$2501,$K$2:$K$2501)),COUNTIF($K$2:$K$2501,$K$2:$K$2501),0)),K1309)</f>
        <v>B2B</v>
      </c>
    </row>
    <row r="1310" spans="1:17" x14ac:dyDescent="0.3">
      <c r="A1310">
        <v>2308</v>
      </c>
      <c r="B1310" t="s">
        <v>1347</v>
      </c>
      <c r="C1310" t="s">
        <v>38</v>
      </c>
      <c r="D1310" t="s">
        <v>59</v>
      </c>
      <c r="E1310">
        <v>2</v>
      </c>
      <c r="F1310">
        <v>3978.48</v>
      </c>
      <c r="H1310" s="3">
        <f t="shared" si="100"/>
        <v>7956.96</v>
      </c>
      <c r="I1310" s="1">
        <v>45632</v>
      </c>
      <c r="J1310" t="s">
        <v>15</v>
      </c>
      <c r="L1310" s="2">
        <f t="shared" si="101"/>
        <v>3978.48</v>
      </c>
      <c r="M1310" s="4">
        <f t="shared" si="102"/>
        <v>0.6</v>
      </c>
      <c r="N1310" s="1">
        <f t="shared" si="103"/>
        <v>45632</v>
      </c>
      <c r="O1310" s="3">
        <f>(Table13[[#This Row],[Units_Sold]]*Table13[[#This Row],[Unit_Price_Cleaned]]*(1-Table13[[#This Row],[Discount Cleaned]]))</f>
        <v>3182.7840000000001</v>
      </c>
      <c r="P1310" t="str">
        <f t="shared" si="104"/>
        <v>Profit</v>
      </c>
      <c r="Q1310" t="str" cm="1">
        <f t="array" ref="Q1310">IF(K1310="",INDEX($K$2:$K$2501,MATCH(MAX(COUNTIF($K$2:$K$2501,$K$2:$K$2501)),COUNTIF($K$2:$K$2501,$K$2:$K$2501),0)),K1310)</f>
        <v>B2B</v>
      </c>
    </row>
    <row r="1311" spans="1:17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 s="3">
        <f t="shared" si="100"/>
        <v>2882.5046551724135</v>
      </c>
      <c r="J1311" t="s">
        <v>15</v>
      </c>
      <c r="K1311" t="s">
        <v>23</v>
      </c>
      <c r="L1311" s="2">
        <f t="shared" si="101"/>
        <v>2882.5046551724135</v>
      </c>
      <c r="M1311" s="4">
        <f t="shared" si="102"/>
        <v>0.6</v>
      </c>
      <c r="N1311" s="1">
        <f t="shared" si="103"/>
        <v>45782</v>
      </c>
      <c r="O1311" s="3">
        <f>(Table13[[#This Row],[Units_Sold]]*Table13[[#This Row],[Unit_Price_Cleaned]]*(1-Table13[[#This Row],[Discount Cleaned]]))</f>
        <v>1153.0018620689655</v>
      </c>
      <c r="P1311" t="str">
        <f t="shared" si="104"/>
        <v>Profit</v>
      </c>
      <c r="Q1311" t="str" cm="1">
        <f t="array" ref="Q1311">IF(K1311="",INDEX($K$2:$K$2501,MATCH(MAX(COUNTIF($K$2:$K$2501,$K$2:$K$2501)),COUNTIF($K$2:$K$2501,$K$2:$K$2501),0)),K1311)</f>
        <v>B2B</v>
      </c>
    </row>
    <row r="1312" spans="1:17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 s="3">
        <f t="shared" si="100"/>
        <v>-4426.82</v>
      </c>
      <c r="I1312" s="1">
        <v>45780</v>
      </c>
      <c r="J1312" t="s">
        <v>56</v>
      </c>
      <c r="K1312" t="s">
        <v>16</v>
      </c>
      <c r="L1312" s="2">
        <f t="shared" si="101"/>
        <v>4426.82</v>
      </c>
      <c r="M1312" s="4">
        <f t="shared" si="102"/>
        <v>0.6</v>
      </c>
      <c r="N1312" s="1">
        <f t="shared" si="103"/>
        <v>45780</v>
      </c>
      <c r="O1312" s="3">
        <f>(Table13[[#This Row],[Units_Sold]]*Table13[[#This Row],[Unit_Price_Cleaned]]*(1-Table13[[#This Row],[Discount Cleaned]]))</f>
        <v>-1770.7280000000001</v>
      </c>
      <c r="P1312" t="str">
        <f t="shared" si="104"/>
        <v>Loss</v>
      </c>
      <c r="Q1312" t="str" cm="1">
        <f t="array" ref="Q1312">IF(K1312="",INDEX($K$2:$K$2501,MATCH(MAX(COUNTIF($K$2:$K$2501,$K$2:$K$2501)),COUNTIF($K$2:$K$2501,$K$2:$K$2501),0)),K1312)</f>
        <v>B2C</v>
      </c>
    </row>
    <row r="1313" spans="1:17" x14ac:dyDescent="0.3">
      <c r="A1313">
        <v>1034</v>
      </c>
      <c r="B1313" t="s">
        <v>1350</v>
      </c>
      <c r="C1313" t="s">
        <v>20</v>
      </c>
      <c r="D1313" t="s">
        <v>122</v>
      </c>
      <c r="E1313">
        <v>2</v>
      </c>
      <c r="F1313">
        <v>3062.79</v>
      </c>
      <c r="H1313" s="3">
        <f t="shared" si="100"/>
        <v>6125.58</v>
      </c>
      <c r="I1313" s="1">
        <v>45503</v>
      </c>
      <c r="J1313" t="s">
        <v>56</v>
      </c>
      <c r="L1313" s="2">
        <f t="shared" si="101"/>
        <v>3062.79</v>
      </c>
      <c r="M1313" s="4">
        <f t="shared" si="102"/>
        <v>0.6</v>
      </c>
      <c r="N1313" s="1">
        <f t="shared" si="103"/>
        <v>45503</v>
      </c>
      <c r="O1313" s="3">
        <f>(Table13[[#This Row],[Units_Sold]]*Table13[[#This Row],[Unit_Price_Cleaned]]*(1-Table13[[#This Row],[Discount Cleaned]]))</f>
        <v>2450.232</v>
      </c>
      <c r="P1313" t="str">
        <f t="shared" si="104"/>
        <v>Profit</v>
      </c>
      <c r="Q1313" t="str" cm="1">
        <f t="array" ref="Q1313">IF(K1313="",INDEX($K$2:$K$2501,MATCH(MAX(COUNTIF($K$2:$K$2501,$K$2:$K$2501)),COUNTIF($K$2:$K$2501,$K$2:$K$2501),0)),K1313)</f>
        <v>B2B</v>
      </c>
    </row>
    <row r="1314" spans="1:17" x14ac:dyDescent="0.3">
      <c r="A1314">
        <v>2312</v>
      </c>
      <c r="B1314" t="s">
        <v>1351</v>
      </c>
      <c r="C1314" t="s">
        <v>13</v>
      </c>
      <c r="D1314" t="s">
        <v>49</v>
      </c>
      <c r="E1314">
        <v>2</v>
      </c>
      <c r="F1314">
        <v>2688.08</v>
      </c>
      <c r="H1314" s="3">
        <f t="shared" si="100"/>
        <v>5376.16</v>
      </c>
      <c r="I1314" s="1">
        <v>45521</v>
      </c>
      <c r="J1314" t="s">
        <v>46</v>
      </c>
      <c r="K1314" t="s">
        <v>23</v>
      </c>
      <c r="L1314" s="2">
        <f t="shared" si="101"/>
        <v>2688.08</v>
      </c>
      <c r="M1314" s="4">
        <f t="shared" si="102"/>
        <v>0.6</v>
      </c>
      <c r="N1314" s="1">
        <f t="shared" si="103"/>
        <v>45521</v>
      </c>
      <c r="O1314" s="3">
        <f>(Table13[[#This Row],[Units_Sold]]*Table13[[#This Row],[Unit_Price_Cleaned]]*(1-Table13[[#This Row],[Discount Cleaned]]))</f>
        <v>2150.4639999999999</v>
      </c>
      <c r="P1314" t="str">
        <f t="shared" si="104"/>
        <v>Profit</v>
      </c>
      <c r="Q1314" t="str" cm="1">
        <f t="array" ref="Q1314">IF(K1314="",INDEX($K$2:$K$2501,MATCH(MAX(COUNTIF($K$2:$K$2501,$K$2:$K$2501)),COUNTIF($K$2:$K$2501,$K$2:$K$2501),0)),K1314)</f>
        <v>B2B</v>
      </c>
    </row>
    <row r="1315" spans="1:17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 s="3">
        <f t="shared" si="100"/>
        <v>4880.76</v>
      </c>
      <c r="I1315" s="1">
        <v>45724</v>
      </c>
      <c r="J1315" t="s">
        <v>40</v>
      </c>
      <c r="K1315" t="s">
        <v>23</v>
      </c>
      <c r="L1315" s="2">
        <f t="shared" si="101"/>
        <v>2440.38</v>
      </c>
      <c r="M1315" s="4">
        <f t="shared" si="102"/>
        <v>0.6</v>
      </c>
      <c r="N1315" s="1">
        <f t="shared" si="103"/>
        <v>45724</v>
      </c>
      <c r="O1315" s="3">
        <f>(Table13[[#This Row],[Units_Sold]]*Table13[[#This Row],[Unit_Price_Cleaned]]*(1-Table13[[#This Row],[Discount Cleaned]]))</f>
        <v>1952.3040000000001</v>
      </c>
      <c r="P1315" t="str">
        <f t="shared" si="104"/>
        <v>Profit</v>
      </c>
      <c r="Q1315" t="str" cm="1">
        <f t="array" ref="Q1315">IF(K1315="",INDEX($K$2:$K$2501,MATCH(MAX(COUNTIF($K$2:$K$2501,$K$2:$K$2501)),COUNTIF($K$2:$K$2501,$K$2:$K$2501),0)),K1315)</f>
        <v>B2B</v>
      </c>
    </row>
    <row r="1316" spans="1:17" x14ac:dyDescent="0.3">
      <c r="A1316">
        <v>2314</v>
      </c>
      <c r="B1316" t="s">
        <v>1353</v>
      </c>
      <c r="C1316" t="s">
        <v>29</v>
      </c>
      <c r="D1316" t="s">
        <v>120</v>
      </c>
      <c r="E1316">
        <v>2</v>
      </c>
      <c r="H1316" s="3">
        <f t="shared" si="100"/>
        <v>5660.2651428571462</v>
      </c>
      <c r="I1316" s="1">
        <v>45642</v>
      </c>
      <c r="J1316" t="s">
        <v>46</v>
      </c>
      <c r="K1316" t="s">
        <v>23</v>
      </c>
      <c r="L1316" s="2">
        <f t="shared" si="101"/>
        <v>2830.1325714285731</v>
      </c>
      <c r="M1316" s="4">
        <f t="shared" si="102"/>
        <v>0.6</v>
      </c>
      <c r="N1316" s="1">
        <f t="shared" si="103"/>
        <v>45642</v>
      </c>
      <c r="O1316" s="3">
        <f>(Table13[[#This Row],[Units_Sold]]*Table13[[#This Row],[Unit_Price_Cleaned]]*(1-Table13[[#This Row],[Discount Cleaned]]))</f>
        <v>2264.1060571428584</v>
      </c>
      <c r="P1316" t="str">
        <f t="shared" si="104"/>
        <v>Profit</v>
      </c>
      <c r="Q1316" t="str" cm="1">
        <f t="array" ref="Q1316">IF(K1316="",INDEX($K$2:$K$2501,MATCH(MAX(COUNTIF($K$2:$K$2501,$K$2:$K$2501)),COUNTIF($K$2:$K$2501,$K$2:$K$2501),0)),K1316)</f>
        <v>B2B</v>
      </c>
    </row>
    <row r="1317" spans="1:17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 s="3">
        <f t="shared" si="100"/>
        <v>3008.3844444444444</v>
      </c>
      <c r="I1317" s="1">
        <v>45710</v>
      </c>
      <c r="J1317" t="s">
        <v>46</v>
      </c>
      <c r="K1317" t="s">
        <v>23</v>
      </c>
      <c r="L1317" s="2">
        <f t="shared" si="101"/>
        <v>3008.3844444444444</v>
      </c>
      <c r="M1317" s="4">
        <f t="shared" si="102"/>
        <v>0.6</v>
      </c>
      <c r="N1317" s="1">
        <f t="shared" si="103"/>
        <v>45710</v>
      </c>
      <c r="O1317" s="3">
        <f>(Table13[[#This Row],[Units_Sold]]*Table13[[#This Row],[Unit_Price_Cleaned]]*(1-Table13[[#This Row],[Discount Cleaned]]))</f>
        <v>1203.3537777777779</v>
      </c>
      <c r="P1317" t="str">
        <f t="shared" si="104"/>
        <v>Profit</v>
      </c>
      <c r="Q1317" t="str" cm="1">
        <f t="array" ref="Q1317">IF(K1317="",INDEX($K$2:$K$2501,MATCH(MAX(COUNTIF($K$2:$K$2501,$K$2:$K$2501)),COUNTIF($K$2:$K$2501,$K$2:$K$2501),0)),K1317)</f>
        <v>B2B</v>
      </c>
    </row>
    <row r="1318" spans="1:17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 s="3">
        <f t="shared" si="100"/>
        <v>6117.92</v>
      </c>
      <c r="I1318" s="1">
        <v>45410</v>
      </c>
      <c r="J1318" t="s">
        <v>22</v>
      </c>
      <c r="K1318" t="s">
        <v>16</v>
      </c>
      <c r="L1318" s="2">
        <f t="shared" si="101"/>
        <v>1529.48</v>
      </c>
      <c r="M1318" s="4">
        <f t="shared" si="102"/>
        <v>0.6</v>
      </c>
      <c r="N1318" s="1">
        <f t="shared" si="103"/>
        <v>45410</v>
      </c>
      <c r="O1318" s="3">
        <f>(Table13[[#This Row],[Units_Sold]]*Table13[[#This Row],[Unit_Price_Cleaned]]*(1-Table13[[#This Row],[Discount Cleaned]]))</f>
        <v>2447.1680000000001</v>
      </c>
      <c r="P1318" t="str">
        <f t="shared" si="104"/>
        <v>Profit</v>
      </c>
      <c r="Q1318" t="str" cm="1">
        <f t="array" ref="Q1318">IF(K1318="",INDEX($K$2:$K$2501,MATCH(MAX(COUNTIF($K$2:$K$2501,$K$2:$K$2501)),COUNTIF($K$2:$K$2501,$K$2:$K$2501),0)),K1318)</f>
        <v>B2C</v>
      </c>
    </row>
    <row r="1319" spans="1:17" x14ac:dyDescent="0.3">
      <c r="A1319">
        <v>2317</v>
      </c>
      <c r="B1319" t="s">
        <v>1356</v>
      </c>
      <c r="C1319" t="s">
        <v>25</v>
      </c>
      <c r="D1319" t="s">
        <v>86</v>
      </c>
      <c r="E1319">
        <v>2</v>
      </c>
      <c r="F1319">
        <v>1005.41</v>
      </c>
      <c r="H1319" s="3">
        <f t="shared" si="100"/>
        <v>2010.82</v>
      </c>
      <c r="I1319" s="1">
        <v>45814</v>
      </c>
      <c r="J1319" t="s">
        <v>15</v>
      </c>
      <c r="K1319" t="s">
        <v>16</v>
      </c>
      <c r="L1319" s="2">
        <f t="shared" si="101"/>
        <v>1005.41</v>
      </c>
      <c r="M1319" s="4">
        <f t="shared" si="102"/>
        <v>0.6</v>
      </c>
      <c r="N1319" s="1">
        <f t="shared" si="103"/>
        <v>45814</v>
      </c>
      <c r="O1319" s="3">
        <f>(Table13[[#This Row],[Units_Sold]]*Table13[[#This Row],[Unit_Price_Cleaned]]*(1-Table13[[#This Row],[Discount Cleaned]]))</f>
        <v>804.32799999999997</v>
      </c>
      <c r="P1319" t="str">
        <f t="shared" si="104"/>
        <v>Profit</v>
      </c>
      <c r="Q1319" t="str" cm="1">
        <f t="array" ref="Q1319">IF(K1319="",INDEX($K$2:$K$2501,MATCH(MAX(COUNTIF($K$2:$K$2501,$K$2:$K$2501)),COUNTIF($K$2:$K$2501,$K$2:$K$2501),0)),K1319)</f>
        <v>B2C</v>
      </c>
    </row>
    <row r="1320" spans="1:17" x14ac:dyDescent="0.3">
      <c r="A1320">
        <v>2318</v>
      </c>
      <c r="B1320" t="s">
        <v>1357</v>
      </c>
      <c r="C1320" t="s">
        <v>33</v>
      </c>
      <c r="D1320" t="s">
        <v>34</v>
      </c>
      <c r="E1320">
        <v>2</v>
      </c>
      <c r="H1320" s="3">
        <f t="shared" si="100"/>
        <v>4974.07923076923</v>
      </c>
      <c r="I1320" s="1">
        <v>45760</v>
      </c>
      <c r="J1320" t="s">
        <v>56</v>
      </c>
      <c r="K1320" t="s">
        <v>16</v>
      </c>
      <c r="L1320" s="2">
        <f t="shared" si="101"/>
        <v>2487.039615384615</v>
      </c>
      <c r="M1320" s="4">
        <f t="shared" si="102"/>
        <v>0.6</v>
      </c>
      <c r="N1320" s="1">
        <f t="shared" si="103"/>
        <v>45760</v>
      </c>
      <c r="O1320" s="3">
        <f>(Table13[[#This Row],[Units_Sold]]*Table13[[#This Row],[Unit_Price_Cleaned]]*(1-Table13[[#This Row],[Discount Cleaned]]))</f>
        <v>1989.631692307692</v>
      </c>
      <c r="P1320" t="str">
        <f t="shared" si="104"/>
        <v>Profit</v>
      </c>
      <c r="Q1320" t="str" cm="1">
        <f t="array" ref="Q1320">IF(K1320="",INDEX($K$2:$K$2501,MATCH(MAX(COUNTIF($K$2:$K$2501,$K$2:$K$2501)),COUNTIF($K$2:$K$2501,$K$2:$K$2501),0)),K1320)</f>
        <v>B2C</v>
      </c>
    </row>
    <row r="1321" spans="1:17" x14ac:dyDescent="0.3">
      <c r="A1321">
        <v>2319</v>
      </c>
      <c r="B1321" t="s">
        <v>1358</v>
      </c>
      <c r="C1321" t="s">
        <v>38</v>
      </c>
      <c r="D1321" t="s">
        <v>63</v>
      </c>
      <c r="E1321">
        <v>2</v>
      </c>
      <c r="F1321">
        <v>881.41</v>
      </c>
      <c r="G1321">
        <v>1.22</v>
      </c>
      <c r="H1321" s="3">
        <f t="shared" si="100"/>
        <v>1762.82</v>
      </c>
      <c r="J1321" t="s">
        <v>46</v>
      </c>
      <c r="L1321" s="2">
        <f t="shared" si="101"/>
        <v>881.41</v>
      </c>
      <c r="M1321" s="4">
        <f t="shared" si="102"/>
        <v>1.22</v>
      </c>
      <c r="N1321" s="1">
        <f t="shared" si="103"/>
        <v>45782</v>
      </c>
      <c r="O1321" s="3">
        <f>(Table13[[#This Row],[Units_Sold]]*Table13[[#This Row],[Unit_Price_Cleaned]]*(1-Table13[[#This Row],[Discount Cleaned]]))</f>
        <v>-387.82039999999995</v>
      </c>
      <c r="P1321" t="str">
        <f t="shared" si="104"/>
        <v>Loss</v>
      </c>
      <c r="Q1321" t="str" cm="1">
        <f t="array" ref="Q1321">IF(K1321="",INDEX($K$2:$K$2501,MATCH(MAX(COUNTIF($K$2:$K$2501,$K$2:$K$2501)),COUNTIF($K$2:$K$2501,$K$2:$K$2501),0)),K1321)</f>
        <v>B2B</v>
      </c>
    </row>
    <row r="1322" spans="1:17" x14ac:dyDescent="0.3">
      <c r="A1322">
        <v>2320</v>
      </c>
      <c r="B1322" t="s">
        <v>1359</v>
      </c>
      <c r="C1322" t="s">
        <v>13</v>
      </c>
      <c r="D1322" t="s">
        <v>49</v>
      </c>
      <c r="E1322">
        <v>2</v>
      </c>
      <c r="G1322">
        <v>1.27</v>
      </c>
      <c r="H1322" s="3">
        <f t="shared" si="100"/>
        <v>5570.1755932203387</v>
      </c>
      <c r="I1322" s="1">
        <v>45505</v>
      </c>
      <c r="J1322" t="s">
        <v>56</v>
      </c>
      <c r="K1322" t="s">
        <v>16</v>
      </c>
      <c r="L1322" s="2">
        <f t="shared" si="101"/>
        <v>2785.0877966101693</v>
      </c>
      <c r="M1322" s="4">
        <f t="shared" si="102"/>
        <v>1.27</v>
      </c>
      <c r="N1322" s="1">
        <f t="shared" si="103"/>
        <v>45505</v>
      </c>
      <c r="O1322" s="3">
        <f>(Table13[[#This Row],[Units_Sold]]*Table13[[#This Row],[Unit_Price_Cleaned]]*(1-Table13[[#This Row],[Discount Cleaned]]))</f>
        <v>-1503.9474101694916</v>
      </c>
      <c r="P1322" t="str">
        <f t="shared" si="104"/>
        <v>Loss</v>
      </c>
      <c r="Q1322" t="str" cm="1">
        <f t="array" ref="Q1322">IF(K1322="",INDEX($K$2:$K$2501,MATCH(MAX(COUNTIF($K$2:$K$2501,$K$2:$K$2501)),COUNTIF($K$2:$K$2501,$K$2:$K$2501),0)),K1322)</f>
        <v>B2C</v>
      </c>
    </row>
    <row r="1323" spans="1:17" x14ac:dyDescent="0.3">
      <c r="A1323">
        <v>2321</v>
      </c>
      <c r="B1323" t="s">
        <v>1360</v>
      </c>
      <c r="C1323" t="s">
        <v>25</v>
      </c>
      <c r="D1323" t="s">
        <v>54</v>
      </c>
      <c r="E1323">
        <v>2</v>
      </c>
      <c r="H1323" s="3">
        <f t="shared" si="100"/>
        <v>5060.7673076923093</v>
      </c>
      <c r="I1323" s="1">
        <v>45742</v>
      </c>
      <c r="J1323" t="s">
        <v>46</v>
      </c>
      <c r="K1323" t="s">
        <v>23</v>
      </c>
      <c r="L1323" s="2">
        <f t="shared" si="101"/>
        <v>2530.3836538461546</v>
      </c>
      <c r="M1323" s="4">
        <f t="shared" si="102"/>
        <v>0.6</v>
      </c>
      <c r="N1323" s="1">
        <f t="shared" si="103"/>
        <v>45742</v>
      </c>
      <c r="O1323" s="3">
        <f>(Table13[[#This Row],[Units_Sold]]*Table13[[#This Row],[Unit_Price_Cleaned]]*(1-Table13[[#This Row],[Discount Cleaned]]))</f>
        <v>2024.3069230769238</v>
      </c>
      <c r="P1323" t="str">
        <f t="shared" si="104"/>
        <v>Profit</v>
      </c>
      <c r="Q1323" t="str" cm="1">
        <f t="array" ref="Q1323">IF(K1323="",INDEX($K$2:$K$2501,MATCH(MAX(COUNTIF($K$2:$K$2501,$K$2:$K$2501)),COUNTIF($K$2:$K$2501,$K$2:$K$2501),0)),K1323)</f>
        <v>B2B</v>
      </c>
    </row>
    <row r="1324" spans="1:17" x14ac:dyDescent="0.3">
      <c r="A1324">
        <v>2322</v>
      </c>
      <c r="B1324" t="s">
        <v>1361</v>
      </c>
      <c r="C1324" t="s">
        <v>33</v>
      </c>
      <c r="D1324" t="s">
        <v>34</v>
      </c>
      <c r="E1324">
        <v>2</v>
      </c>
      <c r="G1324">
        <v>0.98</v>
      </c>
      <c r="H1324" s="3">
        <f t="shared" si="100"/>
        <v>4974.07923076923</v>
      </c>
      <c r="J1324" t="s">
        <v>46</v>
      </c>
      <c r="L1324" s="2">
        <f t="shared" si="101"/>
        <v>2487.039615384615</v>
      </c>
      <c r="M1324" s="4">
        <f t="shared" si="102"/>
        <v>0.98</v>
      </c>
      <c r="N1324" s="1">
        <f t="shared" si="103"/>
        <v>45782</v>
      </c>
      <c r="O1324" s="3">
        <f>(Table13[[#This Row],[Units_Sold]]*Table13[[#This Row],[Unit_Price_Cleaned]]*(1-Table13[[#This Row],[Discount Cleaned]]))</f>
        <v>99.481584615384691</v>
      </c>
      <c r="P1324" t="str">
        <f t="shared" si="104"/>
        <v>Loss</v>
      </c>
      <c r="Q1324" t="str" cm="1">
        <f t="array" ref="Q1324">IF(K1324="",INDEX($K$2:$K$2501,MATCH(MAX(COUNTIF($K$2:$K$2501,$K$2:$K$2501)),COUNTIF($K$2:$K$2501,$K$2:$K$2501),0)),K1324)</f>
        <v>B2B</v>
      </c>
    </row>
    <row r="1325" spans="1:17" x14ac:dyDescent="0.3">
      <c r="A1325">
        <v>2323</v>
      </c>
      <c r="B1325" t="s">
        <v>1362</v>
      </c>
      <c r="C1325" t="s">
        <v>13</v>
      </c>
      <c r="D1325" t="s">
        <v>49</v>
      </c>
      <c r="E1325">
        <v>2</v>
      </c>
      <c r="H1325" s="3">
        <f t="shared" si="100"/>
        <v>5570.1755932203387</v>
      </c>
      <c r="I1325" s="1">
        <v>45694</v>
      </c>
      <c r="J1325" t="s">
        <v>46</v>
      </c>
      <c r="L1325" s="2">
        <f t="shared" si="101"/>
        <v>2785.0877966101693</v>
      </c>
      <c r="M1325" s="4">
        <f t="shared" si="102"/>
        <v>0.6</v>
      </c>
      <c r="N1325" s="1">
        <f t="shared" si="103"/>
        <v>45694</v>
      </c>
      <c r="O1325" s="3">
        <f>(Table13[[#This Row],[Units_Sold]]*Table13[[#This Row],[Unit_Price_Cleaned]]*(1-Table13[[#This Row],[Discount Cleaned]]))</f>
        <v>2228.0702372881356</v>
      </c>
      <c r="P1325" t="str">
        <f t="shared" si="104"/>
        <v>Profit</v>
      </c>
      <c r="Q1325" t="str" cm="1">
        <f t="array" ref="Q1325">IF(K1325="",INDEX($K$2:$K$2501,MATCH(MAX(COUNTIF($K$2:$K$2501,$K$2:$K$2501)),COUNTIF($K$2:$K$2501,$K$2:$K$2501),0)),K1325)</f>
        <v>B2B</v>
      </c>
    </row>
    <row r="1326" spans="1:17" x14ac:dyDescent="0.3">
      <c r="A1326">
        <v>1025</v>
      </c>
      <c r="B1326" t="s">
        <v>1363</v>
      </c>
      <c r="C1326" t="s">
        <v>33</v>
      </c>
      <c r="D1326" t="s">
        <v>44</v>
      </c>
      <c r="E1326">
        <v>2</v>
      </c>
      <c r="H1326" s="3">
        <f t="shared" si="100"/>
        <v>5683.5261224489814</v>
      </c>
      <c r="J1326" t="s">
        <v>15</v>
      </c>
      <c r="K1326" t="s">
        <v>23</v>
      </c>
      <c r="L1326" s="2">
        <f t="shared" si="101"/>
        <v>2841.7630612244907</v>
      </c>
      <c r="M1326" s="4">
        <f t="shared" si="102"/>
        <v>0.6</v>
      </c>
      <c r="N1326" s="1">
        <f t="shared" si="103"/>
        <v>45782</v>
      </c>
      <c r="O1326" s="3">
        <f>(Table13[[#This Row],[Units_Sold]]*Table13[[#This Row],[Unit_Price_Cleaned]]*(1-Table13[[#This Row],[Discount Cleaned]]))</f>
        <v>2273.4104489795927</v>
      </c>
      <c r="P1326" t="str">
        <f t="shared" si="104"/>
        <v>Profit</v>
      </c>
      <c r="Q1326" t="str" cm="1">
        <f t="array" ref="Q1326">IF(K1326="",INDEX($K$2:$K$2501,MATCH(MAX(COUNTIF($K$2:$K$2501,$K$2:$K$2501)),COUNTIF($K$2:$K$2501,$K$2:$K$2501),0)),K1326)</f>
        <v>B2B</v>
      </c>
    </row>
    <row r="1327" spans="1:17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 s="3">
        <f t="shared" si="100"/>
        <v>2868.7768181818178</v>
      </c>
      <c r="J1327" t="s">
        <v>40</v>
      </c>
      <c r="K1327" t="s">
        <v>23</v>
      </c>
      <c r="L1327" s="2">
        <f t="shared" si="101"/>
        <v>2868.7768181818178</v>
      </c>
      <c r="M1327" s="4">
        <f t="shared" si="102"/>
        <v>1.19</v>
      </c>
      <c r="N1327" s="1">
        <f t="shared" si="103"/>
        <v>45782</v>
      </c>
      <c r="O1327" s="3">
        <f>(Table13[[#This Row],[Units_Sold]]*Table13[[#This Row],[Unit_Price_Cleaned]]*(1-Table13[[#This Row],[Discount Cleaned]]))</f>
        <v>-545.0675954545452</v>
      </c>
      <c r="P1327" t="str">
        <f t="shared" si="104"/>
        <v>Loss</v>
      </c>
      <c r="Q1327" t="str" cm="1">
        <f t="array" ref="Q1327">IF(K1327="",INDEX($K$2:$K$2501,MATCH(MAX(COUNTIF($K$2:$K$2501,$K$2:$K$2501)),COUNTIF($K$2:$K$2501,$K$2:$K$2501),0)),K1327)</f>
        <v>B2B</v>
      </c>
    </row>
    <row r="1328" spans="1:17" x14ac:dyDescent="0.3">
      <c r="A1328">
        <v>2326</v>
      </c>
      <c r="B1328" t="s">
        <v>1365</v>
      </c>
      <c r="C1328" t="s">
        <v>25</v>
      </c>
      <c r="D1328" t="s">
        <v>54</v>
      </c>
      <c r="E1328">
        <v>2</v>
      </c>
      <c r="F1328">
        <v>1718.14</v>
      </c>
      <c r="H1328" s="3">
        <f t="shared" si="100"/>
        <v>3436.28</v>
      </c>
      <c r="I1328" s="1">
        <v>45736</v>
      </c>
      <c r="J1328" t="s">
        <v>18</v>
      </c>
      <c r="K1328" t="s">
        <v>23</v>
      </c>
      <c r="L1328" s="2">
        <f t="shared" si="101"/>
        <v>1718.14</v>
      </c>
      <c r="M1328" s="4">
        <f t="shared" si="102"/>
        <v>0.6</v>
      </c>
      <c r="N1328" s="1">
        <f t="shared" si="103"/>
        <v>45736</v>
      </c>
      <c r="O1328" s="3">
        <f>(Table13[[#This Row],[Units_Sold]]*Table13[[#This Row],[Unit_Price_Cleaned]]*(1-Table13[[#This Row],[Discount Cleaned]]))</f>
        <v>1374.5120000000002</v>
      </c>
      <c r="P1328" t="str">
        <f t="shared" si="104"/>
        <v>Profit</v>
      </c>
      <c r="Q1328" t="str" cm="1">
        <f t="array" ref="Q1328">IF(K1328="",INDEX($K$2:$K$2501,MATCH(MAX(COUNTIF($K$2:$K$2501,$K$2:$K$2501)),COUNTIF($K$2:$K$2501,$K$2:$K$2501),0)),K1328)</f>
        <v>B2B</v>
      </c>
    </row>
    <row r="1329" spans="1:17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 s="3">
        <f t="shared" si="100"/>
        <v>-5145.5528000000013</v>
      </c>
      <c r="I1329" s="1">
        <v>45714</v>
      </c>
      <c r="J1329" t="s">
        <v>46</v>
      </c>
      <c r="K1329" t="s">
        <v>16</v>
      </c>
      <c r="L1329" s="2">
        <f t="shared" si="101"/>
        <v>2572.7764000000006</v>
      </c>
      <c r="M1329" s="4">
        <f t="shared" si="102"/>
        <v>0.76</v>
      </c>
      <c r="N1329" s="1">
        <f t="shared" si="103"/>
        <v>45714</v>
      </c>
      <c r="O1329" s="3">
        <f>(Table13[[#This Row],[Units_Sold]]*Table13[[#This Row],[Unit_Price_Cleaned]]*(1-Table13[[#This Row],[Discount Cleaned]]))</f>
        <v>-1234.9326720000004</v>
      </c>
      <c r="P1329" t="str">
        <f t="shared" si="104"/>
        <v>Loss</v>
      </c>
      <c r="Q1329" t="str" cm="1">
        <f t="array" ref="Q1329">IF(K1329="",INDEX($K$2:$K$2501,MATCH(MAX(COUNTIF($K$2:$K$2501,$K$2:$K$2501)),COUNTIF($K$2:$K$2501,$K$2:$K$2501),0)),K1329)</f>
        <v>B2C</v>
      </c>
    </row>
    <row r="1330" spans="1:17" x14ac:dyDescent="0.3">
      <c r="A1330">
        <v>2328</v>
      </c>
      <c r="B1330" t="s">
        <v>1367</v>
      </c>
      <c r="C1330" t="s">
        <v>13</v>
      </c>
      <c r="D1330" t="s">
        <v>36</v>
      </c>
      <c r="E1330">
        <v>2</v>
      </c>
      <c r="H1330" s="3">
        <f t="shared" si="100"/>
        <v>5765.0093103448271</v>
      </c>
      <c r="J1330" t="s">
        <v>22</v>
      </c>
      <c r="K1330" t="s">
        <v>16</v>
      </c>
      <c r="L1330" s="2">
        <f t="shared" si="101"/>
        <v>2882.5046551724135</v>
      </c>
      <c r="M1330" s="4">
        <f t="shared" si="102"/>
        <v>0.6</v>
      </c>
      <c r="N1330" s="1">
        <f t="shared" si="103"/>
        <v>45782</v>
      </c>
      <c r="O1330" s="3">
        <f>(Table13[[#This Row],[Units_Sold]]*Table13[[#This Row],[Unit_Price_Cleaned]]*(1-Table13[[#This Row],[Discount Cleaned]]))</f>
        <v>2306.0037241379309</v>
      </c>
      <c r="P1330" t="str">
        <f t="shared" si="104"/>
        <v>Profit</v>
      </c>
      <c r="Q1330" t="str" cm="1">
        <f t="array" ref="Q1330">IF(K1330="",INDEX($K$2:$K$2501,MATCH(MAX(COUNTIF($K$2:$K$2501,$K$2:$K$2501)),COUNTIF($K$2:$K$2501,$K$2:$K$2501),0)),K1330)</f>
        <v>B2C</v>
      </c>
    </row>
    <row r="1331" spans="1:17" x14ac:dyDescent="0.3">
      <c r="A1331">
        <v>1024</v>
      </c>
      <c r="B1331" t="s">
        <v>1368</v>
      </c>
      <c r="C1331" t="s">
        <v>13</v>
      </c>
      <c r="D1331" t="s">
        <v>49</v>
      </c>
      <c r="E1331">
        <v>2</v>
      </c>
      <c r="F1331">
        <v>1580.59</v>
      </c>
      <c r="G1331">
        <v>0.08</v>
      </c>
      <c r="H1331" s="3">
        <f t="shared" si="100"/>
        <v>3161.18</v>
      </c>
      <c r="I1331" s="1">
        <v>45782</v>
      </c>
      <c r="J1331" t="s">
        <v>15</v>
      </c>
      <c r="K1331" t="s">
        <v>23</v>
      </c>
      <c r="L1331" s="2">
        <f t="shared" si="101"/>
        <v>1580.59</v>
      </c>
      <c r="M1331" s="4">
        <f t="shared" si="102"/>
        <v>0.08</v>
      </c>
      <c r="N1331" s="1">
        <f t="shared" si="103"/>
        <v>45782</v>
      </c>
      <c r="O1331" s="3">
        <f>(Table13[[#This Row],[Units_Sold]]*Table13[[#This Row],[Unit_Price_Cleaned]]*(1-Table13[[#This Row],[Discount Cleaned]]))</f>
        <v>2908.2856000000002</v>
      </c>
      <c r="P1331" t="str">
        <f t="shared" si="104"/>
        <v>Profit</v>
      </c>
      <c r="Q1331" t="str" cm="1">
        <f t="array" ref="Q1331">IF(K1331="",INDEX($K$2:$K$2501,MATCH(MAX(COUNTIF($K$2:$K$2501,$K$2:$K$2501)),COUNTIF($K$2:$K$2501,$K$2:$K$2501),0)),K1331)</f>
        <v>B2B</v>
      </c>
    </row>
    <row r="1332" spans="1:17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 s="3">
        <f t="shared" si="100"/>
        <v>15009.186</v>
      </c>
      <c r="J1332" t="s">
        <v>46</v>
      </c>
      <c r="K1332" t="s">
        <v>16</v>
      </c>
      <c r="L1332" s="2">
        <f t="shared" si="101"/>
        <v>2501.5309999999999</v>
      </c>
      <c r="M1332" s="4">
        <f t="shared" si="102"/>
        <v>0.53</v>
      </c>
      <c r="N1332" s="1">
        <f t="shared" si="103"/>
        <v>45782</v>
      </c>
      <c r="O1332" s="3">
        <f>(Table13[[#This Row],[Units_Sold]]*Table13[[#This Row],[Unit_Price_Cleaned]]*(1-Table13[[#This Row],[Discount Cleaned]]))</f>
        <v>7054.3174199999994</v>
      </c>
      <c r="P1332" t="str">
        <f t="shared" si="104"/>
        <v>Profit</v>
      </c>
      <c r="Q1332" t="str" cm="1">
        <f t="array" ref="Q1332">IF(K1332="",INDEX($K$2:$K$2501,MATCH(MAX(COUNTIF($K$2:$K$2501,$K$2:$K$2501)),COUNTIF($K$2:$K$2501,$K$2:$K$2501),0)),K1332)</f>
        <v>B2C</v>
      </c>
    </row>
    <row r="1333" spans="1:17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 s="3">
        <f t="shared" si="100"/>
        <v>-5934.98</v>
      </c>
      <c r="I1333" s="1">
        <v>45781</v>
      </c>
      <c r="J1333" t="s">
        <v>46</v>
      </c>
      <c r="L1333" s="2">
        <f t="shared" si="101"/>
        <v>2967.49</v>
      </c>
      <c r="M1333" s="4">
        <f t="shared" si="102"/>
        <v>0.6</v>
      </c>
      <c r="N1333" s="1">
        <f t="shared" si="103"/>
        <v>45781</v>
      </c>
      <c r="O1333" s="3">
        <f>(Table13[[#This Row],[Units_Sold]]*Table13[[#This Row],[Unit_Price_Cleaned]]*(1-Table13[[#This Row],[Discount Cleaned]]))</f>
        <v>-2373.9919999999997</v>
      </c>
      <c r="P1333" t="str">
        <f t="shared" si="104"/>
        <v>Loss</v>
      </c>
      <c r="Q1333" t="str" cm="1">
        <f t="array" ref="Q1333">IF(K1333="",INDEX($K$2:$K$2501,MATCH(MAX(COUNTIF($K$2:$K$2501,$K$2:$K$2501)),COUNTIF($K$2:$K$2501,$K$2:$K$2501),0)),K1333)</f>
        <v>B2B</v>
      </c>
    </row>
    <row r="1334" spans="1:17" x14ac:dyDescent="0.3">
      <c r="A1334">
        <v>2332</v>
      </c>
      <c r="B1334" t="s">
        <v>1371</v>
      </c>
      <c r="C1334" t="s">
        <v>20</v>
      </c>
      <c r="D1334" t="s">
        <v>122</v>
      </c>
      <c r="E1334">
        <v>2</v>
      </c>
      <c r="F1334">
        <v>4066.97</v>
      </c>
      <c r="G1334">
        <v>0.59</v>
      </c>
      <c r="H1334" s="3">
        <f t="shared" si="100"/>
        <v>8133.94</v>
      </c>
      <c r="I1334" s="1">
        <v>45806</v>
      </c>
      <c r="J1334" t="s">
        <v>22</v>
      </c>
      <c r="L1334" s="2">
        <f t="shared" si="101"/>
        <v>4066.97</v>
      </c>
      <c r="M1334" s="4">
        <f t="shared" si="102"/>
        <v>0.59</v>
      </c>
      <c r="N1334" s="1">
        <f t="shared" si="103"/>
        <v>45806</v>
      </c>
      <c r="O1334" s="3">
        <f>(Table13[[#This Row],[Units_Sold]]*Table13[[#This Row],[Unit_Price_Cleaned]]*(1-Table13[[#This Row],[Discount Cleaned]]))</f>
        <v>3334.9153999999999</v>
      </c>
      <c r="P1334" t="str">
        <f t="shared" si="104"/>
        <v>Profit</v>
      </c>
      <c r="Q1334" t="str" cm="1">
        <f t="array" ref="Q1334">IF(K1334="",INDEX($K$2:$K$2501,MATCH(MAX(COUNTIF($K$2:$K$2501,$K$2:$K$2501)),COUNTIF($K$2:$K$2501,$K$2:$K$2501),0)),K1334)</f>
        <v>B2B</v>
      </c>
    </row>
    <row r="1335" spans="1:17" x14ac:dyDescent="0.3">
      <c r="A1335">
        <v>2333</v>
      </c>
      <c r="B1335" t="s">
        <v>1372</v>
      </c>
      <c r="C1335" t="s">
        <v>38</v>
      </c>
      <c r="D1335" t="s">
        <v>39</v>
      </c>
      <c r="E1335">
        <v>2</v>
      </c>
      <c r="H1335" s="3">
        <f t="shared" si="100"/>
        <v>6016.7688888888888</v>
      </c>
      <c r="I1335" s="1">
        <v>45313</v>
      </c>
      <c r="J1335" t="s">
        <v>18</v>
      </c>
      <c r="K1335" t="s">
        <v>16</v>
      </c>
      <c r="L1335" s="2">
        <f t="shared" si="101"/>
        <v>3008.3844444444444</v>
      </c>
      <c r="M1335" s="4">
        <f t="shared" si="102"/>
        <v>0.6</v>
      </c>
      <c r="N1335" s="1">
        <f t="shared" si="103"/>
        <v>45313</v>
      </c>
      <c r="O1335" s="3">
        <f>(Table13[[#This Row],[Units_Sold]]*Table13[[#This Row],[Unit_Price_Cleaned]]*(1-Table13[[#This Row],[Discount Cleaned]]))</f>
        <v>2406.7075555555557</v>
      </c>
      <c r="P1335" t="str">
        <f t="shared" si="104"/>
        <v>Profit</v>
      </c>
      <c r="Q1335" t="str" cm="1">
        <f t="array" ref="Q1335">IF(K1335="",INDEX($K$2:$K$2501,MATCH(MAX(COUNTIF($K$2:$K$2501,$K$2:$K$2501)),COUNTIF($K$2:$K$2501,$K$2:$K$2501),0)),K1335)</f>
        <v>B2C</v>
      </c>
    </row>
    <row r="1336" spans="1:17" x14ac:dyDescent="0.3">
      <c r="A1336">
        <v>2334</v>
      </c>
      <c r="B1336" t="s">
        <v>1373</v>
      </c>
      <c r="C1336" t="s">
        <v>13</v>
      </c>
      <c r="D1336" t="s">
        <v>102</v>
      </c>
      <c r="E1336">
        <v>2</v>
      </c>
      <c r="F1336">
        <v>2295.4899999999998</v>
      </c>
      <c r="H1336" s="3">
        <f t="shared" si="100"/>
        <v>4590.9799999999996</v>
      </c>
      <c r="J1336" t="s">
        <v>46</v>
      </c>
      <c r="K1336" t="s">
        <v>16</v>
      </c>
      <c r="L1336" s="2">
        <f t="shared" si="101"/>
        <v>2295.4899999999998</v>
      </c>
      <c r="M1336" s="4">
        <f t="shared" si="102"/>
        <v>0.6</v>
      </c>
      <c r="N1336" s="1">
        <f t="shared" si="103"/>
        <v>45782</v>
      </c>
      <c r="O1336" s="3">
        <f>(Table13[[#This Row],[Units_Sold]]*Table13[[#This Row],[Unit_Price_Cleaned]]*(1-Table13[[#This Row],[Discount Cleaned]]))</f>
        <v>1836.3919999999998</v>
      </c>
      <c r="P1336" t="str">
        <f t="shared" si="104"/>
        <v>Profit</v>
      </c>
      <c r="Q1336" t="str" cm="1">
        <f t="array" ref="Q1336">IF(K1336="",INDEX($K$2:$K$2501,MATCH(MAX(COUNTIF($K$2:$K$2501,$K$2:$K$2501)),COUNTIF($K$2:$K$2501,$K$2:$K$2501),0)),K1336)</f>
        <v>B2C</v>
      </c>
    </row>
    <row r="1337" spans="1:17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 s="3">
        <f t="shared" si="100"/>
        <v>3508.21</v>
      </c>
      <c r="I1337" s="1">
        <v>45586</v>
      </c>
      <c r="J1337" t="s">
        <v>40</v>
      </c>
      <c r="K1337" t="s">
        <v>23</v>
      </c>
      <c r="L1337" s="2">
        <f t="shared" si="101"/>
        <v>3508.21</v>
      </c>
      <c r="M1337" s="4">
        <f t="shared" si="102"/>
        <v>0.62</v>
      </c>
      <c r="N1337" s="1">
        <f t="shared" si="103"/>
        <v>45586</v>
      </c>
      <c r="O1337" s="3">
        <f>(Table13[[#This Row],[Units_Sold]]*Table13[[#This Row],[Unit_Price_Cleaned]]*(1-Table13[[#This Row],[Discount Cleaned]]))</f>
        <v>1333.1197999999999</v>
      </c>
      <c r="P1337" t="str">
        <f t="shared" si="104"/>
        <v>Profit</v>
      </c>
      <c r="Q1337" t="str" cm="1">
        <f t="array" ref="Q1337">IF(K1337="",INDEX($K$2:$K$2501,MATCH(MAX(COUNTIF($K$2:$K$2501,$K$2:$K$2501)),COUNTIF($K$2:$K$2501,$K$2:$K$2501),0)),K1337)</f>
        <v>B2B</v>
      </c>
    </row>
    <row r="1338" spans="1:17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 s="3">
        <f t="shared" si="100"/>
        <v>10800.505217391301</v>
      </c>
      <c r="I1338" s="1">
        <v>45587</v>
      </c>
      <c r="J1338" t="s">
        <v>18</v>
      </c>
      <c r="K1338" t="s">
        <v>16</v>
      </c>
      <c r="L1338" s="2">
        <f t="shared" si="101"/>
        <v>2700.1263043478252</v>
      </c>
      <c r="M1338" s="4">
        <f t="shared" si="102"/>
        <v>0.6</v>
      </c>
      <c r="N1338" s="1">
        <f t="shared" si="103"/>
        <v>45587</v>
      </c>
      <c r="O1338" s="3">
        <f>(Table13[[#This Row],[Units_Sold]]*Table13[[#This Row],[Unit_Price_Cleaned]]*(1-Table13[[#This Row],[Discount Cleaned]]))</f>
        <v>4320.2020869565204</v>
      </c>
      <c r="P1338" t="str">
        <f t="shared" si="104"/>
        <v>Profit</v>
      </c>
      <c r="Q1338" t="str" cm="1">
        <f t="array" ref="Q1338">IF(K1338="",INDEX($K$2:$K$2501,MATCH(MAX(COUNTIF($K$2:$K$2501,$K$2:$K$2501)),COUNTIF($K$2:$K$2501,$K$2:$K$2501),0)),K1338)</f>
        <v>B2C</v>
      </c>
    </row>
    <row r="1339" spans="1:17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 s="3">
        <f t="shared" si="100"/>
        <v>0</v>
      </c>
      <c r="I1339" s="1">
        <v>45704</v>
      </c>
      <c r="J1339" t="s">
        <v>18</v>
      </c>
      <c r="K1339" t="s">
        <v>16</v>
      </c>
      <c r="L1339" s="2">
        <f t="shared" si="101"/>
        <v>1295.44</v>
      </c>
      <c r="M1339" s="4">
        <f t="shared" si="102"/>
        <v>0.6</v>
      </c>
      <c r="N1339" s="1">
        <f t="shared" si="103"/>
        <v>45704</v>
      </c>
      <c r="O1339" s="3">
        <f>(Table13[[#This Row],[Units_Sold]]*Table13[[#This Row],[Unit_Price_Cleaned]]*(1-Table13[[#This Row],[Discount Cleaned]]))</f>
        <v>0</v>
      </c>
      <c r="P1339" t="str">
        <f t="shared" si="104"/>
        <v>Loss</v>
      </c>
      <c r="Q1339" t="str" cm="1">
        <f t="array" ref="Q1339">IF(K1339="",INDEX($K$2:$K$2501,MATCH(MAX(COUNTIF($K$2:$K$2501,$K$2:$K$2501)),COUNTIF($K$2:$K$2501,$K$2:$K$2501),0)),K1339)</f>
        <v>B2C</v>
      </c>
    </row>
    <row r="1340" spans="1:17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 s="3">
        <f t="shared" si="100"/>
        <v>6893.8</v>
      </c>
      <c r="I1340" s="1">
        <v>45699</v>
      </c>
      <c r="J1340" t="s">
        <v>22</v>
      </c>
      <c r="K1340" t="s">
        <v>23</v>
      </c>
      <c r="L1340" s="2">
        <f t="shared" si="101"/>
        <v>1378.76</v>
      </c>
      <c r="M1340" s="4">
        <f t="shared" si="102"/>
        <v>0.19</v>
      </c>
      <c r="N1340" s="1">
        <f t="shared" si="103"/>
        <v>45699</v>
      </c>
      <c r="O1340" s="3">
        <f>(Table13[[#This Row],[Units_Sold]]*Table13[[#This Row],[Unit_Price_Cleaned]]*(1-Table13[[#This Row],[Discount Cleaned]]))</f>
        <v>5583.9780000000001</v>
      </c>
      <c r="P1340" t="str">
        <f t="shared" si="104"/>
        <v>Profit</v>
      </c>
      <c r="Q1340" t="str" cm="1">
        <f t="array" ref="Q1340">IF(K1340="",INDEX($K$2:$K$2501,MATCH(MAX(COUNTIF($K$2:$K$2501,$K$2:$K$2501)),COUNTIF($K$2:$K$2501,$K$2:$K$2501),0)),K1340)</f>
        <v>B2B</v>
      </c>
    </row>
    <row r="1341" spans="1:17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 s="3">
        <f t="shared" si="100"/>
        <v>1289.24</v>
      </c>
      <c r="I1341" s="1">
        <v>45595</v>
      </c>
      <c r="J1341" t="s">
        <v>22</v>
      </c>
      <c r="K1341" t="s">
        <v>23</v>
      </c>
      <c r="L1341" s="2">
        <f t="shared" si="101"/>
        <v>1289.24</v>
      </c>
      <c r="M1341" s="4">
        <f t="shared" si="102"/>
        <v>0.6</v>
      </c>
      <c r="N1341" s="1">
        <f t="shared" si="103"/>
        <v>45595</v>
      </c>
      <c r="O1341" s="3">
        <f>(Table13[[#This Row],[Units_Sold]]*Table13[[#This Row],[Unit_Price_Cleaned]]*(1-Table13[[#This Row],[Discount Cleaned]]))</f>
        <v>515.69600000000003</v>
      </c>
      <c r="P1341" t="str">
        <f t="shared" si="104"/>
        <v>Profit</v>
      </c>
      <c r="Q1341" t="str" cm="1">
        <f t="array" ref="Q1341">IF(K1341="",INDEX($K$2:$K$2501,MATCH(MAX(COUNTIF($K$2:$K$2501,$K$2:$K$2501)),COUNTIF($K$2:$K$2501,$K$2:$K$2501),0)),K1341)</f>
        <v>B2B</v>
      </c>
    </row>
    <row r="1342" spans="1:17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 s="3">
        <f t="shared" si="100"/>
        <v>-5145.5528000000013</v>
      </c>
      <c r="J1342" t="s">
        <v>56</v>
      </c>
      <c r="K1342" t="s">
        <v>23</v>
      </c>
      <c r="L1342" s="2">
        <f t="shared" si="101"/>
        <v>2572.7764000000006</v>
      </c>
      <c r="M1342" s="4">
        <f t="shared" si="102"/>
        <v>0.6</v>
      </c>
      <c r="N1342" s="1">
        <f t="shared" si="103"/>
        <v>45782</v>
      </c>
      <c r="O1342" s="3">
        <f>(Table13[[#This Row],[Units_Sold]]*Table13[[#This Row],[Unit_Price_Cleaned]]*(1-Table13[[#This Row],[Discount Cleaned]]))</f>
        <v>-2058.2211200000006</v>
      </c>
      <c r="P1342" t="str">
        <f t="shared" si="104"/>
        <v>Loss</v>
      </c>
      <c r="Q1342" t="str" cm="1">
        <f t="array" ref="Q1342">IF(K1342="",INDEX($K$2:$K$2501,MATCH(MAX(COUNTIF($K$2:$K$2501,$K$2:$K$2501)),COUNTIF($K$2:$K$2501,$K$2:$K$2501),0)),K1342)</f>
        <v>B2B</v>
      </c>
    </row>
    <row r="1343" spans="1:17" x14ac:dyDescent="0.3">
      <c r="A1343">
        <v>2341</v>
      </c>
      <c r="B1343" t="s">
        <v>1380</v>
      </c>
      <c r="C1343" t="s">
        <v>33</v>
      </c>
      <c r="D1343" t="s">
        <v>72</v>
      </c>
      <c r="E1343">
        <v>2</v>
      </c>
      <c r="G1343">
        <v>0.59</v>
      </c>
      <c r="H1343" s="3">
        <f t="shared" si="100"/>
        <v>5431.091698113205</v>
      </c>
      <c r="I1343" s="1">
        <v>45609</v>
      </c>
      <c r="J1343" t="s">
        <v>18</v>
      </c>
      <c r="K1343" t="s">
        <v>16</v>
      </c>
      <c r="L1343" s="2">
        <f t="shared" si="101"/>
        <v>2715.5458490566025</v>
      </c>
      <c r="M1343" s="4">
        <f t="shared" si="102"/>
        <v>0.59</v>
      </c>
      <c r="N1343" s="1">
        <f t="shared" si="103"/>
        <v>45609</v>
      </c>
      <c r="O1343" s="3">
        <f>(Table13[[#This Row],[Units_Sold]]*Table13[[#This Row],[Unit_Price_Cleaned]]*(1-Table13[[#This Row],[Discount Cleaned]]))</f>
        <v>2226.7475962264143</v>
      </c>
      <c r="P1343" t="str">
        <f t="shared" si="104"/>
        <v>Profit</v>
      </c>
      <c r="Q1343" t="str" cm="1">
        <f t="array" ref="Q1343">IF(K1343="",INDEX($K$2:$K$2501,MATCH(MAX(COUNTIF($K$2:$K$2501,$K$2:$K$2501)),COUNTIF($K$2:$K$2501,$K$2:$K$2501),0)),K1343)</f>
        <v>B2C</v>
      </c>
    </row>
    <row r="1344" spans="1:17" x14ac:dyDescent="0.3">
      <c r="A1344">
        <v>2342</v>
      </c>
      <c r="B1344" t="s">
        <v>1381</v>
      </c>
      <c r="C1344" t="s">
        <v>33</v>
      </c>
      <c r="D1344" t="s">
        <v>44</v>
      </c>
      <c r="E1344">
        <v>2</v>
      </c>
      <c r="F1344">
        <v>1042.4100000000001</v>
      </c>
      <c r="H1344" s="3">
        <f t="shared" si="100"/>
        <v>2084.8200000000002</v>
      </c>
      <c r="I1344" s="1">
        <v>45322</v>
      </c>
      <c r="J1344" t="s">
        <v>18</v>
      </c>
      <c r="K1344" t="s">
        <v>16</v>
      </c>
      <c r="L1344" s="2">
        <f t="shared" si="101"/>
        <v>1042.4100000000001</v>
      </c>
      <c r="M1344" s="4">
        <f t="shared" si="102"/>
        <v>0.6</v>
      </c>
      <c r="N1344" s="1">
        <f t="shared" si="103"/>
        <v>45322</v>
      </c>
      <c r="O1344" s="3">
        <f>(Table13[[#This Row],[Units_Sold]]*Table13[[#This Row],[Unit_Price_Cleaned]]*(1-Table13[[#This Row],[Discount Cleaned]]))</f>
        <v>833.92800000000011</v>
      </c>
      <c r="P1344" t="str">
        <f t="shared" si="104"/>
        <v>Profit</v>
      </c>
      <c r="Q1344" t="str" cm="1">
        <f t="array" ref="Q1344">IF(K1344="",INDEX($K$2:$K$2501,MATCH(MAX(COUNTIF($K$2:$K$2501,$K$2:$K$2501)),COUNTIF($K$2:$K$2501,$K$2:$K$2501),0)),K1344)</f>
        <v>B2C</v>
      </c>
    </row>
    <row r="1345" spans="1:17" x14ac:dyDescent="0.3">
      <c r="A1345">
        <v>2343</v>
      </c>
      <c r="B1345" t="s">
        <v>1382</v>
      </c>
      <c r="C1345" t="s">
        <v>13</v>
      </c>
      <c r="D1345" t="s">
        <v>14</v>
      </c>
      <c r="E1345">
        <v>2</v>
      </c>
      <c r="H1345" s="3">
        <f t="shared" si="100"/>
        <v>4762.5355172413792</v>
      </c>
      <c r="I1345" s="1">
        <v>45795</v>
      </c>
      <c r="J1345" t="s">
        <v>18</v>
      </c>
      <c r="L1345" s="2">
        <f t="shared" si="101"/>
        <v>2381.2677586206896</v>
      </c>
      <c r="M1345" s="4">
        <f t="shared" si="102"/>
        <v>0.6</v>
      </c>
      <c r="N1345" s="1">
        <f t="shared" si="103"/>
        <v>45795</v>
      </c>
      <c r="O1345" s="3">
        <f>(Table13[[#This Row],[Units_Sold]]*Table13[[#This Row],[Unit_Price_Cleaned]]*(1-Table13[[#This Row],[Discount Cleaned]]))</f>
        <v>1905.0142068965517</v>
      </c>
      <c r="P1345" t="str">
        <f t="shared" si="104"/>
        <v>Profit</v>
      </c>
      <c r="Q1345" t="str" cm="1">
        <f t="array" ref="Q1345">IF(K1345="",INDEX($K$2:$K$2501,MATCH(MAX(COUNTIF($K$2:$K$2501,$K$2:$K$2501)),COUNTIF($K$2:$K$2501,$K$2:$K$2501),0)),K1345)</f>
        <v>B2B</v>
      </c>
    </row>
    <row r="1346" spans="1:17" x14ac:dyDescent="0.3">
      <c r="A1346">
        <v>2344</v>
      </c>
      <c r="B1346" t="s">
        <v>1383</v>
      </c>
      <c r="C1346" t="s">
        <v>13</v>
      </c>
      <c r="D1346" t="s">
        <v>14</v>
      </c>
      <c r="E1346">
        <v>2</v>
      </c>
      <c r="G1346">
        <v>1.0900000000000001</v>
      </c>
      <c r="H1346" s="3">
        <f t="shared" ref="H1346:H1409" si="105">(L1346*E1346)</f>
        <v>4762.5355172413792</v>
      </c>
      <c r="I1346" s="1">
        <v>45833</v>
      </c>
      <c r="J1346" t="s">
        <v>56</v>
      </c>
      <c r="L1346" s="2">
        <f t="shared" ref="L1346:L1409" si="106">IF(F1346="",AVERAGEIF($D$2:$D$2501,D1346,$F$2:$F$2501),F1346)</f>
        <v>2381.2677586206896</v>
      </c>
      <c r="M1346" s="4">
        <f t="shared" ref="M1346:M1409" si="107">IF(G1346="",MEDIAN($G$2,$G$2501),G1346)</f>
        <v>1.0900000000000001</v>
      </c>
      <c r="N1346" s="1">
        <f t="shared" ref="N1346:N1409" si="108">IF(I1346="",MODE($I$32:$I$2501),I1346)</f>
        <v>45833</v>
      </c>
      <c r="O1346" s="3">
        <f>(Table13[[#This Row],[Units_Sold]]*Table13[[#This Row],[Unit_Price_Cleaned]]*(1-Table13[[#This Row],[Discount Cleaned]]))</f>
        <v>-428.6281965517245</v>
      </c>
      <c r="P1346" t="str">
        <f t="shared" ref="P1346:P1409" si="109">IF(O1346&gt;500,"Profit","Loss")</f>
        <v>Loss</v>
      </c>
      <c r="Q1346" t="str" cm="1">
        <f t="array" ref="Q1346">IF(K1346="",INDEX($K$2:$K$2501,MATCH(MAX(COUNTIF($K$2:$K$2501,$K$2:$K$2501)),COUNTIF($K$2:$K$2501,$K$2:$K$2501),0)),K1346)</f>
        <v>B2B</v>
      </c>
    </row>
    <row r="1347" spans="1:17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 s="3">
        <f t="shared" si="105"/>
        <v>1095.03</v>
      </c>
      <c r="I1347" s="1">
        <v>45645</v>
      </c>
      <c r="J1347" t="s">
        <v>18</v>
      </c>
      <c r="K1347" t="s">
        <v>16</v>
      </c>
      <c r="L1347" s="2">
        <f t="shared" si="106"/>
        <v>1095.03</v>
      </c>
      <c r="M1347" s="4">
        <f t="shared" si="107"/>
        <v>0.6</v>
      </c>
      <c r="N1347" s="1">
        <f t="shared" si="108"/>
        <v>45645</v>
      </c>
      <c r="O1347" s="3">
        <f>(Table13[[#This Row],[Units_Sold]]*Table13[[#This Row],[Unit_Price_Cleaned]]*(1-Table13[[#This Row],[Discount Cleaned]]))</f>
        <v>438.012</v>
      </c>
      <c r="P1347" t="str">
        <f t="shared" si="109"/>
        <v>Loss</v>
      </c>
      <c r="Q1347" t="str" cm="1">
        <f t="array" ref="Q1347">IF(K1347="",INDEX($K$2:$K$2501,MATCH(MAX(COUNTIF($K$2:$K$2501,$K$2:$K$2501)),COUNTIF($K$2:$K$2501,$K$2:$K$2501),0)),K1347)</f>
        <v>B2C</v>
      </c>
    </row>
    <row r="1348" spans="1:17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 s="3">
        <f t="shared" si="105"/>
        <v>-9845.98</v>
      </c>
      <c r="I1348" s="1">
        <v>45612</v>
      </c>
      <c r="J1348" t="s">
        <v>40</v>
      </c>
      <c r="K1348" t="s">
        <v>23</v>
      </c>
      <c r="L1348" s="2">
        <f t="shared" si="106"/>
        <v>4922.99</v>
      </c>
      <c r="M1348" s="4">
        <f t="shared" si="107"/>
        <v>0.6</v>
      </c>
      <c r="N1348" s="1">
        <f t="shared" si="108"/>
        <v>45612</v>
      </c>
      <c r="O1348" s="3">
        <f>(Table13[[#This Row],[Units_Sold]]*Table13[[#This Row],[Unit_Price_Cleaned]]*(1-Table13[[#This Row],[Discount Cleaned]]))</f>
        <v>-3938.3919999999998</v>
      </c>
      <c r="P1348" t="str">
        <f t="shared" si="109"/>
        <v>Loss</v>
      </c>
      <c r="Q1348" t="str" cm="1">
        <f t="array" ref="Q1348">IF(K1348="",INDEX($K$2:$K$2501,MATCH(MAX(COUNTIF($K$2:$K$2501,$K$2:$K$2501)),COUNTIF($K$2:$K$2501,$K$2:$K$2501),0)),K1348)</f>
        <v>B2B</v>
      </c>
    </row>
    <row r="1349" spans="1:17" x14ac:dyDescent="0.3">
      <c r="A1349">
        <v>2347</v>
      </c>
      <c r="B1349" t="s">
        <v>1386</v>
      </c>
      <c r="C1349" t="s">
        <v>38</v>
      </c>
      <c r="D1349" t="s">
        <v>39</v>
      </c>
      <c r="E1349">
        <v>2</v>
      </c>
      <c r="F1349">
        <v>1207.99</v>
      </c>
      <c r="H1349" s="3">
        <f t="shared" si="105"/>
        <v>2415.98</v>
      </c>
      <c r="I1349" s="1">
        <v>45723</v>
      </c>
      <c r="J1349" t="s">
        <v>40</v>
      </c>
      <c r="K1349" t="s">
        <v>16</v>
      </c>
      <c r="L1349" s="2">
        <f t="shared" si="106"/>
        <v>1207.99</v>
      </c>
      <c r="M1349" s="4">
        <f t="shared" si="107"/>
        <v>0.6</v>
      </c>
      <c r="N1349" s="1">
        <f t="shared" si="108"/>
        <v>45723</v>
      </c>
      <c r="O1349" s="3">
        <f>(Table13[[#This Row],[Units_Sold]]*Table13[[#This Row],[Unit_Price_Cleaned]]*(1-Table13[[#This Row],[Discount Cleaned]]))</f>
        <v>966.39200000000005</v>
      </c>
      <c r="P1349" t="str">
        <f t="shared" si="109"/>
        <v>Profit</v>
      </c>
      <c r="Q1349" t="str" cm="1">
        <f t="array" ref="Q1349">IF(K1349="",INDEX($K$2:$K$2501,MATCH(MAX(COUNTIF($K$2:$K$2501,$K$2:$K$2501)),COUNTIF($K$2:$K$2501,$K$2:$K$2501),0)),K1349)</f>
        <v>B2C</v>
      </c>
    </row>
    <row r="1350" spans="1:17" x14ac:dyDescent="0.3">
      <c r="A1350">
        <v>2348</v>
      </c>
      <c r="B1350" t="s">
        <v>1387</v>
      </c>
      <c r="C1350" t="s">
        <v>25</v>
      </c>
      <c r="D1350" t="s">
        <v>86</v>
      </c>
      <c r="E1350">
        <v>2</v>
      </c>
      <c r="H1350" s="3">
        <f t="shared" si="105"/>
        <v>5003.0619999999999</v>
      </c>
      <c r="I1350" s="1">
        <v>45574</v>
      </c>
      <c r="J1350" t="s">
        <v>46</v>
      </c>
      <c r="L1350" s="2">
        <f t="shared" si="106"/>
        <v>2501.5309999999999</v>
      </c>
      <c r="M1350" s="4">
        <f t="shared" si="107"/>
        <v>0.6</v>
      </c>
      <c r="N1350" s="1">
        <f t="shared" si="108"/>
        <v>45574</v>
      </c>
      <c r="O1350" s="3">
        <f>(Table13[[#This Row],[Units_Sold]]*Table13[[#This Row],[Unit_Price_Cleaned]]*(1-Table13[[#This Row],[Discount Cleaned]]))</f>
        <v>2001.2248</v>
      </c>
      <c r="P1350" t="str">
        <f t="shared" si="109"/>
        <v>Profit</v>
      </c>
      <c r="Q1350" t="str" cm="1">
        <f t="array" ref="Q1350">IF(K1350="",INDEX($K$2:$K$2501,MATCH(MAX(COUNTIF($K$2:$K$2501,$K$2:$K$2501)),COUNTIF($K$2:$K$2501,$K$2:$K$2501),0)),K1350)</f>
        <v>B2B</v>
      </c>
    </row>
    <row r="1351" spans="1:17" x14ac:dyDescent="0.3">
      <c r="A1351">
        <v>2349</v>
      </c>
      <c r="B1351" t="s">
        <v>1388</v>
      </c>
      <c r="C1351" t="s">
        <v>20</v>
      </c>
      <c r="D1351" t="s">
        <v>21</v>
      </c>
      <c r="E1351">
        <v>2</v>
      </c>
      <c r="G1351">
        <v>0.34</v>
      </c>
      <c r="H1351" s="3">
        <f t="shared" si="105"/>
        <v>5362.348727272727</v>
      </c>
      <c r="I1351" s="1">
        <v>45505</v>
      </c>
      <c r="J1351" t="s">
        <v>15</v>
      </c>
      <c r="K1351" t="s">
        <v>23</v>
      </c>
      <c r="L1351" s="2">
        <f t="shared" si="106"/>
        <v>2681.1743636363635</v>
      </c>
      <c r="M1351" s="4">
        <f t="shared" si="107"/>
        <v>0.34</v>
      </c>
      <c r="N1351" s="1">
        <f t="shared" si="108"/>
        <v>45505</v>
      </c>
      <c r="O1351" s="3">
        <f>(Table13[[#This Row],[Units_Sold]]*Table13[[#This Row],[Unit_Price_Cleaned]]*(1-Table13[[#This Row],[Discount Cleaned]]))</f>
        <v>3539.1501599999992</v>
      </c>
      <c r="P1351" t="str">
        <f t="shared" si="109"/>
        <v>Profit</v>
      </c>
      <c r="Q1351" t="str" cm="1">
        <f t="array" ref="Q1351">IF(K1351="",INDEX($K$2:$K$2501,MATCH(MAX(COUNTIF($K$2:$K$2501,$K$2:$K$2501)),COUNTIF($K$2:$K$2501,$K$2:$K$2501),0)),K1351)</f>
        <v>B2B</v>
      </c>
    </row>
    <row r="1352" spans="1:17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 s="3">
        <f t="shared" si="105"/>
        <v>-3148.46</v>
      </c>
      <c r="I1352" s="1">
        <v>45192</v>
      </c>
      <c r="J1352" t="s">
        <v>40</v>
      </c>
      <c r="K1352" t="s">
        <v>23</v>
      </c>
      <c r="L1352" s="2">
        <f t="shared" si="106"/>
        <v>3148.46</v>
      </c>
      <c r="M1352" s="4">
        <f t="shared" si="107"/>
        <v>0.6</v>
      </c>
      <c r="N1352" s="1">
        <f t="shared" si="108"/>
        <v>45192</v>
      </c>
      <c r="O1352" s="3">
        <f>(Table13[[#This Row],[Units_Sold]]*Table13[[#This Row],[Unit_Price_Cleaned]]*(1-Table13[[#This Row],[Discount Cleaned]]))</f>
        <v>-1259.384</v>
      </c>
      <c r="P1352" t="str">
        <f t="shared" si="109"/>
        <v>Loss</v>
      </c>
      <c r="Q1352" t="str" cm="1">
        <f t="array" ref="Q1352">IF(K1352="",INDEX($K$2:$K$2501,MATCH(MAX(COUNTIF($K$2:$K$2501,$K$2:$K$2501)),COUNTIF($K$2:$K$2501,$K$2:$K$2501),0)),K1352)</f>
        <v>B2B</v>
      </c>
    </row>
    <row r="1353" spans="1:17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 s="3">
        <f t="shared" si="105"/>
        <v>-1875.17</v>
      </c>
      <c r="J1353" t="s">
        <v>18</v>
      </c>
      <c r="L1353" s="2">
        <f t="shared" si="106"/>
        <v>1875.17</v>
      </c>
      <c r="M1353" s="4">
        <f t="shared" si="107"/>
        <v>0.6</v>
      </c>
      <c r="N1353" s="1">
        <f t="shared" si="108"/>
        <v>45782</v>
      </c>
      <c r="O1353" s="3">
        <f>(Table13[[#This Row],[Units_Sold]]*Table13[[#This Row],[Unit_Price_Cleaned]]*(1-Table13[[#This Row],[Discount Cleaned]]))</f>
        <v>-750.0680000000001</v>
      </c>
      <c r="P1353" t="str">
        <f t="shared" si="109"/>
        <v>Loss</v>
      </c>
      <c r="Q1353" t="str" cm="1">
        <f t="array" ref="Q1353">IF(K1353="",INDEX($K$2:$K$2501,MATCH(MAX(COUNTIF($K$2:$K$2501,$K$2:$K$2501)),COUNTIF($K$2:$K$2501,$K$2:$K$2501),0)),K1353)</f>
        <v>B2B</v>
      </c>
    </row>
    <row r="1354" spans="1:17" x14ac:dyDescent="0.3">
      <c r="A1354">
        <v>2352</v>
      </c>
      <c r="B1354" t="s">
        <v>1391</v>
      </c>
      <c r="C1354" t="s">
        <v>38</v>
      </c>
      <c r="D1354" t="s">
        <v>59</v>
      </c>
      <c r="E1354">
        <v>2</v>
      </c>
      <c r="G1354">
        <v>1.18</v>
      </c>
      <c r="H1354" s="3">
        <f t="shared" si="105"/>
        <v>5608.5303846153838</v>
      </c>
      <c r="J1354" t="s">
        <v>46</v>
      </c>
      <c r="L1354" s="2">
        <f t="shared" si="106"/>
        <v>2804.2651923076919</v>
      </c>
      <c r="M1354" s="4">
        <f t="shared" si="107"/>
        <v>1.18</v>
      </c>
      <c r="N1354" s="1">
        <f t="shared" si="108"/>
        <v>45782</v>
      </c>
      <c r="O1354" s="3">
        <f>(Table13[[#This Row],[Units_Sold]]*Table13[[#This Row],[Unit_Price_Cleaned]]*(1-Table13[[#This Row],[Discount Cleaned]]))</f>
        <v>-1009.5354692307687</v>
      </c>
      <c r="P1354" t="str">
        <f t="shared" si="109"/>
        <v>Loss</v>
      </c>
      <c r="Q1354" t="str" cm="1">
        <f t="array" ref="Q1354">IF(K1354="",INDEX($K$2:$K$2501,MATCH(MAX(COUNTIF($K$2:$K$2501,$K$2:$K$2501)),COUNTIF($K$2:$K$2501,$K$2:$K$2501),0)),K1354)</f>
        <v>B2B</v>
      </c>
    </row>
    <row r="1355" spans="1:17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 s="3">
        <f t="shared" si="105"/>
        <v>-2501.5309999999999</v>
      </c>
      <c r="I1355" s="1">
        <v>45533</v>
      </c>
      <c r="J1355" t="s">
        <v>56</v>
      </c>
      <c r="L1355" s="2">
        <f t="shared" si="106"/>
        <v>2501.5309999999999</v>
      </c>
      <c r="M1355" s="4">
        <f t="shared" si="107"/>
        <v>0.6</v>
      </c>
      <c r="N1355" s="1">
        <f t="shared" si="108"/>
        <v>45533</v>
      </c>
      <c r="O1355" s="3">
        <f>(Table13[[#This Row],[Units_Sold]]*Table13[[#This Row],[Unit_Price_Cleaned]]*(1-Table13[[#This Row],[Discount Cleaned]]))</f>
        <v>-1000.6124</v>
      </c>
      <c r="P1355" t="str">
        <f t="shared" si="109"/>
        <v>Loss</v>
      </c>
      <c r="Q1355" t="str" cm="1">
        <f t="array" ref="Q1355">IF(K1355="",INDEX($K$2:$K$2501,MATCH(MAX(COUNTIF($K$2:$K$2501,$K$2:$K$2501)),COUNTIF($K$2:$K$2501,$K$2:$K$2501),0)),K1355)</f>
        <v>B2B</v>
      </c>
    </row>
    <row r="1356" spans="1:17" x14ac:dyDescent="0.3">
      <c r="A1356">
        <v>2354</v>
      </c>
      <c r="B1356" t="s">
        <v>1393</v>
      </c>
      <c r="C1356" t="s">
        <v>25</v>
      </c>
      <c r="D1356" t="s">
        <v>86</v>
      </c>
      <c r="E1356">
        <v>2</v>
      </c>
      <c r="H1356" s="3">
        <f t="shared" si="105"/>
        <v>5003.0619999999999</v>
      </c>
      <c r="I1356" s="1">
        <v>45699</v>
      </c>
      <c r="J1356" t="s">
        <v>56</v>
      </c>
      <c r="K1356" t="s">
        <v>23</v>
      </c>
      <c r="L1356" s="2">
        <f t="shared" si="106"/>
        <v>2501.5309999999999</v>
      </c>
      <c r="M1356" s="4">
        <f t="shared" si="107"/>
        <v>0.6</v>
      </c>
      <c r="N1356" s="1">
        <f t="shared" si="108"/>
        <v>45699</v>
      </c>
      <c r="O1356" s="3">
        <f>(Table13[[#This Row],[Units_Sold]]*Table13[[#This Row],[Unit_Price_Cleaned]]*(1-Table13[[#This Row],[Discount Cleaned]]))</f>
        <v>2001.2248</v>
      </c>
      <c r="P1356" t="str">
        <f t="shared" si="109"/>
        <v>Profit</v>
      </c>
      <c r="Q1356" t="str" cm="1">
        <f t="array" ref="Q1356">IF(K1356="",INDEX($K$2:$K$2501,MATCH(MAX(COUNTIF($K$2:$K$2501,$K$2:$K$2501)),COUNTIF($K$2:$K$2501,$K$2:$K$2501),0)),K1356)</f>
        <v>B2B</v>
      </c>
    </row>
    <row r="1357" spans="1:17" x14ac:dyDescent="0.3">
      <c r="A1357">
        <v>2355</v>
      </c>
      <c r="B1357" t="s">
        <v>1394</v>
      </c>
      <c r="C1357" t="s">
        <v>13</v>
      </c>
      <c r="D1357" t="s">
        <v>102</v>
      </c>
      <c r="E1357">
        <v>2</v>
      </c>
      <c r="G1357">
        <v>0.14000000000000001</v>
      </c>
      <c r="H1357" s="3">
        <f t="shared" si="105"/>
        <v>5152.6113793103432</v>
      </c>
      <c r="J1357" t="s">
        <v>56</v>
      </c>
      <c r="K1357" t="s">
        <v>23</v>
      </c>
      <c r="L1357" s="2">
        <f t="shared" si="106"/>
        <v>2576.3056896551716</v>
      </c>
      <c r="M1357" s="4">
        <f t="shared" si="107"/>
        <v>0.14000000000000001</v>
      </c>
      <c r="N1357" s="1">
        <f t="shared" si="108"/>
        <v>45782</v>
      </c>
      <c r="O1357" s="3">
        <f>(Table13[[#This Row],[Units_Sold]]*Table13[[#This Row],[Unit_Price_Cleaned]]*(1-Table13[[#This Row],[Discount Cleaned]]))</f>
        <v>4431.245786206895</v>
      </c>
      <c r="P1357" t="str">
        <f t="shared" si="109"/>
        <v>Profit</v>
      </c>
      <c r="Q1357" t="str" cm="1">
        <f t="array" ref="Q1357">IF(K1357="",INDEX($K$2:$K$2501,MATCH(MAX(COUNTIF($K$2:$K$2501,$K$2:$K$2501)),COUNTIF($K$2:$K$2501,$K$2:$K$2501),0)),K1357)</f>
        <v>B2B</v>
      </c>
    </row>
    <row r="1358" spans="1:17" x14ac:dyDescent="0.3">
      <c r="A1358">
        <v>2356</v>
      </c>
      <c r="B1358" t="s">
        <v>1395</v>
      </c>
      <c r="C1358" t="s">
        <v>29</v>
      </c>
      <c r="D1358" t="s">
        <v>141</v>
      </c>
      <c r="E1358">
        <v>2</v>
      </c>
      <c r="F1358">
        <v>3412.15</v>
      </c>
      <c r="G1358">
        <v>0.01</v>
      </c>
      <c r="H1358" s="3">
        <f t="shared" si="105"/>
        <v>6824.3</v>
      </c>
      <c r="I1358" s="1">
        <v>45763</v>
      </c>
      <c r="J1358" t="s">
        <v>56</v>
      </c>
      <c r="K1358" t="s">
        <v>23</v>
      </c>
      <c r="L1358" s="2">
        <f t="shared" si="106"/>
        <v>3412.15</v>
      </c>
      <c r="M1358" s="4">
        <f t="shared" si="107"/>
        <v>0.01</v>
      </c>
      <c r="N1358" s="1">
        <f t="shared" si="108"/>
        <v>45763</v>
      </c>
      <c r="O1358" s="3">
        <f>(Table13[[#This Row],[Units_Sold]]*Table13[[#This Row],[Unit_Price_Cleaned]]*(1-Table13[[#This Row],[Discount Cleaned]]))</f>
        <v>6756.0569999999998</v>
      </c>
      <c r="P1358" t="str">
        <f t="shared" si="109"/>
        <v>Profit</v>
      </c>
      <c r="Q1358" t="str" cm="1">
        <f t="array" ref="Q1358">IF(K1358="",INDEX($K$2:$K$2501,MATCH(MAX(COUNTIF($K$2:$K$2501,$K$2:$K$2501)),COUNTIF($K$2:$K$2501,$K$2:$K$2501),0)),K1358)</f>
        <v>B2B</v>
      </c>
    </row>
    <row r="1359" spans="1:17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 s="3">
        <f t="shared" si="105"/>
        <v>2547.7000000000003</v>
      </c>
      <c r="I1359" s="1">
        <v>45649</v>
      </c>
      <c r="J1359" t="s">
        <v>15</v>
      </c>
      <c r="K1359" t="s">
        <v>16</v>
      </c>
      <c r="L1359" s="2">
        <f t="shared" si="106"/>
        <v>509.54</v>
      </c>
      <c r="M1359" s="4">
        <f t="shared" si="107"/>
        <v>0.6</v>
      </c>
      <c r="N1359" s="1">
        <f t="shared" si="108"/>
        <v>45649</v>
      </c>
      <c r="O1359" s="3">
        <f>(Table13[[#This Row],[Units_Sold]]*Table13[[#This Row],[Unit_Price_Cleaned]]*(1-Table13[[#This Row],[Discount Cleaned]]))</f>
        <v>1019.0800000000002</v>
      </c>
      <c r="P1359" t="str">
        <f t="shared" si="109"/>
        <v>Profit</v>
      </c>
      <c r="Q1359" t="str" cm="1">
        <f t="array" ref="Q1359">IF(K1359="",INDEX($K$2:$K$2501,MATCH(MAX(COUNTIF($K$2:$K$2501,$K$2:$K$2501)),COUNTIF($K$2:$K$2501,$K$2:$K$2501),0)),K1359)</f>
        <v>B2C</v>
      </c>
    </row>
    <row r="1360" spans="1:17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 s="3">
        <f t="shared" si="105"/>
        <v>-3099.15</v>
      </c>
      <c r="J1360" t="s">
        <v>22</v>
      </c>
      <c r="K1360" t="s">
        <v>23</v>
      </c>
      <c r="L1360" s="2">
        <f t="shared" si="106"/>
        <v>3099.15</v>
      </c>
      <c r="M1360" s="4">
        <f t="shared" si="107"/>
        <v>0.6</v>
      </c>
      <c r="N1360" s="1">
        <f t="shared" si="108"/>
        <v>45782</v>
      </c>
      <c r="O1360" s="3">
        <f>(Table13[[#This Row],[Units_Sold]]*Table13[[#This Row],[Unit_Price_Cleaned]]*(1-Table13[[#This Row],[Discount Cleaned]]))</f>
        <v>-1239.6600000000001</v>
      </c>
      <c r="P1360" t="str">
        <f t="shared" si="109"/>
        <v>Loss</v>
      </c>
      <c r="Q1360" t="str" cm="1">
        <f t="array" ref="Q1360">IF(K1360="",INDEX($K$2:$K$2501,MATCH(MAX(COUNTIF($K$2:$K$2501,$K$2:$K$2501)),COUNTIF($K$2:$K$2501,$K$2:$K$2501),0)),K1360)</f>
        <v>B2B</v>
      </c>
    </row>
    <row r="1361" spans="1:17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 s="3">
        <f t="shared" si="105"/>
        <v>-2888.8714285714286</v>
      </c>
      <c r="I1361" s="1">
        <v>45502</v>
      </c>
      <c r="J1361" t="s">
        <v>46</v>
      </c>
      <c r="K1361" t="s">
        <v>16</v>
      </c>
      <c r="L1361" s="2">
        <f t="shared" si="106"/>
        <v>2888.8714285714286</v>
      </c>
      <c r="M1361" s="4">
        <f t="shared" si="107"/>
        <v>0.6</v>
      </c>
      <c r="N1361" s="1">
        <f t="shared" si="108"/>
        <v>45502</v>
      </c>
      <c r="O1361" s="3">
        <f>(Table13[[#This Row],[Units_Sold]]*Table13[[#This Row],[Unit_Price_Cleaned]]*(1-Table13[[#This Row],[Discount Cleaned]]))</f>
        <v>-1155.5485714285714</v>
      </c>
      <c r="P1361" t="str">
        <f t="shared" si="109"/>
        <v>Loss</v>
      </c>
      <c r="Q1361" t="str" cm="1">
        <f t="array" ref="Q1361">IF(K1361="",INDEX($K$2:$K$2501,MATCH(MAX(COUNTIF($K$2:$K$2501,$K$2:$K$2501)),COUNTIF($K$2:$K$2501,$K$2:$K$2501),0)),K1361)</f>
        <v>B2C</v>
      </c>
    </row>
    <row r="1362" spans="1:17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 s="3">
        <f t="shared" si="105"/>
        <v>14150.662857142866</v>
      </c>
      <c r="I1362" s="1">
        <v>45842</v>
      </c>
      <c r="J1362" t="s">
        <v>46</v>
      </c>
      <c r="K1362" t="s">
        <v>16</v>
      </c>
      <c r="L1362" s="2">
        <f t="shared" si="106"/>
        <v>2830.1325714285731</v>
      </c>
      <c r="M1362" s="4">
        <f t="shared" si="107"/>
        <v>0.6</v>
      </c>
      <c r="N1362" s="1">
        <f t="shared" si="108"/>
        <v>45842</v>
      </c>
      <c r="O1362" s="3">
        <f>(Table13[[#This Row],[Units_Sold]]*Table13[[#This Row],[Unit_Price_Cleaned]]*(1-Table13[[#This Row],[Discount Cleaned]]))</f>
        <v>5660.2651428571471</v>
      </c>
      <c r="P1362" t="str">
        <f t="shared" si="109"/>
        <v>Profit</v>
      </c>
      <c r="Q1362" t="str" cm="1">
        <f t="array" ref="Q1362">IF(K1362="",INDEX($K$2:$K$2501,MATCH(MAX(COUNTIF($K$2:$K$2501,$K$2:$K$2501)),COUNTIF($K$2:$K$2501,$K$2:$K$2501),0)),K1362)</f>
        <v>B2C</v>
      </c>
    </row>
    <row r="1363" spans="1:17" x14ac:dyDescent="0.3">
      <c r="A1363">
        <v>2361</v>
      </c>
      <c r="B1363" t="s">
        <v>1400</v>
      </c>
      <c r="C1363" t="s">
        <v>33</v>
      </c>
      <c r="D1363" t="s">
        <v>34</v>
      </c>
      <c r="E1363">
        <v>2</v>
      </c>
      <c r="F1363">
        <v>899.41</v>
      </c>
      <c r="H1363" s="3">
        <f t="shared" si="105"/>
        <v>1798.82</v>
      </c>
      <c r="I1363" s="1">
        <v>45622</v>
      </c>
      <c r="J1363" t="s">
        <v>15</v>
      </c>
      <c r="L1363" s="2">
        <f t="shared" si="106"/>
        <v>899.41</v>
      </c>
      <c r="M1363" s="4">
        <f t="shared" si="107"/>
        <v>0.6</v>
      </c>
      <c r="N1363" s="1">
        <f t="shared" si="108"/>
        <v>45622</v>
      </c>
      <c r="O1363" s="3">
        <f>(Table13[[#This Row],[Units_Sold]]*Table13[[#This Row],[Unit_Price_Cleaned]]*(1-Table13[[#This Row],[Discount Cleaned]]))</f>
        <v>719.52800000000002</v>
      </c>
      <c r="P1363" t="str">
        <f t="shared" si="109"/>
        <v>Profit</v>
      </c>
      <c r="Q1363" t="str" cm="1">
        <f t="array" ref="Q1363">IF(K1363="",INDEX($K$2:$K$2501,MATCH(MAX(COUNTIF($K$2:$K$2501,$K$2:$K$2501)),COUNTIF($K$2:$K$2501,$K$2:$K$2501),0)),K1363)</f>
        <v>B2B</v>
      </c>
    </row>
    <row r="1364" spans="1:17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 s="3">
        <f t="shared" si="105"/>
        <v>0</v>
      </c>
      <c r="I1364" s="1">
        <v>45664</v>
      </c>
      <c r="J1364" t="s">
        <v>15</v>
      </c>
      <c r="K1364" t="s">
        <v>23</v>
      </c>
      <c r="L1364" s="2">
        <f t="shared" si="106"/>
        <v>2550.98</v>
      </c>
      <c r="M1364" s="4">
        <f t="shared" si="107"/>
        <v>0.6</v>
      </c>
      <c r="N1364" s="1">
        <f t="shared" si="108"/>
        <v>45664</v>
      </c>
      <c r="O1364" s="3">
        <f>(Table13[[#This Row],[Units_Sold]]*Table13[[#This Row],[Unit_Price_Cleaned]]*(1-Table13[[#This Row],[Discount Cleaned]]))</f>
        <v>0</v>
      </c>
      <c r="P1364" t="str">
        <f t="shared" si="109"/>
        <v>Loss</v>
      </c>
      <c r="Q1364" t="str" cm="1">
        <f t="array" ref="Q1364">IF(K1364="",INDEX($K$2:$K$2501,MATCH(MAX(COUNTIF($K$2:$K$2501,$K$2:$K$2501)),COUNTIF($K$2:$K$2501,$K$2:$K$2501),0)),K1364)</f>
        <v>B2B</v>
      </c>
    </row>
    <row r="1365" spans="1:17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 s="3">
        <f t="shared" si="105"/>
        <v>-3640.29</v>
      </c>
      <c r="I1365" s="1">
        <v>45628</v>
      </c>
      <c r="J1365" t="s">
        <v>56</v>
      </c>
      <c r="K1365" t="s">
        <v>16</v>
      </c>
      <c r="L1365" s="2">
        <f t="shared" si="106"/>
        <v>3640.29</v>
      </c>
      <c r="M1365" s="4">
        <f t="shared" si="107"/>
        <v>0.86</v>
      </c>
      <c r="N1365" s="1">
        <f t="shared" si="108"/>
        <v>45628</v>
      </c>
      <c r="O1365" s="3">
        <f>(Table13[[#This Row],[Units_Sold]]*Table13[[#This Row],[Unit_Price_Cleaned]]*(1-Table13[[#This Row],[Discount Cleaned]]))</f>
        <v>-509.64060000000006</v>
      </c>
      <c r="P1365" t="str">
        <f t="shared" si="109"/>
        <v>Loss</v>
      </c>
      <c r="Q1365" t="str" cm="1">
        <f t="array" ref="Q1365">IF(K1365="",INDEX($K$2:$K$2501,MATCH(MAX(COUNTIF($K$2:$K$2501,$K$2:$K$2501)),COUNTIF($K$2:$K$2501,$K$2:$K$2501),0)),K1365)</f>
        <v>B2C</v>
      </c>
    </row>
    <row r="1366" spans="1:17" x14ac:dyDescent="0.3">
      <c r="A1366">
        <v>2364</v>
      </c>
      <c r="B1366" t="s">
        <v>1403</v>
      </c>
      <c r="C1366" t="s">
        <v>29</v>
      </c>
      <c r="D1366" t="s">
        <v>141</v>
      </c>
      <c r="E1366">
        <v>2</v>
      </c>
      <c r="F1366">
        <v>857.68</v>
      </c>
      <c r="H1366" s="3">
        <f t="shared" si="105"/>
        <v>1715.36</v>
      </c>
      <c r="I1366" s="1">
        <v>45817</v>
      </c>
      <c r="J1366" t="s">
        <v>22</v>
      </c>
      <c r="K1366" t="s">
        <v>23</v>
      </c>
      <c r="L1366" s="2">
        <f t="shared" si="106"/>
        <v>857.68</v>
      </c>
      <c r="M1366" s="4">
        <f t="shared" si="107"/>
        <v>0.6</v>
      </c>
      <c r="N1366" s="1">
        <f t="shared" si="108"/>
        <v>45817</v>
      </c>
      <c r="O1366" s="3">
        <f>(Table13[[#This Row],[Units_Sold]]*Table13[[#This Row],[Unit_Price_Cleaned]]*(1-Table13[[#This Row],[Discount Cleaned]]))</f>
        <v>686.14400000000001</v>
      </c>
      <c r="P1366" t="str">
        <f t="shared" si="109"/>
        <v>Profit</v>
      </c>
      <c r="Q1366" t="str" cm="1">
        <f t="array" ref="Q1366">IF(K1366="",INDEX($K$2:$K$2501,MATCH(MAX(COUNTIF($K$2:$K$2501,$K$2:$K$2501)),COUNTIF($K$2:$K$2501,$K$2:$K$2501),0)),K1366)</f>
        <v>B2B</v>
      </c>
    </row>
    <row r="1367" spans="1:17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 s="3">
        <f t="shared" si="105"/>
        <v>8606.3304545454539</v>
      </c>
      <c r="I1367" s="1">
        <v>45757</v>
      </c>
      <c r="J1367" t="s">
        <v>56</v>
      </c>
      <c r="L1367" s="2">
        <f t="shared" si="106"/>
        <v>2868.7768181818178</v>
      </c>
      <c r="M1367" s="4">
        <f t="shared" si="107"/>
        <v>0.49</v>
      </c>
      <c r="N1367" s="1">
        <f t="shared" si="108"/>
        <v>45757</v>
      </c>
      <c r="O1367" s="3">
        <f>(Table13[[#This Row],[Units_Sold]]*Table13[[#This Row],[Unit_Price_Cleaned]]*(1-Table13[[#This Row],[Discount Cleaned]]))</f>
        <v>4389.2285318181812</v>
      </c>
      <c r="P1367" t="str">
        <f t="shared" si="109"/>
        <v>Profit</v>
      </c>
      <c r="Q1367" t="str" cm="1">
        <f t="array" ref="Q1367">IF(K1367="",INDEX($K$2:$K$2501,MATCH(MAX(COUNTIF($K$2:$K$2501,$K$2:$K$2501)),COUNTIF($K$2:$K$2501,$K$2:$K$2501),0)),K1367)</f>
        <v>B2B</v>
      </c>
    </row>
    <row r="1368" spans="1:17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 s="3">
        <f t="shared" si="105"/>
        <v>2576.2200000000003</v>
      </c>
      <c r="I1368" s="1">
        <v>45472</v>
      </c>
      <c r="J1368" t="s">
        <v>22</v>
      </c>
      <c r="K1368" t="s">
        <v>23</v>
      </c>
      <c r="L1368" s="2">
        <f t="shared" si="106"/>
        <v>429.37</v>
      </c>
      <c r="M1368" s="4">
        <f t="shared" si="107"/>
        <v>0.6</v>
      </c>
      <c r="N1368" s="1">
        <f t="shared" si="108"/>
        <v>45472</v>
      </c>
      <c r="O1368" s="3">
        <f>(Table13[[#This Row],[Units_Sold]]*Table13[[#This Row],[Unit_Price_Cleaned]]*(1-Table13[[#This Row],[Discount Cleaned]]))</f>
        <v>1030.4880000000001</v>
      </c>
      <c r="P1368" t="str">
        <f t="shared" si="109"/>
        <v>Profit</v>
      </c>
      <c r="Q1368" t="str" cm="1">
        <f t="array" ref="Q1368">IF(K1368="",INDEX($K$2:$K$2501,MATCH(MAX(COUNTIF($K$2:$K$2501,$K$2:$K$2501)),COUNTIF($K$2:$K$2501,$K$2:$K$2501),0)),K1368)</f>
        <v>B2B</v>
      </c>
    </row>
    <row r="1369" spans="1:17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 s="3">
        <f t="shared" si="105"/>
        <v>1501.23</v>
      </c>
      <c r="I1369" s="1">
        <v>45648</v>
      </c>
      <c r="J1369" t="s">
        <v>22</v>
      </c>
      <c r="L1369" s="2">
        <f t="shared" si="106"/>
        <v>500.41</v>
      </c>
      <c r="M1369" s="4">
        <f t="shared" si="107"/>
        <v>0.6</v>
      </c>
      <c r="N1369" s="1">
        <f t="shared" si="108"/>
        <v>45648</v>
      </c>
      <c r="O1369" s="3">
        <f>(Table13[[#This Row],[Units_Sold]]*Table13[[#This Row],[Unit_Price_Cleaned]]*(1-Table13[[#This Row],[Discount Cleaned]]))</f>
        <v>600.49200000000008</v>
      </c>
      <c r="P1369" t="str">
        <f t="shared" si="109"/>
        <v>Profit</v>
      </c>
      <c r="Q1369" t="str" cm="1">
        <f t="array" ref="Q1369">IF(K1369="",INDEX($K$2:$K$2501,MATCH(MAX(COUNTIF($K$2:$K$2501,$K$2:$K$2501)),COUNTIF($K$2:$K$2501,$K$2:$K$2501),0)),K1369)</f>
        <v>B2B</v>
      </c>
    </row>
    <row r="1370" spans="1:17" x14ac:dyDescent="0.3">
      <c r="A1370">
        <v>2368</v>
      </c>
      <c r="B1370" t="s">
        <v>1407</v>
      </c>
      <c r="C1370" t="s">
        <v>29</v>
      </c>
      <c r="D1370" t="s">
        <v>30</v>
      </c>
      <c r="E1370">
        <v>2</v>
      </c>
      <c r="F1370">
        <v>2971.36</v>
      </c>
      <c r="G1370">
        <v>0.49</v>
      </c>
      <c r="H1370" s="3">
        <f t="shared" si="105"/>
        <v>5942.72</v>
      </c>
      <c r="I1370" s="1">
        <v>45532</v>
      </c>
      <c r="J1370" t="s">
        <v>18</v>
      </c>
      <c r="L1370" s="2">
        <f t="shared" si="106"/>
        <v>2971.36</v>
      </c>
      <c r="M1370" s="4">
        <f t="shared" si="107"/>
        <v>0.49</v>
      </c>
      <c r="N1370" s="1">
        <f t="shared" si="108"/>
        <v>45532</v>
      </c>
      <c r="O1370" s="3">
        <f>(Table13[[#This Row],[Units_Sold]]*Table13[[#This Row],[Unit_Price_Cleaned]]*(1-Table13[[#This Row],[Discount Cleaned]]))</f>
        <v>3030.7872000000002</v>
      </c>
      <c r="P1370" t="str">
        <f t="shared" si="109"/>
        <v>Profit</v>
      </c>
      <c r="Q1370" t="str" cm="1">
        <f t="array" ref="Q1370">IF(K1370="",INDEX($K$2:$K$2501,MATCH(MAX(COUNTIF($K$2:$K$2501,$K$2:$K$2501)),COUNTIF($K$2:$K$2501,$K$2:$K$2501),0)),K1370)</f>
        <v>B2B</v>
      </c>
    </row>
    <row r="1371" spans="1:17" x14ac:dyDescent="0.3">
      <c r="A1371">
        <v>2369</v>
      </c>
      <c r="B1371" t="s">
        <v>1408</v>
      </c>
      <c r="C1371" t="s">
        <v>33</v>
      </c>
      <c r="D1371" t="s">
        <v>34</v>
      </c>
      <c r="E1371">
        <v>2</v>
      </c>
      <c r="F1371">
        <v>935.57</v>
      </c>
      <c r="H1371" s="3">
        <f t="shared" si="105"/>
        <v>1871.14</v>
      </c>
      <c r="I1371" s="1">
        <v>45320</v>
      </c>
      <c r="J1371" t="s">
        <v>18</v>
      </c>
      <c r="K1371" t="s">
        <v>23</v>
      </c>
      <c r="L1371" s="2">
        <f t="shared" si="106"/>
        <v>935.57</v>
      </c>
      <c r="M1371" s="4">
        <f t="shared" si="107"/>
        <v>0.6</v>
      </c>
      <c r="N1371" s="1">
        <f t="shared" si="108"/>
        <v>45320</v>
      </c>
      <c r="O1371" s="3">
        <f>(Table13[[#This Row],[Units_Sold]]*Table13[[#This Row],[Unit_Price_Cleaned]]*(1-Table13[[#This Row],[Discount Cleaned]]))</f>
        <v>748.45600000000013</v>
      </c>
      <c r="P1371" t="str">
        <f t="shared" si="109"/>
        <v>Profit</v>
      </c>
      <c r="Q1371" t="str" cm="1">
        <f t="array" ref="Q1371">IF(K1371="",INDEX($K$2:$K$2501,MATCH(MAX(COUNTIF($K$2:$K$2501,$K$2:$K$2501)),COUNTIF($K$2:$K$2501,$K$2:$K$2501),0)),K1371)</f>
        <v>B2B</v>
      </c>
    </row>
    <row r="1372" spans="1:17" x14ac:dyDescent="0.3">
      <c r="A1372">
        <v>2370</v>
      </c>
      <c r="B1372" t="s">
        <v>1409</v>
      </c>
      <c r="C1372" t="s">
        <v>38</v>
      </c>
      <c r="D1372" t="s">
        <v>59</v>
      </c>
      <c r="E1372">
        <v>2</v>
      </c>
      <c r="H1372" s="3">
        <f t="shared" si="105"/>
        <v>5608.5303846153838</v>
      </c>
      <c r="I1372" s="1">
        <v>45306</v>
      </c>
      <c r="J1372" t="s">
        <v>22</v>
      </c>
      <c r="L1372" s="2">
        <f t="shared" si="106"/>
        <v>2804.2651923076919</v>
      </c>
      <c r="M1372" s="4">
        <f t="shared" si="107"/>
        <v>0.6</v>
      </c>
      <c r="N1372" s="1">
        <f t="shared" si="108"/>
        <v>45306</v>
      </c>
      <c r="O1372" s="3">
        <f>(Table13[[#This Row],[Units_Sold]]*Table13[[#This Row],[Unit_Price_Cleaned]]*(1-Table13[[#This Row],[Discount Cleaned]]))</f>
        <v>2243.4121538461536</v>
      </c>
      <c r="P1372" t="str">
        <f t="shared" si="109"/>
        <v>Profit</v>
      </c>
      <c r="Q1372" t="str" cm="1">
        <f t="array" ref="Q1372">IF(K1372="",INDEX($K$2:$K$2501,MATCH(MAX(COUNTIF($K$2:$K$2501,$K$2:$K$2501)),COUNTIF($K$2:$K$2501,$K$2:$K$2501),0)),K1372)</f>
        <v>B2B</v>
      </c>
    </row>
    <row r="1373" spans="1:17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 s="3">
        <f t="shared" si="105"/>
        <v>13401.75</v>
      </c>
      <c r="I1373" s="1">
        <v>45814</v>
      </c>
      <c r="J1373" t="s">
        <v>56</v>
      </c>
      <c r="L1373" s="2">
        <f t="shared" si="106"/>
        <v>4467.25</v>
      </c>
      <c r="M1373" s="4">
        <f t="shared" si="107"/>
        <v>0.6</v>
      </c>
      <c r="N1373" s="1">
        <f t="shared" si="108"/>
        <v>45814</v>
      </c>
      <c r="O1373" s="3">
        <f>(Table13[[#This Row],[Units_Sold]]*Table13[[#This Row],[Unit_Price_Cleaned]]*(1-Table13[[#This Row],[Discount Cleaned]]))</f>
        <v>5360.7000000000007</v>
      </c>
      <c r="P1373" t="str">
        <f t="shared" si="109"/>
        <v>Profit</v>
      </c>
      <c r="Q1373" t="str" cm="1">
        <f t="array" ref="Q1373">IF(K1373="",INDEX($K$2:$K$2501,MATCH(MAX(COUNTIF($K$2:$K$2501,$K$2:$K$2501)),COUNTIF($K$2:$K$2501,$K$2:$K$2501),0)),K1373)</f>
        <v>B2B</v>
      </c>
    </row>
    <row r="1374" spans="1:17" x14ac:dyDescent="0.3">
      <c r="A1374">
        <v>2372</v>
      </c>
      <c r="B1374" t="s">
        <v>1411</v>
      </c>
      <c r="C1374" t="s">
        <v>38</v>
      </c>
      <c r="D1374" t="s">
        <v>63</v>
      </c>
      <c r="E1374">
        <v>2</v>
      </c>
      <c r="H1374" s="3">
        <f t="shared" si="105"/>
        <v>5690.4839344262318</v>
      </c>
      <c r="I1374" s="1">
        <v>45782</v>
      </c>
      <c r="J1374" t="s">
        <v>15</v>
      </c>
      <c r="K1374" t="s">
        <v>23</v>
      </c>
      <c r="L1374" s="2">
        <f t="shared" si="106"/>
        <v>2845.2419672131159</v>
      </c>
      <c r="M1374" s="4">
        <f t="shared" si="107"/>
        <v>0.6</v>
      </c>
      <c r="N1374" s="1">
        <f t="shared" si="108"/>
        <v>45782</v>
      </c>
      <c r="O1374" s="3">
        <f>(Table13[[#This Row],[Units_Sold]]*Table13[[#This Row],[Unit_Price_Cleaned]]*(1-Table13[[#This Row],[Discount Cleaned]]))</f>
        <v>2276.193573770493</v>
      </c>
      <c r="P1374" t="str">
        <f t="shared" si="109"/>
        <v>Profit</v>
      </c>
      <c r="Q1374" t="str" cm="1">
        <f t="array" ref="Q1374">IF(K1374="",INDEX($K$2:$K$2501,MATCH(MAX(COUNTIF($K$2:$K$2501,$K$2:$K$2501)),COUNTIF($K$2:$K$2501,$K$2:$K$2501),0)),K1374)</f>
        <v>B2B</v>
      </c>
    </row>
    <row r="1375" spans="1:17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 s="3">
        <f t="shared" si="105"/>
        <v>-4980.88</v>
      </c>
      <c r="J1375" t="s">
        <v>22</v>
      </c>
      <c r="L1375" s="2">
        <f t="shared" si="106"/>
        <v>2490.44</v>
      </c>
      <c r="M1375" s="4">
        <f t="shared" si="107"/>
        <v>0.6</v>
      </c>
      <c r="N1375" s="1">
        <f t="shared" si="108"/>
        <v>45782</v>
      </c>
      <c r="O1375" s="3">
        <f>(Table13[[#This Row],[Units_Sold]]*Table13[[#This Row],[Unit_Price_Cleaned]]*(1-Table13[[#This Row],[Discount Cleaned]]))</f>
        <v>-1992.3520000000001</v>
      </c>
      <c r="P1375" t="str">
        <f t="shared" si="109"/>
        <v>Loss</v>
      </c>
      <c r="Q1375" t="str" cm="1">
        <f t="array" ref="Q1375">IF(K1375="",INDEX($K$2:$K$2501,MATCH(MAX(COUNTIF($K$2:$K$2501,$K$2:$K$2501)),COUNTIF($K$2:$K$2501,$K$2:$K$2501),0)),K1375)</f>
        <v>B2B</v>
      </c>
    </row>
    <row r="1376" spans="1:17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 s="3">
        <f t="shared" si="105"/>
        <v>0</v>
      </c>
      <c r="I1376" s="1">
        <v>45563</v>
      </c>
      <c r="J1376" t="s">
        <v>22</v>
      </c>
      <c r="K1376" t="s">
        <v>23</v>
      </c>
      <c r="L1376" s="2">
        <f t="shared" si="106"/>
        <v>4867.51</v>
      </c>
      <c r="M1376" s="4">
        <f t="shared" si="107"/>
        <v>1.0900000000000001</v>
      </c>
      <c r="N1376" s="1">
        <f t="shared" si="108"/>
        <v>45563</v>
      </c>
      <c r="O1376" s="3">
        <f>(Table13[[#This Row],[Units_Sold]]*Table13[[#This Row],[Unit_Price_Cleaned]]*(1-Table13[[#This Row],[Discount Cleaned]]))</f>
        <v>0</v>
      </c>
      <c r="P1376" t="str">
        <f t="shared" si="109"/>
        <v>Loss</v>
      </c>
      <c r="Q1376" t="str" cm="1">
        <f t="array" ref="Q1376">IF(K1376="",INDEX($K$2:$K$2501,MATCH(MAX(COUNTIF($K$2:$K$2501,$K$2:$K$2501)),COUNTIF($K$2:$K$2501,$K$2:$K$2501),0)),K1376)</f>
        <v>B2B</v>
      </c>
    </row>
    <row r="1377" spans="1:17" x14ac:dyDescent="0.3">
      <c r="A1377">
        <v>2375</v>
      </c>
      <c r="B1377" t="s">
        <v>1414</v>
      </c>
      <c r="C1377" t="s">
        <v>33</v>
      </c>
      <c r="D1377" t="s">
        <v>72</v>
      </c>
      <c r="E1377">
        <v>2</v>
      </c>
      <c r="F1377">
        <v>2765.79</v>
      </c>
      <c r="H1377" s="3">
        <f t="shared" si="105"/>
        <v>5531.58</v>
      </c>
      <c r="J1377" t="s">
        <v>40</v>
      </c>
      <c r="K1377" t="s">
        <v>16</v>
      </c>
      <c r="L1377" s="2">
        <f t="shared" si="106"/>
        <v>2765.79</v>
      </c>
      <c r="M1377" s="4">
        <f t="shared" si="107"/>
        <v>0.6</v>
      </c>
      <c r="N1377" s="1">
        <f t="shared" si="108"/>
        <v>45782</v>
      </c>
      <c r="O1377" s="3">
        <f>(Table13[[#This Row],[Units_Sold]]*Table13[[#This Row],[Unit_Price_Cleaned]]*(1-Table13[[#This Row],[Discount Cleaned]]))</f>
        <v>2212.6320000000001</v>
      </c>
      <c r="P1377" t="str">
        <f t="shared" si="109"/>
        <v>Profit</v>
      </c>
      <c r="Q1377" t="str" cm="1">
        <f t="array" ref="Q1377">IF(K1377="",INDEX($K$2:$K$2501,MATCH(MAX(COUNTIF($K$2:$K$2501,$K$2:$K$2501)),COUNTIF($K$2:$K$2501,$K$2:$K$2501),0)),K1377)</f>
        <v>B2C</v>
      </c>
    </row>
    <row r="1378" spans="1:17" x14ac:dyDescent="0.3">
      <c r="A1378">
        <v>2376</v>
      </c>
      <c r="B1378" t="s">
        <v>1415</v>
      </c>
      <c r="C1378" t="s">
        <v>20</v>
      </c>
      <c r="D1378" t="s">
        <v>80</v>
      </c>
      <c r="E1378">
        <v>2</v>
      </c>
      <c r="H1378" s="3">
        <f t="shared" si="105"/>
        <v>4967.1688000000004</v>
      </c>
      <c r="I1378" s="1">
        <v>45249</v>
      </c>
      <c r="J1378" t="s">
        <v>46</v>
      </c>
      <c r="K1378" t="s">
        <v>16</v>
      </c>
      <c r="L1378" s="2">
        <f t="shared" si="106"/>
        <v>2483.5844000000002</v>
      </c>
      <c r="M1378" s="4">
        <f t="shared" si="107"/>
        <v>0.6</v>
      </c>
      <c r="N1378" s="1">
        <f t="shared" si="108"/>
        <v>45249</v>
      </c>
      <c r="O1378" s="3">
        <f>(Table13[[#This Row],[Units_Sold]]*Table13[[#This Row],[Unit_Price_Cleaned]]*(1-Table13[[#This Row],[Discount Cleaned]]))</f>
        <v>1986.8675200000002</v>
      </c>
      <c r="P1378" t="str">
        <f t="shared" si="109"/>
        <v>Profit</v>
      </c>
      <c r="Q1378" t="str" cm="1">
        <f t="array" ref="Q1378">IF(K1378="",INDEX($K$2:$K$2501,MATCH(MAX(COUNTIF($K$2:$K$2501,$K$2:$K$2501)),COUNTIF($K$2:$K$2501,$K$2:$K$2501),0)),K1378)</f>
        <v>B2C</v>
      </c>
    </row>
    <row r="1379" spans="1:17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 s="3">
        <f t="shared" si="105"/>
        <v>17833.919999999998</v>
      </c>
      <c r="I1379" s="1">
        <v>45574</v>
      </c>
      <c r="J1379" t="s">
        <v>40</v>
      </c>
      <c r="K1379" t="s">
        <v>23</v>
      </c>
      <c r="L1379" s="2">
        <f t="shared" si="106"/>
        <v>4458.4799999999996</v>
      </c>
      <c r="M1379" s="4">
        <f t="shared" si="107"/>
        <v>0.6</v>
      </c>
      <c r="N1379" s="1">
        <f t="shared" si="108"/>
        <v>45574</v>
      </c>
      <c r="O1379" s="3">
        <f>(Table13[[#This Row],[Units_Sold]]*Table13[[#This Row],[Unit_Price_Cleaned]]*(1-Table13[[#This Row],[Discount Cleaned]]))</f>
        <v>7133.5679999999993</v>
      </c>
      <c r="P1379" t="str">
        <f t="shared" si="109"/>
        <v>Profit</v>
      </c>
      <c r="Q1379" t="str" cm="1">
        <f t="array" ref="Q1379">IF(K1379="",INDEX($K$2:$K$2501,MATCH(MAX(COUNTIF($K$2:$K$2501,$K$2:$K$2501)),COUNTIF($K$2:$K$2501,$K$2:$K$2501),0)),K1379)</f>
        <v>B2B</v>
      </c>
    </row>
    <row r="1380" spans="1:17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 s="3">
        <f t="shared" si="105"/>
        <v>0</v>
      </c>
      <c r="J1380" t="s">
        <v>18</v>
      </c>
      <c r="K1380" t="s">
        <v>16</v>
      </c>
      <c r="L1380" s="2">
        <f t="shared" si="106"/>
        <v>1985.49</v>
      </c>
      <c r="M1380" s="4">
        <f t="shared" si="107"/>
        <v>0.6</v>
      </c>
      <c r="N1380" s="1">
        <f t="shared" si="108"/>
        <v>45782</v>
      </c>
      <c r="O1380" s="3">
        <f>(Table13[[#This Row],[Units_Sold]]*Table13[[#This Row],[Unit_Price_Cleaned]]*(1-Table13[[#This Row],[Discount Cleaned]]))</f>
        <v>0</v>
      </c>
      <c r="P1380" t="str">
        <f t="shared" si="109"/>
        <v>Loss</v>
      </c>
      <c r="Q1380" t="str" cm="1">
        <f t="array" ref="Q1380">IF(K1380="",INDEX($K$2:$K$2501,MATCH(MAX(COUNTIF($K$2:$K$2501,$K$2:$K$2501)),COUNTIF($K$2:$K$2501,$K$2:$K$2501),0)),K1380)</f>
        <v>B2C</v>
      </c>
    </row>
    <row r="1381" spans="1:17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 s="3">
        <f t="shared" si="105"/>
        <v>13132.439999999999</v>
      </c>
      <c r="I1381" s="1">
        <v>45343</v>
      </c>
      <c r="J1381" t="s">
        <v>40</v>
      </c>
      <c r="K1381" t="s">
        <v>16</v>
      </c>
      <c r="L1381" s="2">
        <f t="shared" si="106"/>
        <v>2188.7399999999998</v>
      </c>
      <c r="M1381" s="4">
        <f t="shared" si="107"/>
        <v>0.6</v>
      </c>
      <c r="N1381" s="1">
        <f t="shared" si="108"/>
        <v>45343</v>
      </c>
      <c r="O1381" s="3">
        <f>(Table13[[#This Row],[Units_Sold]]*Table13[[#This Row],[Unit_Price_Cleaned]]*(1-Table13[[#This Row],[Discount Cleaned]]))</f>
        <v>5252.9759999999997</v>
      </c>
      <c r="P1381" t="str">
        <f t="shared" si="109"/>
        <v>Profit</v>
      </c>
      <c r="Q1381" t="str" cm="1">
        <f t="array" ref="Q1381">IF(K1381="",INDEX($K$2:$K$2501,MATCH(MAX(COUNTIF($K$2:$K$2501,$K$2:$K$2501)),COUNTIF($K$2:$K$2501,$K$2:$K$2501),0)),K1381)</f>
        <v>B2C</v>
      </c>
    </row>
    <row r="1382" spans="1:17" x14ac:dyDescent="0.3">
      <c r="A1382">
        <v>2380</v>
      </c>
      <c r="B1382" t="s">
        <v>1419</v>
      </c>
      <c r="C1382" t="s">
        <v>20</v>
      </c>
      <c r="D1382" t="s">
        <v>21</v>
      </c>
      <c r="E1382">
        <v>2</v>
      </c>
      <c r="F1382">
        <v>3820.42</v>
      </c>
      <c r="G1382">
        <v>1.03</v>
      </c>
      <c r="H1382" s="3">
        <f t="shared" si="105"/>
        <v>7640.84</v>
      </c>
      <c r="I1382" s="1">
        <v>45746</v>
      </c>
      <c r="J1382" t="s">
        <v>22</v>
      </c>
      <c r="K1382" t="s">
        <v>23</v>
      </c>
      <c r="L1382" s="2">
        <f t="shared" si="106"/>
        <v>3820.42</v>
      </c>
      <c r="M1382" s="4">
        <f t="shared" si="107"/>
        <v>1.03</v>
      </c>
      <c r="N1382" s="1">
        <f t="shared" si="108"/>
        <v>45746</v>
      </c>
      <c r="O1382" s="3">
        <f>(Table13[[#This Row],[Units_Sold]]*Table13[[#This Row],[Unit_Price_Cleaned]]*(1-Table13[[#This Row],[Discount Cleaned]]))</f>
        <v>-229.2252000000002</v>
      </c>
      <c r="P1382" t="str">
        <f t="shared" si="109"/>
        <v>Loss</v>
      </c>
      <c r="Q1382" t="str" cm="1">
        <f t="array" ref="Q1382">IF(K1382="",INDEX($K$2:$K$2501,MATCH(MAX(COUNTIF($K$2:$K$2501,$K$2:$K$2501)),COUNTIF($K$2:$K$2501,$K$2:$K$2501),0)),K1382)</f>
        <v>B2B</v>
      </c>
    </row>
    <row r="1383" spans="1:17" x14ac:dyDescent="0.3">
      <c r="A1383">
        <v>2381</v>
      </c>
      <c r="B1383" t="s">
        <v>1420</v>
      </c>
      <c r="C1383" t="s">
        <v>25</v>
      </c>
      <c r="D1383" t="s">
        <v>54</v>
      </c>
      <c r="E1383">
        <v>2</v>
      </c>
      <c r="H1383" s="3">
        <f t="shared" si="105"/>
        <v>5060.7673076923093</v>
      </c>
      <c r="I1383" s="1">
        <v>45620</v>
      </c>
      <c r="J1383" t="s">
        <v>15</v>
      </c>
      <c r="L1383" s="2">
        <f t="shared" si="106"/>
        <v>2530.3836538461546</v>
      </c>
      <c r="M1383" s="4">
        <f t="shared" si="107"/>
        <v>0.6</v>
      </c>
      <c r="N1383" s="1">
        <f t="shared" si="108"/>
        <v>45620</v>
      </c>
      <c r="O1383" s="3">
        <f>(Table13[[#This Row],[Units_Sold]]*Table13[[#This Row],[Unit_Price_Cleaned]]*(1-Table13[[#This Row],[Discount Cleaned]]))</f>
        <v>2024.3069230769238</v>
      </c>
      <c r="P1383" t="str">
        <f t="shared" si="109"/>
        <v>Profit</v>
      </c>
      <c r="Q1383" t="str" cm="1">
        <f t="array" ref="Q1383">IF(K1383="",INDEX($K$2:$K$2501,MATCH(MAX(COUNTIF($K$2:$K$2501,$K$2:$K$2501)),COUNTIF($K$2:$K$2501,$K$2:$K$2501),0)),K1383)</f>
        <v>B2B</v>
      </c>
    </row>
    <row r="1384" spans="1:17" x14ac:dyDescent="0.3">
      <c r="A1384">
        <v>2382</v>
      </c>
      <c r="B1384" t="s">
        <v>1421</v>
      </c>
      <c r="C1384" t="s">
        <v>20</v>
      </c>
      <c r="D1384" t="s">
        <v>80</v>
      </c>
      <c r="E1384">
        <v>2</v>
      </c>
      <c r="F1384">
        <v>3440.31</v>
      </c>
      <c r="H1384" s="3">
        <f t="shared" si="105"/>
        <v>6880.62</v>
      </c>
      <c r="I1384" s="1">
        <v>45786</v>
      </c>
      <c r="J1384" t="s">
        <v>40</v>
      </c>
      <c r="K1384" t="s">
        <v>23</v>
      </c>
      <c r="L1384" s="2">
        <f t="shared" si="106"/>
        <v>3440.31</v>
      </c>
      <c r="M1384" s="4">
        <f t="shared" si="107"/>
        <v>0.6</v>
      </c>
      <c r="N1384" s="1">
        <f t="shared" si="108"/>
        <v>45786</v>
      </c>
      <c r="O1384" s="3">
        <f>(Table13[[#This Row],[Units_Sold]]*Table13[[#This Row],[Unit_Price_Cleaned]]*(1-Table13[[#This Row],[Discount Cleaned]]))</f>
        <v>2752.248</v>
      </c>
      <c r="P1384" t="str">
        <f t="shared" si="109"/>
        <v>Profit</v>
      </c>
      <c r="Q1384" t="str" cm="1">
        <f t="array" ref="Q1384">IF(K1384="",INDEX($K$2:$K$2501,MATCH(MAX(COUNTIF($K$2:$K$2501,$K$2:$K$2501)),COUNTIF($K$2:$K$2501,$K$2:$K$2501),0)),K1384)</f>
        <v>B2B</v>
      </c>
    </row>
    <row r="1385" spans="1:17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 s="3">
        <f t="shared" si="105"/>
        <v>-5003.0619999999999</v>
      </c>
      <c r="I1385" s="1">
        <v>45802</v>
      </c>
      <c r="J1385" t="s">
        <v>56</v>
      </c>
      <c r="L1385" s="2">
        <f t="shared" si="106"/>
        <v>2501.5309999999999</v>
      </c>
      <c r="M1385" s="4">
        <f t="shared" si="107"/>
        <v>0.6</v>
      </c>
      <c r="N1385" s="1">
        <f t="shared" si="108"/>
        <v>45802</v>
      </c>
      <c r="O1385" s="3">
        <f>(Table13[[#This Row],[Units_Sold]]*Table13[[#This Row],[Unit_Price_Cleaned]]*(1-Table13[[#This Row],[Discount Cleaned]]))</f>
        <v>-2001.2248</v>
      </c>
      <c r="P1385" t="str">
        <f t="shared" si="109"/>
        <v>Loss</v>
      </c>
      <c r="Q1385" t="str" cm="1">
        <f t="array" ref="Q1385">IF(K1385="",INDEX($K$2:$K$2501,MATCH(MAX(COUNTIF($K$2:$K$2501,$K$2:$K$2501)),COUNTIF($K$2:$K$2501,$K$2:$K$2501),0)),K1385)</f>
        <v>B2B</v>
      </c>
    </row>
    <row r="1386" spans="1:17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 s="3">
        <f t="shared" si="105"/>
        <v>4876.74</v>
      </c>
      <c r="I1386" s="1">
        <v>45854</v>
      </c>
      <c r="J1386" t="s">
        <v>46</v>
      </c>
      <c r="L1386" s="2">
        <f t="shared" si="106"/>
        <v>1625.58</v>
      </c>
      <c r="M1386" s="4">
        <f t="shared" si="107"/>
        <v>0.1</v>
      </c>
      <c r="N1386" s="1">
        <f t="shared" si="108"/>
        <v>45854</v>
      </c>
      <c r="O1386" s="3">
        <f>(Table13[[#This Row],[Units_Sold]]*Table13[[#This Row],[Unit_Price_Cleaned]]*(1-Table13[[#This Row],[Discount Cleaned]]))</f>
        <v>4389.0659999999998</v>
      </c>
      <c r="P1386" t="str">
        <f t="shared" si="109"/>
        <v>Profit</v>
      </c>
      <c r="Q1386" t="str" cm="1">
        <f t="array" ref="Q1386">IF(K1386="",INDEX($K$2:$K$2501,MATCH(MAX(COUNTIF($K$2:$K$2501,$K$2:$K$2501)),COUNTIF($K$2:$K$2501,$K$2:$K$2501),0)),K1386)</f>
        <v>B2B</v>
      </c>
    </row>
    <row r="1387" spans="1:17" x14ac:dyDescent="0.3">
      <c r="A1387">
        <v>2385</v>
      </c>
      <c r="B1387" t="s">
        <v>1424</v>
      </c>
      <c r="C1387" t="s">
        <v>38</v>
      </c>
      <c r="D1387" t="s">
        <v>63</v>
      </c>
      <c r="E1387">
        <v>2</v>
      </c>
      <c r="G1387">
        <v>0.06</v>
      </c>
      <c r="H1387" s="3">
        <f t="shared" si="105"/>
        <v>5690.4839344262318</v>
      </c>
      <c r="I1387" s="1">
        <v>45745</v>
      </c>
      <c r="J1387" t="s">
        <v>15</v>
      </c>
      <c r="L1387" s="2">
        <f t="shared" si="106"/>
        <v>2845.2419672131159</v>
      </c>
      <c r="M1387" s="4">
        <f t="shared" si="107"/>
        <v>0.06</v>
      </c>
      <c r="N1387" s="1">
        <f t="shared" si="108"/>
        <v>45745</v>
      </c>
      <c r="O1387" s="3">
        <f>(Table13[[#This Row],[Units_Sold]]*Table13[[#This Row],[Unit_Price_Cleaned]]*(1-Table13[[#This Row],[Discount Cleaned]]))</f>
        <v>5349.0548983606577</v>
      </c>
      <c r="P1387" t="str">
        <f t="shared" si="109"/>
        <v>Profit</v>
      </c>
      <c r="Q1387" t="str" cm="1">
        <f t="array" ref="Q1387">IF(K1387="",INDEX($K$2:$K$2501,MATCH(MAX(COUNTIF($K$2:$K$2501,$K$2:$K$2501)),COUNTIF($K$2:$K$2501,$K$2:$K$2501),0)),K1387)</f>
        <v>B2B</v>
      </c>
    </row>
    <row r="1388" spans="1:17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 s="3">
        <f t="shared" si="105"/>
        <v>0</v>
      </c>
      <c r="J1388" t="s">
        <v>18</v>
      </c>
      <c r="L1388" s="2">
        <f t="shared" si="106"/>
        <v>2253.08</v>
      </c>
      <c r="M1388" s="4">
        <f t="shared" si="107"/>
        <v>0.09</v>
      </c>
      <c r="N1388" s="1">
        <f t="shared" si="108"/>
        <v>45782</v>
      </c>
      <c r="O1388" s="3">
        <f>(Table13[[#This Row],[Units_Sold]]*Table13[[#This Row],[Unit_Price_Cleaned]]*(1-Table13[[#This Row],[Discount Cleaned]]))</f>
        <v>0</v>
      </c>
      <c r="P1388" t="str">
        <f t="shared" si="109"/>
        <v>Loss</v>
      </c>
      <c r="Q1388" t="str" cm="1">
        <f t="array" ref="Q1388">IF(K1388="",INDEX($K$2:$K$2501,MATCH(MAX(COUNTIF($K$2:$K$2501,$K$2:$K$2501)),COUNTIF($K$2:$K$2501,$K$2:$K$2501),0)),K1388)</f>
        <v>B2B</v>
      </c>
    </row>
    <row r="1389" spans="1:17" x14ac:dyDescent="0.3">
      <c r="A1389">
        <v>2387</v>
      </c>
      <c r="B1389" t="s">
        <v>1426</v>
      </c>
      <c r="C1389" t="s">
        <v>29</v>
      </c>
      <c r="D1389" t="s">
        <v>141</v>
      </c>
      <c r="E1389">
        <v>2</v>
      </c>
      <c r="F1389">
        <v>3246.04</v>
      </c>
      <c r="H1389" s="3">
        <f t="shared" si="105"/>
        <v>6492.08</v>
      </c>
      <c r="I1389" s="1">
        <v>45773</v>
      </c>
      <c r="J1389" t="s">
        <v>56</v>
      </c>
      <c r="L1389" s="2">
        <f t="shared" si="106"/>
        <v>3246.04</v>
      </c>
      <c r="M1389" s="4">
        <f t="shared" si="107"/>
        <v>0.6</v>
      </c>
      <c r="N1389" s="1">
        <f t="shared" si="108"/>
        <v>45773</v>
      </c>
      <c r="O1389" s="3">
        <f>(Table13[[#This Row],[Units_Sold]]*Table13[[#This Row],[Unit_Price_Cleaned]]*(1-Table13[[#This Row],[Discount Cleaned]]))</f>
        <v>2596.8320000000003</v>
      </c>
      <c r="P1389" t="str">
        <f t="shared" si="109"/>
        <v>Profit</v>
      </c>
      <c r="Q1389" t="str" cm="1">
        <f t="array" ref="Q1389">IF(K1389="",INDEX($K$2:$K$2501,MATCH(MAX(COUNTIF($K$2:$K$2501,$K$2:$K$2501)),COUNTIF($K$2:$K$2501,$K$2:$K$2501),0)),K1389)</f>
        <v>B2B</v>
      </c>
    </row>
    <row r="1390" spans="1:17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 s="3">
        <f t="shared" si="105"/>
        <v>-4974.07923076923</v>
      </c>
      <c r="I1390" s="1">
        <v>45714</v>
      </c>
      <c r="J1390" t="s">
        <v>56</v>
      </c>
      <c r="K1390" t="s">
        <v>23</v>
      </c>
      <c r="L1390" s="2">
        <f t="shared" si="106"/>
        <v>2487.039615384615</v>
      </c>
      <c r="M1390" s="4">
        <f t="shared" si="107"/>
        <v>0.6</v>
      </c>
      <c r="N1390" s="1">
        <f t="shared" si="108"/>
        <v>45714</v>
      </c>
      <c r="O1390" s="3">
        <f>(Table13[[#This Row],[Units_Sold]]*Table13[[#This Row],[Unit_Price_Cleaned]]*(1-Table13[[#This Row],[Discount Cleaned]]))</f>
        <v>-1989.631692307692</v>
      </c>
      <c r="P1390" t="str">
        <f t="shared" si="109"/>
        <v>Loss</v>
      </c>
      <c r="Q1390" t="str" cm="1">
        <f t="array" ref="Q1390">IF(K1390="",INDEX($K$2:$K$2501,MATCH(MAX(COUNTIF($K$2:$K$2501,$K$2:$K$2501)),COUNTIF($K$2:$K$2501,$K$2:$K$2501),0)),K1390)</f>
        <v>B2B</v>
      </c>
    </row>
    <row r="1391" spans="1:17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 s="3">
        <f t="shared" si="105"/>
        <v>12863.882000000003</v>
      </c>
      <c r="I1391" s="1">
        <v>45373</v>
      </c>
      <c r="J1391" t="s">
        <v>40</v>
      </c>
      <c r="K1391" t="s">
        <v>23</v>
      </c>
      <c r="L1391" s="2">
        <f t="shared" si="106"/>
        <v>2572.7764000000006</v>
      </c>
      <c r="M1391" s="4">
        <f t="shared" si="107"/>
        <v>0.6</v>
      </c>
      <c r="N1391" s="1">
        <f t="shared" si="108"/>
        <v>45373</v>
      </c>
      <c r="O1391" s="3">
        <f>(Table13[[#This Row],[Units_Sold]]*Table13[[#This Row],[Unit_Price_Cleaned]]*(1-Table13[[#This Row],[Discount Cleaned]]))</f>
        <v>5145.5528000000013</v>
      </c>
      <c r="P1391" t="str">
        <f t="shared" si="109"/>
        <v>Profit</v>
      </c>
      <c r="Q1391" t="str" cm="1">
        <f t="array" ref="Q1391">IF(K1391="",INDEX($K$2:$K$2501,MATCH(MAX(COUNTIF($K$2:$K$2501,$K$2:$K$2501)),COUNTIF($K$2:$K$2501,$K$2:$K$2501),0)),K1391)</f>
        <v>B2B</v>
      </c>
    </row>
    <row r="1392" spans="1:17" x14ac:dyDescent="0.3">
      <c r="A1392">
        <v>2390</v>
      </c>
      <c r="B1392" t="s">
        <v>1429</v>
      </c>
      <c r="C1392" t="s">
        <v>13</v>
      </c>
      <c r="D1392" t="s">
        <v>14</v>
      </c>
      <c r="E1392">
        <v>2</v>
      </c>
      <c r="F1392">
        <v>3605.36</v>
      </c>
      <c r="G1392">
        <v>1.01</v>
      </c>
      <c r="H1392" s="3">
        <f t="shared" si="105"/>
        <v>7210.72</v>
      </c>
      <c r="I1392" s="1">
        <v>45660</v>
      </c>
      <c r="J1392" t="s">
        <v>18</v>
      </c>
      <c r="K1392" t="s">
        <v>23</v>
      </c>
      <c r="L1392" s="2">
        <f t="shared" si="106"/>
        <v>3605.36</v>
      </c>
      <c r="M1392" s="4">
        <f t="shared" si="107"/>
        <v>1.01</v>
      </c>
      <c r="N1392" s="1">
        <f t="shared" si="108"/>
        <v>45660</v>
      </c>
      <c r="O1392" s="3">
        <f>(Table13[[#This Row],[Units_Sold]]*Table13[[#This Row],[Unit_Price_Cleaned]]*(1-Table13[[#This Row],[Discount Cleaned]]))</f>
        <v>-72.107200000000063</v>
      </c>
      <c r="P1392" t="str">
        <f t="shared" si="109"/>
        <v>Loss</v>
      </c>
      <c r="Q1392" t="str" cm="1">
        <f t="array" ref="Q1392">IF(K1392="",INDEX($K$2:$K$2501,MATCH(MAX(COUNTIF($K$2:$K$2501,$K$2:$K$2501)),COUNTIF($K$2:$K$2501,$K$2:$K$2501),0)),K1392)</f>
        <v>B2B</v>
      </c>
    </row>
    <row r="1393" spans="1:17" x14ac:dyDescent="0.3">
      <c r="A1393">
        <v>2391</v>
      </c>
      <c r="B1393" t="s">
        <v>1430</v>
      </c>
      <c r="C1393" t="s">
        <v>13</v>
      </c>
      <c r="D1393" t="s">
        <v>36</v>
      </c>
      <c r="E1393">
        <v>2</v>
      </c>
      <c r="F1393">
        <v>4473.9399999999996</v>
      </c>
      <c r="H1393" s="3">
        <f t="shared" si="105"/>
        <v>8947.8799999999992</v>
      </c>
      <c r="J1393" t="s">
        <v>40</v>
      </c>
      <c r="K1393" t="s">
        <v>23</v>
      </c>
      <c r="L1393" s="2">
        <f t="shared" si="106"/>
        <v>4473.9399999999996</v>
      </c>
      <c r="M1393" s="4">
        <f t="shared" si="107"/>
        <v>0.6</v>
      </c>
      <c r="N1393" s="1">
        <f t="shared" si="108"/>
        <v>45782</v>
      </c>
      <c r="O1393" s="3">
        <f>(Table13[[#This Row],[Units_Sold]]*Table13[[#This Row],[Unit_Price_Cleaned]]*(1-Table13[[#This Row],[Discount Cleaned]]))</f>
        <v>3579.152</v>
      </c>
      <c r="P1393" t="str">
        <f t="shared" si="109"/>
        <v>Profit</v>
      </c>
      <c r="Q1393" t="str" cm="1">
        <f t="array" ref="Q1393">IF(K1393="",INDEX($K$2:$K$2501,MATCH(MAX(COUNTIF($K$2:$K$2501,$K$2:$K$2501)),COUNTIF($K$2:$K$2501,$K$2:$K$2501),0)),K1393)</f>
        <v>B2B</v>
      </c>
    </row>
    <row r="1394" spans="1:17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 s="3">
        <f t="shared" si="105"/>
        <v>13652.849999999999</v>
      </c>
      <c r="I1394" s="1">
        <v>45736</v>
      </c>
      <c r="J1394" t="s">
        <v>18</v>
      </c>
      <c r="L1394" s="2">
        <f t="shared" si="106"/>
        <v>4550.95</v>
      </c>
      <c r="M1394" s="4">
        <f t="shared" si="107"/>
        <v>0.6</v>
      </c>
      <c r="N1394" s="1">
        <f t="shared" si="108"/>
        <v>45736</v>
      </c>
      <c r="O1394" s="3">
        <f>(Table13[[#This Row],[Units_Sold]]*Table13[[#This Row],[Unit_Price_Cleaned]]*(1-Table13[[#This Row],[Discount Cleaned]]))</f>
        <v>5461.1399999999994</v>
      </c>
      <c r="P1394" t="str">
        <f t="shared" si="109"/>
        <v>Profit</v>
      </c>
      <c r="Q1394" t="str" cm="1">
        <f t="array" ref="Q1394">IF(K1394="",INDEX($K$2:$K$2501,MATCH(MAX(COUNTIF($K$2:$K$2501,$K$2:$K$2501)),COUNTIF($K$2:$K$2501,$K$2:$K$2501),0)),K1394)</f>
        <v>B2B</v>
      </c>
    </row>
    <row r="1395" spans="1:17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 s="3">
        <f t="shared" si="105"/>
        <v>3769.25</v>
      </c>
      <c r="I1395" s="1">
        <v>45615</v>
      </c>
      <c r="J1395" t="s">
        <v>15</v>
      </c>
      <c r="K1395" t="s">
        <v>16</v>
      </c>
      <c r="L1395" s="2">
        <f t="shared" si="106"/>
        <v>753.85</v>
      </c>
      <c r="M1395" s="4">
        <f t="shared" si="107"/>
        <v>0.6</v>
      </c>
      <c r="N1395" s="1">
        <f t="shared" si="108"/>
        <v>45615</v>
      </c>
      <c r="O1395" s="3">
        <f>(Table13[[#This Row],[Units_Sold]]*Table13[[#This Row],[Unit_Price_Cleaned]]*(1-Table13[[#This Row],[Discount Cleaned]]))</f>
        <v>1507.7</v>
      </c>
      <c r="P1395" t="str">
        <f t="shared" si="109"/>
        <v>Profit</v>
      </c>
      <c r="Q1395" t="str" cm="1">
        <f t="array" ref="Q1395">IF(K1395="",INDEX($K$2:$K$2501,MATCH(MAX(COUNTIF($K$2:$K$2501,$K$2:$K$2501)),COUNTIF($K$2:$K$2501,$K$2:$K$2501),0)),K1395)</f>
        <v>B2C</v>
      </c>
    </row>
    <row r="1396" spans="1:17" x14ac:dyDescent="0.3">
      <c r="A1396">
        <v>2394</v>
      </c>
      <c r="B1396" t="s">
        <v>1433</v>
      </c>
      <c r="C1396" t="s">
        <v>20</v>
      </c>
      <c r="D1396" t="s">
        <v>21</v>
      </c>
      <c r="E1396">
        <v>2</v>
      </c>
      <c r="F1396">
        <v>3384.51</v>
      </c>
      <c r="H1396" s="3">
        <f t="shared" si="105"/>
        <v>6769.02</v>
      </c>
      <c r="I1396" s="1">
        <v>45839</v>
      </c>
      <c r="J1396" t="s">
        <v>40</v>
      </c>
      <c r="K1396" t="s">
        <v>23</v>
      </c>
      <c r="L1396" s="2">
        <f t="shared" si="106"/>
        <v>3384.51</v>
      </c>
      <c r="M1396" s="4">
        <f t="shared" si="107"/>
        <v>0.6</v>
      </c>
      <c r="N1396" s="1">
        <f t="shared" si="108"/>
        <v>45839</v>
      </c>
      <c r="O1396" s="3">
        <f>(Table13[[#This Row],[Units_Sold]]*Table13[[#This Row],[Unit_Price_Cleaned]]*(1-Table13[[#This Row],[Discount Cleaned]]))</f>
        <v>2707.6080000000002</v>
      </c>
      <c r="P1396" t="str">
        <f t="shared" si="109"/>
        <v>Profit</v>
      </c>
      <c r="Q1396" t="str" cm="1">
        <f t="array" ref="Q1396">IF(K1396="",INDEX($K$2:$K$2501,MATCH(MAX(COUNTIF($K$2:$K$2501,$K$2:$K$2501)),COUNTIF($K$2:$K$2501,$K$2:$K$2501),0)),K1396)</f>
        <v>B2B</v>
      </c>
    </row>
    <row r="1397" spans="1:17" x14ac:dyDescent="0.3">
      <c r="A1397">
        <v>2395</v>
      </c>
      <c r="B1397" t="s">
        <v>1434</v>
      </c>
      <c r="C1397" t="s">
        <v>29</v>
      </c>
      <c r="D1397" t="s">
        <v>120</v>
      </c>
      <c r="E1397">
        <v>2</v>
      </c>
      <c r="H1397" s="3">
        <f t="shared" si="105"/>
        <v>5660.2651428571462</v>
      </c>
      <c r="I1397" s="1">
        <v>45797</v>
      </c>
      <c r="J1397" t="s">
        <v>56</v>
      </c>
      <c r="K1397" t="s">
        <v>16</v>
      </c>
      <c r="L1397" s="2">
        <f t="shared" si="106"/>
        <v>2830.1325714285731</v>
      </c>
      <c r="M1397" s="4">
        <f t="shared" si="107"/>
        <v>0.6</v>
      </c>
      <c r="N1397" s="1">
        <f t="shared" si="108"/>
        <v>45797</v>
      </c>
      <c r="O1397" s="3">
        <f>(Table13[[#This Row],[Units_Sold]]*Table13[[#This Row],[Unit_Price_Cleaned]]*(1-Table13[[#This Row],[Discount Cleaned]]))</f>
        <v>2264.1060571428584</v>
      </c>
      <c r="P1397" t="str">
        <f t="shared" si="109"/>
        <v>Profit</v>
      </c>
      <c r="Q1397" t="str" cm="1">
        <f t="array" ref="Q1397">IF(K1397="",INDEX($K$2:$K$2501,MATCH(MAX(COUNTIF($K$2:$K$2501,$K$2:$K$2501)),COUNTIF($K$2:$K$2501,$K$2:$K$2501),0)),K1397)</f>
        <v>B2C</v>
      </c>
    </row>
    <row r="1398" spans="1:17" x14ac:dyDescent="0.3">
      <c r="A1398">
        <v>2396</v>
      </c>
      <c r="B1398" t="s">
        <v>1435</v>
      </c>
      <c r="C1398" t="s">
        <v>13</v>
      </c>
      <c r="D1398" t="s">
        <v>14</v>
      </c>
      <c r="E1398">
        <v>2</v>
      </c>
      <c r="G1398">
        <v>1.02</v>
      </c>
      <c r="H1398" s="3">
        <f t="shared" si="105"/>
        <v>4762.5355172413792</v>
      </c>
      <c r="I1398" s="1">
        <v>45619</v>
      </c>
      <c r="J1398" t="s">
        <v>56</v>
      </c>
      <c r="K1398" t="s">
        <v>16</v>
      </c>
      <c r="L1398" s="2">
        <f t="shared" si="106"/>
        <v>2381.2677586206896</v>
      </c>
      <c r="M1398" s="4">
        <f t="shared" si="107"/>
        <v>1.02</v>
      </c>
      <c r="N1398" s="1">
        <f t="shared" si="108"/>
        <v>45619</v>
      </c>
      <c r="O1398" s="3">
        <f>(Table13[[#This Row],[Units_Sold]]*Table13[[#This Row],[Unit_Price_Cleaned]]*(1-Table13[[#This Row],[Discount Cleaned]]))</f>
        <v>-95.250710344827667</v>
      </c>
      <c r="P1398" t="str">
        <f t="shared" si="109"/>
        <v>Loss</v>
      </c>
      <c r="Q1398" t="str" cm="1">
        <f t="array" ref="Q1398">IF(K1398="",INDEX($K$2:$K$2501,MATCH(MAX(COUNTIF($K$2:$K$2501,$K$2:$K$2501)),COUNTIF($K$2:$K$2501,$K$2:$K$2501),0)),K1398)</f>
        <v>B2C</v>
      </c>
    </row>
    <row r="1399" spans="1:17" x14ac:dyDescent="0.3">
      <c r="A1399">
        <v>2397</v>
      </c>
      <c r="B1399" t="s">
        <v>1436</v>
      </c>
      <c r="C1399" t="s">
        <v>20</v>
      </c>
      <c r="D1399" t="s">
        <v>80</v>
      </c>
      <c r="E1399">
        <v>2</v>
      </c>
      <c r="F1399">
        <v>1823.51</v>
      </c>
      <c r="H1399" s="3">
        <f t="shared" si="105"/>
        <v>3647.02</v>
      </c>
      <c r="I1399" s="1">
        <v>45704</v>
      </c>
      <c r="J1399" t="s">
        <v>56</v>
      </c>
      <c r="L1399" s="2">
        <f t="shared" si="106"/>
        <v>1823.51</v>
      </c>
      <c r="M1399" s="4">
        <f t="shared" si="107"/>
        <v>0.6</v>
      </c>
      <c r="N1399" s="1">
        <f t="shared" si="108"/>
        <v>45704</v>
      </c>
      <c r="O1399" s="3">
        <f>(Table13[[#This Row],[Units_Sold]]*Table13[[#This Row],[Unit_Price_Cleaned]]*(1-Table13[[#This Row],[Discount Cleaned]]))</f>
        <v>1458.808</v>
      </c>
      <c r="P1399" t="str">
        <f t="shared" si="109"/>
        <v>Profit</v>
      </c>
      <c r="Q1399" t="str" cm="1">
        <f t="array" ref="Q1399">IF(K1399="",INDEX($K$2:$K$2501,MATCH(MAX(COUNTIF($K$2:$K$2501,$K$2:$K$2501)),COUNTIF($K$2:$K$2501,$K$2:$K$2501),0)),K1399)</f>
        <v>B2B</v>
      </c>
    </row>
    <row r="1400" spans="1:17" x14ac:dyDescent="0.3">
      <c r="A1400">
        <v>1002</v>
      </c>
      <c r="B1400" t="s">
        <v>1437</v>
      </c>
      <c r="C1400" t="s">
        <v>13</v>
      </c>
      <c r="D1400" t="s">
        <v>49</v>
      </c>
      <c r="E1400">
        <v>2</v>
      </c>
      <c r="F1400">
        <v>2942.95</v>
      </c>
      <c r="H1400" s="3">
        <f t="shared" si="105"/>
        <v>5885.9</v>
      </c>
      <c r="I1400" s="1">
        <v>45830</v>
      </c>
      <c r="J1400" t="s">
        <v>40</v>
      </c>
      <c r="K1400" t="s">
        <v>23</v>
      </c>
      <c r="L1400" s="2">
        <f t="shared" si="106"/>
        <v>2942.95</v>
      </c>
      <c r="M1400" s="4">
        <f t="shared" si="107"/>
        <v>0.6</v>
      </c>
      <c r="N1400" s="1">
        <f t="shared" si="108"/>
        <v>45830</v>
      </c>
      <c r="O1400" s="3">
        <f>(Table13[[#This Row],[Units_Sold]]*Table13[[#This Row],[Unit_Price_Cleaned]]*(1-Table13[[#This Row],[Discount Cleaned]]))</f>
        <v>2354.36</v>
      </c>
      <c r="P1400" t="str">
        <f t="shared" si="109"/>
        <v>Profit</v>
      </c>
      <c r="Q1400" t="str" cm="1">
        <f t="array" ref="Q1400">IF(K1400="",INDEX($K$2:$K$2501,MATCH(MAX(COUNTIF($K$2:$K$2501,$K$2:$K$2501)),COUNTIF($K$2:$K$2501,$K$2:$K$2501),0)),K1400)</f>
        <v>B2B</v>
      </c>
    </row>
    <row r="1401" spans="1:17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 s="3">
        <f t="shared" si="105"/>
        <v>-7287</v>
      </c>
      <c r="I1401" s="1">
        <v>45508</v>
      </c>
      <c r="J1401" t="s">
        <v>15</v>
      </c>
      <c r="K1401" t="s">
        <v>23</v>
      </c>
      <c r="L1401" s="2">
        <f t="shared" si="106"/>
        <v>3643.5</v>
      </c>
      <c r="M1401" s="4">
        <f t="shared" si="107"/>
        <v>0.6</v>
      </c>
      <c r="N1401" s="1">
        <f t="shared" si="108"/>
        <v>45508</v>
      </c>
      <c r="O1401" s="3">
        <f>(Table13[[#This Row],[Units_Sold]]*Table13[[#This Row],[Unit_Price_Cleaned]]*(1-Table13[[#This Row],[Discount Cleaned]]))</f>
        <v>-2914.8</v>
      </c>
      <c r="P1401" t="str">
        <f t="shared" si="109"/>
        <v>Loss</v>
      </c>
      <c r="Q1401" t="str" cm="1">
        <f t="array" ref="Q1401">IF(K1401="",INDEX($K$2:$K$2501,MATCH(MAX(COUNTIF($K$2:$K$2501,$K$2:$K$2501)),COUNTIF($K$2:$K$2501,$K$2:$K$2501),0)),K1401)</f>
        <v>B2B</v>
      </c>
    </row>
    <row r="1402" spans="1:17" x14ac:dyDescent="0.3">
      <c r="A1402">
        <v>2400</v>
      </c>
      <c r="B1402" t="s">
        <v>1439</v>
      </c>
      <c r="C1402" t="s">
        <v>38</v>
      </c>
      <c r="D1402" t="s">
        <v>91</v>
      </c>
      <c r="E1402">
        <v>2</v>
      </c>
      <c r="F1402">
        <v>4756.67</v>
      </c>
      <c r="G1402">
        <v>0.75</v>
      </c>
      <c r="H1402" s="3">
        <f t="shared" si="105"/>
        <v>9513.34</v>
      </c>
      <c r="I1402" s="1">
        <v>45831</v>
      </c>
      <c r="J1402" t="s">
        <v>46</v>
      </c>
      <c r="K1402" t="s">
        <v>16</v>
      </c>
      <c r="L1402" s="2">
        <f t="shared" si="106"/>
        <v>4756.67</v>
      </c>
      <c r="M1402" s="4">
        <f t="shared" si="107"/>
        <v>0.75</v>
      </c>
      <c r="N1402" s="1">
        <f t="shared" si="108"/>
        <v>45831</v>
      </c>
      <c r="O1402" s="3">
        <f>(Table13[[#This Row],[Units_Sold]]*Table13[[#This Row],[Unit_Price_Cleaned]]*(1-Table13[[#This Row],[Discount Cleaned]]))</f>
        <v>2378.335</v>
      </c>
      <c r="P1402" t="str">
        <f t="shared" si="109"/>
        <v>Profit</v>
      </c>
      <c r="Q1402" t="str" cm="1">
        <f t="array" ref="Q1402">IF(K1402="",INDEX($K$2:$K$2501,MATCH(MAX(COUNTIF($K$2:$K$2501,$K$2:$K$2501)),COUNTIF($K$2:$K$2501,$K$2:$K$2501),0)),K1402)</f>
        <v>B2C</v>
      </c>
    </row>
    <row r="1403" spans="1:17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 s="3">
        <f t="shared" si="105"/>
        <v>4319.3599999999997</v>
      </c>
      <c r="I1403" s="1">
        <v>45666</v>
      </c>
      <c r="J1403" t="s">
        <v>46</v>
      </c>
      <c r="L1403" s="2">
        <f t="shared" si="106"/>
        <v>2159.6799999999998</v>
      </c>
      <c r="M1403" s="4">
        <f t="shared" si="107"/>
        <v>0.6</v>
      </c>
      <c r="N1403" s="1">
        <f t="shared" si="108"/>
        <v>45666</v>
      </c>
      <c r="O1403" s="3">
        <f>(Table13[[#This Row],[Units_Sold]]*Table13[[#This Row],[Unit_Price_Cleaned]]*(1-Table13[[#This Row],[Discount Cleaned]]))</f>
        <v>1727.7439999999999</v>
      </c>
      <c r="P1403" t="str">
        <f t="shared" si="109"/>
        <v>Profit</v>
      </c>
      <c r="Q1403" t="str" cm="1">
        <f t="array" ref="Q1403">IF(K1403="",INDEX($K$2:$K$2501,MATCH(MAX(COUNTIF($K$2:$K$2501,$K$2:$K$2501)),COUNTIF($K$2:$K$2501,$K$2:$K$2501),0)),K1403)</f>
        <v>B2B</v>
      </c>
    </row>
    <row r="1404" spans="1:17" x14ac:dyDescent="0.3">
      <c r="A1404">
        <v>2402</v>
      </c>
      <c r="B1404" t="s">
        <v>1441</v>
      </c>
      <c r="C1404" t="s">
        <v>33</v>
      </c>
      <c r="D1404" t="s">
        <v>34</v>
      </c>
      <c r="E1404">
        <v>2</v>
      </c>
      <c r="F1404">
        <v>744.83</v>
      </c>
      <c r="G1404">
        <v>0.16</v>
      </c>
      <c r="H1404" s="3">
        <f t="shared" si="105"/>
        <v>1489.66</v>
      </c>
      <c r="J1404" t="s">
        <v>22</v>
      </c>
      <c r="L1404" s="2">
        <f t="shared" si="106"/>
        <v>744.83</v>
      </c>
      <c r="M1404" s="4">
        <f t="shared" si="107"/>
        <v>0.16</v>
      </c>
      <c r="N1404" s="1">
        <f t="shared" si="108"/>
        <v>45782</v>
      </c>
      <c r="O1404" s="3">
        <f>(Table13[[#This Row],[Units_Sold]]*Table13[[#This Row],[Unit_Price_Cleaned]]*(1-Table13[[#This Row],[Discount Cleaned]]))</f>
        <v>1251.3144</v>
      </c>
      <c r="P1404" t="str">
        <f t="shared" si="109"/>
        <v>Profit</v>
      </c>
      <c r="Q1404" t="str" cm="1">
        <f t="array" ref="Q1404">IF(K1404="",INDEX($K$2:$K$2501,MATCH(MAX(COUNTIF($K$2:$K$2501,$K$2:$K$2501)),COUNTIF($K$2:$K$2501,$K$2:$K$2501),0)),K1404)</f>
        <v>B2B</v>
      </c>
    </row>
    <row r="1405" spans="1:17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 s="3">
        <f t="shared" si="105"/>
        <v>0</v>
      </c>
      <c r="I1405" s="1">
        <v>45686</v>
      </c>
      <c r="J1405" t="s">
        <v>56</v>
      </c>
      <c r="K1405" t="s">
        <v>23</v>
      </c>
      <c r="L1405" s="2">
        <f t="shared" si="106"/>
        <v>2841.7630612244907</v>
      </c>
      <c r="M1405" s="4">
        <f t="shared" si="107"/>
        <v>0.6</v>
      </c>
      <c r="N1405" s="1">
        <f t="shared" si="108"/>
        <v>45686</v>
      </c>
      <c r="O1405" s="3">
        <f>(Table13[[#This Row],[Units_Sold]]*Table13[[#This Row],[Unit_Price_Cleaned]]*(1-Table13[[#This Row],[Discount Cleaned]]))</f>
        <v>0</v>
      </c>
      <c r="P1405" t="str">
        <f t="shared" si="109"/>
        <v>Loss</v>
      </c>
      <c r="Q1405" t="str" cm="1">
        <f t="array" ref="Q1405">IF(K1405="",INDEX($K$2:$K$2501,MATCH(MAX(COUNTIF($K$2:$K$2501,$K$2:$K$2501)),COUNTIF($K$2:$K$2501,$K$2:$K$2501),0)),K1405)</f>
        <v>B2B</v>
      </c>
    </row>
    <row r="1406" spans="1:17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 s="3">
        <f t="shared" si="105"/>
        <v>9851.16</v>
      </c>
      <c r="I1406" s="1">
        <v>45657</v>
      </c>
      <c r="J1406" t="s">
        <v>15</v>
      </c>
      <c r="K1406" t="s">
        <v>16</v>
      </c>
      <c r="L1406" s="2">
        <f t="shared" si="106"/>
        <v>2462.79</v>
      </c>
      <c r="M1406" s="4">
        <f t="shared" si="107"/>
        <v>0.6</v>
      </c>
      <c r="N1406" s="1">
        <f t="shared" si="108"/>
        <v>45657</v>
      </c>
      <c r="O1406" s="3">
        <f>(Table13[[#This Row],[Units_Sold]]*Table13[[#This Row],[Unit_Price_Cleaned]]*(1-Table13[[#This Row],[Discount Cleaned]]))</f>
        <v>3940.4639999999999</v>
      </c>
      <c r="P1406" t="str">
        <f t="shared" si="109"/>
        <v>Profit</v>
      </c>
      <c r="Q1406" t="str" cm="1">
        <f t="array" ref="Q1406">IF(K1406="",INDEX($K$2:$K$2501,MATCH(MAX(COUNTIF($K$2:$K$2501,$K$2:$K$2501)),COUNTIF($K$2:$K$2501,$K$2:$K$2501),0)),K1406)</f>
        <v>B2C</v>
      </c>
    </row>
    <row r="1407" spans="1:17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 s="3">
        <f t="shared" si="105"/>
        <v>-1943.21</v>
      </c>
      <c r="J1407" t="s">
        <v>18</v>
      </c>
      <c r="K1407" t="s">
        <v>23</v>
      </c>
      <c r="L1407" s="2">
        <f t="shared" si="106"/>
        <v>1943.21</v>
      </c>
      <c r="M1407" s="4">
        <f t="shared" si="107"/>
        <v>0.6</v>
      </c>
      <c r="N1407" s="1">
        <f t="shared" si="108"/>
        <v>45782</v>
      </c>
      <c r="O1407" s="3">
        <f>(Table13[[#This Row],[Units_Sold]]*Table13[[#This Row],[Unit_Price_Cleaned]]*(1-Table13[[#This Row],[Discount Cleaned]]))</f>
        <v>-777.28400000000011</v>
      </c>
      <c r="P1407" t="str">
        <f t="shared" si="109"/>
        <v>Loss</v>
      </c>
      <c r="Q1407" t="str" cm="1">
        <f t="array" ref="Q1407">IF(K1407="",INDEX($K$2:$K$2501,MATCH(MAX(COUNTIF($K$2:$K$2501,$K$2:$K$2501)),COUNTIF($K$2:$K$2501,$K$2:$K$2501),0)),K1407)</f>
        <v>B2B</v>
      </c>
    </row>
    <row r="1408" spans="1:17" x14ac:dyDescent="0.3">
      <c r="A1408">
        <v>2406</v>
      </c>
      <c r="B1408" t="s">
        <v>1445</v>
      </c>
      <c r="C1408" t="s">
        <v>13</v>
      </c>
      <c r="D1408" t="s">
        <v>14</v>
      </c>
      <c r="E1408">
        <v>2</v>
      </c>
      <c r="F1408">
        <v>4847.7299999999996</v>
      </c>
      <c r="H1408" s="3">
        <f t="shared" si="105"/>
        <v>9695.4599999999991</v>
      </c>
      <c r="J1408" t="s">
        <v>18</v>
      </c>
      <c r="K1408" t="s">
        <v>23</v>
      </c>
      <c r="L1408" s="2">
        <f t="shared" si="106"/>
        <v>4847.7299999999996</v>
      </c>
      <c r="M1408" s="4">
        <f t="shared" si="107"/>
        <v>0.6</v>
      </c>
      <c r="N1408" s="1">
        <f t="shared" si="108"/>
        <v>45782</v>
      </c>
      <c r="O1408" s="3">
        <f>(Table13[[#This Row],[Units_Sold]]*Table13[[#This Row],[Unit_Price_Cleaned]]*(1-Table13[[#This Row],[Discount Cleaned]]))</f>
        <v>3878.1839999999997</v>
      </c>
      <c r="P1408" t="str">
        <f t="shared" si="109"/>
        <v>Profit</v>
      </c>
      <c r="Q1408" t="str" cm="1">
        <f t="array" ref="Q1408">IF(K1408="",INDEX($K$2:$K$2501,MATCH(MAX(COUNTIF($K$2:$K$2501,$K$2:$K$2501)),COUNTIF($K$2:$K$2501,$K$2:$K$2501),0)),K1408)</f>
        <v>B2B</v>
      </c>
    </row>
    <row r="1409" spans="1:17" x14ac:dyDescent="0.3">
      <c r="A1409">
        <v>2407</v>
      </c>
      <c r="B1409" t="s">
        <v>1446</v>
      </c>
      <c r="C1409" t="s">
        <v>13</v>
      </c>
      <c r="D1409" t="s">
        <v>14</v>
      </c>
      <c r="E1409">
        <v>2</v>
      </c>
      <c r="H1409" s="3">
        <f t="shared" si="105"/>
        <v>4762.5355172413792</v>
      </c>
      <c r="I1409" s="1">
        <v>45801</v>
      </c>
      <c r="J1409" t="s">
        <v>18</v>
      </c>
      <c r="K1409" t="s">
        <v>23</v>
      </c>
      <c r="L1409" s="2">
        <f t="shared" si="106"/>
        <v>2381.2677586206896</v>
      </c>
      <c r="M1409" s="4">
        <f t="shared" si="107"/>
        <v>0.6</v>
      </c>
      <c r="N1409" s="1">
        <f t="shared" si="108"/>
        <v>45801</v>
      </c>
      <c r="O1409" s="3">
        <f>(Table13[[#This Row],[Units_Sold]]*Table13[[#This Row],[Unit_Price_Cleaned]]*(1-Table13[[#This Row],[Discount Cleaned]]))</f>
        <v>1905.0142068965517</v>
      </c>
      <c r="P1409" t="str">
        <f t="shared" si="109"/>
        <v>Profit</v>
      </c>
      <c r="Q1409" t="str" cm="1">
        <f t="array" ref="Q1409">IF(K1409="",INDEX($K$2:$K$2501,MATCH(MAX(COUNTIF($K$2:$K$2501,$K$2:$K$2501)),COUNTIF($K$2:$K$2501,$K$2:$K$2501),0)),K1409)</f>
        <v>B2B</v>
      </c>
    </row>
    <row r="1410" spans="1:17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 s="3">
        <f t="shared" ref="H1410:H1473" si="110">(L1410*E1410)</f>
        <v>13018.380000000001</v>
      </c>
      <c r="J1410" t="s">
        <v>40</v>
      </c>
      <c r="L1410" s="2">
        <f t="shared" ref="L1410:L1473" si="111">IF(F1410="",AVERAGEIF($D$2:$D$2501,D1410,$F$2:$F$2501),F1410)</f>
        <v>2169.73</v>
      </c>
      <c r="M1410" s="4">
        <f t="shared" ref="M1410:M1473" si="112">IF(G1410="",MEDIAN($G$2,$G$2501),G1410)</f>
        <v>0.6</v>
      </c>
      <c r="N1410" s="1">
        <f t="shared" ref="N1410:N1473" si="113">IF(I1410="",MODE($I$32:$I$2501),I1410)</f>
        <v>45782</v>
      </c>
      <c r="O1410" s="3">
        <f>(Table13[[#This Row],[Units_Sold]]*Table13[[#This Row],[Unit_Price_Cleaned]]*(1-Table13[[#This Row],[Discount Cleaned]]))</f>
        <v>5207.3520000000008</v>
      </c>
      <c r="P1410" t="str">
        <f t="shared" ref="P1410:P1473" si="114">IF(O1410&gt;500,"Profit","Loss")</f>
        <v>Profit</v>
      </c>
      <c r="Q1410" t="str" cm="1">
        <f t="array" ref="Q1410">IF(K1410="",INDEX($K$2:$K$2501,MATCH(MAX(COUNTIF($K$2:$K$2501,$K$2:$K$2501)),COUNTIF($K$2:$K$2501,$K$2:$K$2501),0)),K1410)</f>
        <v>B2B</v>
      </c>
    </row>
    <row r="1411" spans="1:17" x14ac:dyDescent="0.3">
      <c r="A1411">
        <v>2409</v>
      </c>
      <c r="B1411" t="s">
        <v>1448</v>
      </c>
      <c r="C1411" t="s">
        <v>38</v>
      </c>
      <c r="D1411" t="s">
        <v>63</v>
      </c>
      <c r="E1411">
        <v>2</v>
      </c>
      <c r="F1411">
        <v>1430.06</v>
      </c>
      <c r="G1411">
        <v>0.98</v>
      </c>
      <c r="H1411" s="3">
        <f t="shared" si="110"/>
        <v>2860.12</v>
      </c>
      <c r="I1411" s="1">
        <v>45744</v>
      </c>
      <c r="J1411" t="s">
        <v>46</v>
      </c>
      <c r="L1411" s="2">
        <f t="shared" si="111"/>
        <v>1430.06</v>
      </c>
      <c r="M1411" s="4">
        <f t="shared" si="112"/>
        <v>0.98</v>
      </c>
      <c r="N1411" s="1">
        <f t="shared" si="113"/>
        <v>45744</v>
      </c>
      <c r="O1411" s="3">
        <f>(Table13[[#This Row],[Units_Sold]]*Table13[[#This Row],[Unit_Price_Cleaned]]*(1-Table13[[#This Row],[Discount Cleaned]]))</f>
        <v>57.202400000000047</v>
      </c>
      <c r="P1411" t="str">
        <f t="shared" si="114"/>
        <v>Loss</v>
      </c>
      <c r="Q1411" t="str" cm="1">
        <f t="array" ref="Q1411">IF(K1411="",INDEX($K$2:$K$2501,MATCH(MAX(COUNTIF($K$2:$K$2501,$K$2:$K$2501)),COUNTIF($K$2:$K$2501,$K$2:$K$2501),0)),K1411)</f>
        <v>B2B</v>
      </c>
    </row>
    <row r="1412" spans="1:17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 s="3">
        <f t="shared" si="110"/>
        <v>7388.37</v>
      </c>
      <c r="I1412" s="1">
        <v>45670</v>
      </c>
      <c r="J1412" t="s">
        <v>46</v>
      </c>
      <c r="L1412" s="2">
        <f t="shared" si="111"/>
        <v>2462.79</v>
      </c>
      <c r="M1412" s="4">
        <f t="shared" si="112"/>
        <v>0.6</v>
      </c>
      <c r="N1412" s="1">
        <f t="shared" si="113"/>
        <v>45670</v>
      </c>
      <c r="O1412" s="3">
        <f>(Table13[[#This Row],[Units_Sold]]*Table13[[#This Row],[Unit_Price_Cleaned]]*(1-Table13[[#This Row],[Discount Cleaned]]))</f>
        <v>2955.348</v>
      </c>
      <c r="P1412" t="str">
        <f t="shared" si="114"/>
        <v>Profit</v>
      </c>
      <c r="Q1412" t="str" cm="1">
        <f t="array" ref="Q1412">IF(K1412="",INDEX($K$2:$K$2501,MATCH(MAX(COUNTIF($K$2:$K$2501,$K$2:$K$2501)),COUNTIF($K$2:$K$2501,$K$2:$K$2501),0)),K1412)</f>
        <v>B2B</v>
      </c>
    </row>
    <row r="1413" spans="1:17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 s="3">
        <f t="shared" si="110"/>
        <v>-5570.1755932203387</v>
      </c>
      <c r="I1413" s="1">
        <v>45791</v>
      </c>
      <c r="J1413" t="s">
        <v>15</v>
      </c>
      <c r="K1413" t="s">
        <v>16</v>
      </c>
      <c r="L1413" s="2">
        <f t="shared" si="111"/>
        <v>2785.0877966101693</v>
      </c>
      <c r="M1413" s="4">
        <f t="shared" si="112"/>
        <v>0.6</v>
      </c>
      <c r="N1413" s="1">
        <f t="shared" si="113"/>
        <v>45791</v>
      </c>
      <c r="O1413" s="3">
        <f>(Table13[[#This Row],[Units_Sold]]*Table13[[#This Row],[Unit_Price_Cleaned]]*(1-Table13[[#This Row],[Discount Cleaned]]))</f>
        <v>-2228.0702372881356</v>
      </c>
      <c r="P1413" t="str">
        <f t="shared" si="114"/>
        <v>Loss</v>
      </c>
      <c r="Q1413" t="str" cm="1">
        <f t="array" ref="Q1413">IF(K1413="",INDEX($K$2:$K$2501,MATCH(MAX(COUNTIF($K$2:$K$2501,$K$2:$K$2501)),COUNTIF($K$2:$K$2501,$K$2:$K$2501),0)),K1413)</f>
        <v>B2C</v>
      </c>
    </row>
    <row r="1414" spans="1:17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 s="3">
        <f t="shared" si="110"/>
        <v>-2785.0877966101693</v>
      </c>
      <c r="I1414" s="1">
        <v>45218</v>
      </c>
      <c r="J1414" t="s">
        <v>15</v>
      </c>
      <c r="L1414" s="2">
        <f t="shared" si="111"/>
        <v>2785.0877966101693</v>
      </c>
      <c r="M1414" s="4">
        <f t="shared" si="112"/>
        <v>0.6</v>
      </c>
      <c r="N1414" s="1">
        <f t="shared" si="113"/>
        <v>45218</v>
      </c>
      <c r="O1414" s="3">
        <f>(Table13[[#This Row],[Units_Sold]]*Table13[[#This Row],[Unit_Price_Cleaned]]*(1-Table13[[#This Row],[Discount Cleaned]]))</f>
        <v>-1114.0351186440678</v>
      </c>
      <c r="P1414" t="str">
        <f t="shared" si="114"/>
        <v>Loss</v>
      </c>
      <c r="Q1414" t="str" cm="1">
        <f t="array" ref="Q1414">IF(K1414="",INDEX($K$2:$K$2501,MATCH(MAX(COUNTIF($K$2:$K$2501,$K$2:$K$2501)),COUNTIF($K$2:$K$2501,$K$2:$K$2501),0)),K1414)</f>
        <v>B2B</v>
      </c>
    </row>
    <row r="1415" spans="1:17" x14ac:dyDescent="0.3">
      <c r="A1415">
        <v>2413</v>
      </c>
      <c r="B1415" t="s">
        <v>1452</v>
      </c>
      <c r="C1415" t="s">
        <v>25</v>
      </c>
      <c r="D1415" t="s">
        <v>26</v>
      </c>
      <c r="E1415">
        <v>2</v>
      </c>
      <c r="F1415">
        <v>4140.8599999999997</v>
      </c>
      <c r="H1415" s="3">
        <f t="shared" si="110"/>
        <v>8281.7199999999993</v>
      </c>
      <c r="I1415" s="1">
        <v>45580</v>
      </c>
      <c r="J1415" t="s">
        <v>15</v>
      </c>
      <c r="K1415" t="s">
        <v>23</v>
      </c>
      <c r="L1415" s="2">
        <f t="shared" si="111"/>
        <v>4140.8599999999997</v>
      </c>
      <c r="M1415" s="4">
        <f t="shared" si="112"/>
        <v>0.6</v>
      </c>
      <c r="N1415" s="1">
        <f t="shared" si="113"/>
        <v>45580</v>
      </c>
      <c r="O1415" s="3">
        <f>(Table13[[#This Row],[Units_Sold]]*Table13[[#This Row],[Unit_Price_Cleaned]]*(1-Table13[[#This Row],[Discount Cleaned]]))</f>
        <v>3312.6880000000001</v>
      </c>
      <c r="P1415" t="str">
        <f t="shared" si="114"/>
        <v>Profit</v>
      </c>
      <c r="Q1415" t="str" cm="1">
        <f t="array" ref="Q1415">IF(K1415="",INDEX($K$2:$K$2501,MATCH(MAX(COUNTIF($K$2:$K$2501,$K$2:$K$2501)),COUNTIF($K$2:$K$2501,$K$2:$K$2501),0)),K1415)</f>
        <v>B2B</v>
      </c>
    </row>
    <row r="1416" spans="1:17" x14ac:dyDescent="0.3">
      <c r="A1416">
        <v>1037</v>
      </c>
      <c r="B1416" t="s">
        <v>1453</v>
      </c>
      <c r="C1416" t="s">
        <v>29</v>
      </c>
      <c r="D1416" t="s">
        <v>141</v>
      </c>
      <c r="E1416">
        <v>2</v>
      </c>
      <c r="F1416">
        <v>3127.73</v>
      </c>
      <c r="G1416">
        <v>0.06</v>
      </c>
      <c r="H1416" s="3">
        <f t="shared" si="110"/>
        <v>6255.46</v>
      </c>
      <c r="I1416" s="1">
        <v>45581</v>
      </c>
      <c r="J1416" t="s">
        <v>18</v>
      </c>
      <c r="L1416" s="2">
        <f t="shared" si="111"/>
        <v>3127.73</v>
      </c>
      <c r="M1416" s="4">
        <f t="shared" si="112"/>
        <v>0.06</v>
      </c>
      <c r="N1416" s="1">
        <f t="shared" si="113"/>
        <v>45581</v>
      </c>
      <c r="O1416" s="3">
        <f>(Table13[[#This Row],[Units_Sold]]*Table13[[#This Row],[Unit_Price_Cleaned]]*(1-Table13[[#This Row],[Discount Cleaned]]))</f>
        <v>5880.1323999999995</v>
      </c>
      <c r="P1416" t="str">
        <f t="shared" si="114"/>
        <v>Profit</v>
      </c>
      <c r="Q1416" t="str" cm="1">
        <f t="array" ref="Q1416">IF(K1416="",INDEX($K$2:$K$2501,MATCH(MAX(COUNTIF($K$2:$K$2501,$K$2:$K$2501)),COUNTIF($K$2:$K$2501,$K$2:$K$2501),0)),K1416)</f>
        <v>B2B</v>
      </c>
    </row>
    <row r="1417" spans="1:17" x14ac:dyDescent="0.3">
      <c r="A1417">
        <v>2415</v>
      </c>
      <c r="B1417" t="s">
        <v>1454</v>
      </c>
      <c r="C1417" t="s">
        <v>13</v>
      </c>
      <c r="D1417" t="s">
        <v>102</v>
      </c>
      <c r="E1417">
        <v>2</v>
      </c>
      <c r="F1417">
        <v>3395.67</v>
      </c>
      <c r="H1417" s="3">
        <f t="shared" si="110"/>
        <v>6791.34</v>
      </c>
      <c r="J1417" t="s">
        <v>40</v>
      </c>
      <c r="K1417" t="s">
        <v>16</v>
      </c>
      <c r="L1417" s="2">
        <f t="shared" si="111"/>
        <v>3395.67</v>
      </c>
      <c r="M1417" s="4">
        <f t="shared" si="112"/>
        <v>0.6</v>
      </c>
      <c r="N1417" s="1">
        <f t="shared" si="113"/>
        <v>45782</v>
      </c>
      <c r="O1417" s="3">
        <f>(Table13[[#This Row],[Units_Sold]]*Table13[[#This Row],[Unit_Price_Cleaned]]*(1-Table13[[#This Row],[Discount Cleaned]]))</f>
        <v>2716.5360000000001</v>
      </c>
      <c r="P1417" t="str">
        <f t="shared" si="114"/>
        <v>Profit</v>
      </c>
      <c r="Q1417" t="str" cm="1">
        <f t="array" ref="Q1417">IF(K1417="",INDEX($K$2:$K$2501,MATCH(MAX(COUNTIF($K$2:$K$2501,$K$2:$K$2501)),COUNTIF($K$2:$K$2501,$K$2:$K$2501),0)),K1417)</f>
        <v>B2C</v>
      </c>
    </row>
    <row r="1418" spans="1:17" x14ac:dyDescent="0.3">
      <c r="A1418">
        <v>2416</v>
      </c>
      <c r="B1418" t="s">
        <v>1455</v>
      </c>
      <c r="C1418" t="s">
        <v>38</v>
      </c>
      <c r="D1418" t="s">
        <v>91</v>
      </c>
      <c r="E1418">
        <v>2</v>
      </c>
      <c r="G1418">
        <v>1.27</v>
      </c>
      <c r="H1418" s="3">
        <f t="shared" si="110"/>
        <v>5737.5536363636356</v>
      </c>
      <c r="I1418" s="1">
        <v>45364</v>
      </c>
      <c r="J1418" t="s">
        <v>46</v>
      </c>
      <c r="K1418" t="s">
        <v>23</v>
      </c>
      <c r="L1418" s="2">
        <f t="shared" si="111"/>
        <v>2868.7768181818178</v>
      </c>
      <c r="M1418" s="4">
        <f t="shared" si="112"/>
        <v>1.27</v>
      </c>
      <c r="N1418" s="1">
        <f t="shared" si="113"/>
        <v>45364</v>
      </c>
      <c r="O1418" s="3">
        <f>(Table13[[#This Row],[Units_Sold]]*Table13[[#This Row],[Unit_Price_Cleaned]]*(1-Table13[[#This Row],[Discount Cleaned]]))</f>
        <v>-1549.1394818181818</v>
      </c>
      <c r="P1418" t="str">
        <f t="shared" si="114"/>
        <v>Loss</v>
      </c>
      <c r="Q1418" t="str" cm="1">
        <f t="array" ref="Q1418">IF(K1418="",INDEX($K$2:$K$2501,MATCH(MAX(COUNTIF($K$2:$K$2501,$K$2:$K$2501)),COUNTIF($K$2:$K$2501,$K$2:$K$2501),0)),K1418)</f>
        <v>B2B</v>
      </c>
    </row>
    <row r="1419" spans="1:17" x14ac:dyDescent="0.3">
      <c r="A1419">
        <v>2417</v>
      </c>
      <c r="B1419" t="s">
        <v>1456</v>
      </c>
      <c r="C1419" t="s">
        <v>20</v>
      </c>
      <c r="D1419" t="s">
        <v>80</v>
      </c>
      <c r="E1419">
        <v>2</v>
      </c>
      <c r="F1419">
        <v>4268.68</v>
      </c>
      <c r="G1419">
        <v>0.67</v>
      </c>
      <c r="H1419" s="3">
        <f t="shared" si="110"/>
        <v>8537.36</v>
      </c>
      <c r="I1419" s="1">
        <v>45506</v>
      </c>
      <c r="J1419" t="s">
        <v>15</v>
      </c>
      <c r="L1419" s="2">
        <f t="shared" si="111"/>
        <v>4268.68</v>
      </c>
      <c r="M1419" s="4">
        <f t="shared" si="112"/>
        <v>0.67</v>
      </c>
      <c r="N1419" s="1">
        <f t="shared" si="113"/>
        <v>45506</v>
      </c>
      <c r="O1419" s="3">
        <f>(Table13[[#This Row],[Units_Sold]]*Table13[[#This Row],[Unit_Price_Cleaned]]*(1-Table13[[#This Row],[Discount Cleaned]]))</f>
        <v>2817.3287999999998</v>
      </c>
      <c r="P1419" t="str">
        <f t="shared" si="114"/>
        <v>Profit</v>
      </c>
      <c r="Q1419" t="str" cm="1">
        <f t="array" ref="Q1419">IF(K1419="",INDEX($K$2:$K$2501,MATCH(MAX(COUNTIF($K$2:$K$2501,$K$2:$K$2501)),COUNTIF($K$2:$K$2501,$K$2:$K$2501),0)),K1419)</f>
        <v>B2B</v>
      </c>
    </row>
    <row r="1420" spans="1:17" x14ac:dyDescent="0.3">
      <c r="A1420">
        <v>2418</v>
      </c>
      <c r="B1420" t="s">
        <v>1457</v>
      </c>
      <c r="C1420" t="s">
        <v>20</v>
      </c>
      <c r="D1420" t="s">
        <v>88</v>
      </c>
      <c r="E1420">
        <v>2</v>
      </c>
      <c r="F1420">
        <v>3435.95</v>
      </c>
      <c r="G1420">
        <v>0.36</v>
      </c>
      <c r="H1420" s="3">
        <f t="shared" si="110"/>
        <v>6871.9</v>
      </c>
      <c r="J1420" t="s">
        <v>15</v>
      </c>
      <c r="L1420" s="2">
        <f t="shared" si="111"/>
        <v>3435.95</v>
      </c>
      <c r="M1420" s="4">
        <f t="shared" si="112"/>
        <v>0.36</v>
      </c>
      <c r="N1420" s="1">
        <f t="shared" si="113"/>
        <v>45782</v>
      </c>
      <c r="O1420" s="3">
        <f>(Table13[[#This Row],[Units_Sold]]*Table13[[#This Row],[Unit_Price_Cleaned]]*(1-Table13[[#This Row],[Discount Cleaned]]))</f>
        <v>4398.0159999999996</v>
      </c>
      <c r="P1420" t="str">
        <f t="shared" si="114"/>
        <v>Profit</v>
      </c>
      <c r="Q1420" t="str" cm="1">
        <f t="array" ref="Q1420">IF(K1420="",INDEX($K$2:$K$2501,MATCH(MAX(COUNTIF($K$2:$K$2501,$K$2:$K$2501)),COUNTIF($K$2:$K$2501,$K$2:$K$2501),0)),K1420)</f>
        <v>B2B</v>
      </c>
    </row>
    <row r="1421" spans="1:17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 s="3">
        <f t="shared" si="110"/>
        <v>3664.32</v>
      </c>
      <c r="I1421" s="1">
        <v>45552</v>
      </c>
      <c r="J1421" t="s">
        <v>22</v>
      </c>
      <c r="K1421" t="s">
        <v>16</v>
      </c>
      <c r="L1421" s="2">
        <f t="shared" si="111"/>
        <v>1832.16</v>
      </c>
      <c r="M1421" s="4">
        <f t="shared" si="112"/>
        <v>0.6</v>
      </c>
      <c r="N1421" s="1">
        <f t="shared" si="113"/>
        <v>45552</v>
      </c>
      <c r="O1421" s="3">
        <f>(Table13[[#This Row],[Units_Sold]]*Table13[[#This Row],[Unit_Price_Cleaned]]*(1-Table13[[#This Row],[Discount Cleaned]]))</f>
        <v>1465.7280000000001</v>
      </c>
      <c r="P1421" t="str">
        <f t="shared" si="114"/>
        <v>Profit</v>
      </c>
      <c r="Q1421" t="str" cm="1">
        <f t="array" ref="Q1421">IF(K1421="",INDEX($K$2:$K$2501,MATCH(MAX(COUNTIF($K$2:$K$2501,$K$2:$K$2501)),COUNTIF($K$2:$K$2501,$K$2:$K$2501),0)),K1421)</f>
        <v>B2C</v>
      </c>
    </row>
    <row r="1422" spans="1:17" x14ac:dyDescent="0.3">
      <c r="A1422">
        <v>2420</v>
      </c>
      <c r="B1422" t="s">
        <v>1459</v>
      </c>
      <c r="C1422" t="s">
        <v>20</v>
      </c>
      <c r="D1422" t="s">
        <v>80</v>
      </c>
      <c r="E1422">
        <v>2</v>
      </c>
      <c r="F1422">
        <v>3714.46</v>
      </c>
      <c r="H1422" s="3">
        <f t="shared" si="110"/>
        <v>7428.92</v>
      </c>
      <c r="I1422" s="1">
        <v>45684</v>
      </c>
      <c r="J1422" t="s">
        <v>18</v>
      </c>
      <c r="K1422" t="s">
        <v>16</v>
      </c>
      <c r="L1422" s="2">
        <f t="shared" si="111"/>
        <v>3714.46</v>
      </c>
      <c r="M1422" s="4">
        <f t="shared" si="112"/>
        <v>0.6</v>
      </c>
      <c r="N1422" s="1">
        <f t="shared" si="113"/>
        <v>45684</v>
      </c>
      <c r="O1422" s="3">
        <f>(Table13[[#This Row],[Units_Sold]]*Table13[[#This Row],[Unit_Price_Cleaned]]*(1-Table13[[#This Row],[Discount Cleaned]]))</f>
        <v>2971.5680000000002</v>
      </c>
      <c r="P1422" t="str">
        <f t="shared" si="114"/>
        <v>Profit</v>
      </c>
      <c r="Q1422" t="str" cm="1">
        <f t="array" ref="Q1422">IF(K1422="",INDEX($K$2:$K$2501,MATCH(MAX(COUNTIF($K$2:$K$2501,$K$2:$K$2501)),COUNTIF($K$2:$K$2501,$K$2:$K$2501),0)),K1422)</f>
        <v>B2C</v>
      </c>
    </row>
    <row r="1423" spans="1:17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 s="3">
        <f t="shared" si="110"/>
        <v>17645.560000000001</v>
      </c>
      <c r="I1423" s="1">
        <v>45516</v>
      </c>
      <c r="J1423" t="s">
        <v>56</v>
      </c>
      <c r="L1423" s="2">
        <f t="shared" si="111"/>
        <v>4411.3900000000003</v>
      </c>
      <c r="M1423" s="4">
        <f t="shared" si="112"/>
        <v>0.6</v>
      </c>
      <c r="N1423" s="1">
        <f t="shared" si="113"/>
        <v>45516</v>
      </c>
      <c r="O1423" s="3">
        <f>(Table13[[#This Row],[Units_Sold]]*Table13[[#This Row],[Unit_Price_Cleaned]]*(1-Table13[[#This Row],[Discount Cleaned]]))</f>
        <v>7058.2240000000011</v>
      </c>
      <c r="P1423" t="str">
        <f t="shared" si="114"/>
        <v>Profit</v>
      </c>
      <c r="Q1423" t="str" cm="1">
        <f t="array" ref="Q1423">IF(K1423="",INDEX($K$2:$K$2501,MATCH(MAX(COUNTIF($K$2:$K$2501,$K$2:$K$2501)),COUNTIF($K$2:$K$2501,$K$2:$K$2501),0)),K1423)</f>
        <v>B2B</v>
      </c>
    </row>
    <row r="1424" spans="1:17" x14ac:dyDescent="0.3">
      <c r="A1424">
        <v>2422</v>
      </c>
      <c r="B1424" t="s">
        <v>1461</v>
      </c>
      <c r="C1424" t="s">
        <v>33</v>
      </c>
      <c r="D1424" t="s">
        <v>44</v>
      </c>
      <c r="E1424">
        <v>2</v>
      </c>
      <c r="G1424">
        <v>0.22</v>
      </c>
      <c r="H1424" s="3">
        <f t="shared" si="110"/>
        <v>5683.5261224489814</v>
      </c>
      <c r="I1424" s="1">
        <v>45536</v>
      </c>
      <c r="J1424" t="s">
        <v>40</v>
      </c>
      <c r="L1424" s="2">
        <f t="shared" si="111"/>
        <v>2841.7630612244907</v>
      </c>
      <c r="M1424" s="4">
        <f t="shared" si="112"/>
        <v>0.22</v>
      </c>
      <c r="N1424" s="1">
        <f t="shared" si="113"/>
        <v>45536</v>
      </c>
      <c r="O1424" s="3">
        <f>(Table13[[#This Row],[Units_Sold]]*Table13[[#This Row],[Unit_Price_Cleaned]]*(1-Table13[[#This Row],[Discount Cleaned]]))</f>
        <v>4433.1503755102058</v>
      </c>
      <c r="P1424" t="str">
        <f t="shared" si="114"/>
        <v>Profit</v>
      </c>
      <c r="Q1424" t="str" cm="1">
        <f t="array" ref="Q1424">IF(K1424="",INDEX($K$2:$K$2501,MATCH(MAX(COUNTIF($K$2:$K$2501,$K$2:$K$2501)),COUNTIF($K$2:$K$2501,$K$2:$K$2501),0)),K1424)</f>
        <v>B2B</v>
      </c>
    </row>
    <row r="1425" spans="1:17" x14ac:dyDescent="0.3">
      <c r="A1425">
        <v>2423</v>
      </c>
      <c r="B1425" t="s">
        <v>1462</v>
      </c>
      <c r="C1425" t="s">
        <v>25</v>
      </c>
      <c r="D1425" t="s">
        <v>54</v>
      </c>
      <c r="E1425">
        <v>2</v>
      </c>
      <c r="H1425" s="3">
        <f t="shared" si="110"/>
        <v>5060.7673076923093</v>
      </c>
      <c r="I1425" s="1">
        <v>45256</v>
      </c>
      <c r="J1425" t="s">
        <v>18</v>
      </c>
      <c r="K1425" t="s">
        <v>23</v>
      </c>
      <c r="L1425" s="2">
        <f t="shared" si="111"/>
        <v>2530.3836538461546</v>
      </c>
      <c r="M1425" s="4">
        <f t="shared" si="112"/>
        <v>0.6</v>
      </c>
      <c r="N1425" s="1">
        <f t="shared" si="113"/>
        <v>45256</v>
      </c>
      <c r="O1425" s="3">
        <f>(Table13[[#This Row],[Units_Sold]]*Table13[[#This Row],[Unit_Price_Cleaned]]*(1-Table13[[#This Row],[Discount Cleaned]]))</f>
        <v>2024.3069230769238</v>
      </c>
      <c r="P1425" t="str">
        <f t="shared" si="114"/>
        <v>Profit</v>
      </c>
      <c r="Q1425" t="str" cm="1">
        <f t="array" ref="Q1425">IF(K1425="",INDEX($K$2:$K$2501,MATCH(MAX(COUNTIF($K$2:$K$2501,$K$2:$K$2501)),COUNTIF($K$2:$K$2501,$K$2:$K$2501),0)),K1425)</f>
        <v>B2B</v>
      </c>
    </row>
    <row r="1426" spans="1:17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 s="3">
        <f t="shared" si="110"/>
        <v>12380.75</v>
      </c>
      <c r="I1426" s="1">
        <v>45279</v>
      </c>
      <c r="J1426" t="s">
        <v>46</v>
      </c>
      <c r="K1426" t="s">
        <v>16</v>
      </c>
      <c r="L1426" s="2">
        <f t="shared" si="111"/>
        <v>2476.15</v>
      </c>
      <c r="M1426" s="4">
        <f t="shared" si="112"/>
        <v>0.6</v>
      </c>
      <c r="N1426" s="1">
        <f t="shared" si="113"/>
        <v>45279</v>
      </c>
      <c r="O1426" s="3">
        <f>(Table13[[#This Row],[Units_Sold]]*Table13[[#This Row],[Unit_Price_Cleaned]]*(1-Table13[[#This Row],[Discount Cleaned]]))</f>
        <v>4952.3</v>
      </c>
      <c r="P1426" t="str">
        <f t="shared" si="114"/>
        <v>Profit</v>
      </c>
      <c r="Q1426" t="str" cm="1">
        <f t="array" ref="Q1426">IF(K1426="",INDEX($K$2:$K$2501,MATCH(MAX(COUNTIF($K$2:$K$2501,$K$2:$K$2501)),COUNTIF($K$2:$K$2501,$K$2:$K$2501),0)),K1426)</f>
        <v>B2C</v>
      </c>
    </row>
    <row r="1427" spans="1:17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 s="3">
        <f t="shared" si="110"/>
        <v>0</v>
      </c>
      <c r="I1427" s="1">
        <v>45591</v>
      </c>
      <c r="J1427" t="s">
        <v>46</v>
      </c>
      <c r="L1427" s="2">
        <f t="shared" si="111"/>
        <v>2632.44</v>
      </c>
      <c r="M1427" s="4">
        <f t="shared" si="112"/>
        <v>0.6</v>
      </c>
      <c r="N1427" s="1">
        <f t="shared" si="113"/>
        <v>45591</v>
      </c>
      <c r="O1427" s="3">
        <f>(Table13[[#This Row],[Units_Sold]]*Table13[[#This Row],[Unit_Price_Cleaned]]*(1-Table13[[#This Row],[Discount Cleaned]]))</f>
        <v>0</v>
      </c>
      <c r="P1427" t="str">
        <f t="shared" si="114"/>
        <v>Loss</v>
      </c>
      <c r="Q1427" t="str" cm="1">
        <f t="array" ref="Q1427">IF(K1427="",INDEX($K$2:$K$2501,MATCH(MAX(COUNTIF($K$2:$K$2501,$K$2:$K$2501)),COUNTIF($K$2:$K$2501,$K$2:$K$2501),0)),K1427)</f>
        <v>B2B</v>
      </c>
    </row>
    <row r="1428" spans="1:17" x14ac:dyDescent="0.3">
      <c r="A1428">
        <v>2426</v>
      </c>
      <c r="B1428" t="s">
        <v>1465</v>
      </c>
      <c r="C1428" t="s">
        <v>20</v>
      </c>
      <c r="D1428" t="s">
        <v>80</v>
      </c>
      <c r="E1428">
        <v>2</v>
      </c>
      <c r="H1428" s="3">
        <f t="shared" si="110"/>
        <v>4967.1688000000004</v>
      </c>
      <c r="I1428" s="1">
        <v>45844</v>
      </c>
      <c r="J1428" t="s">
        <v>15</v>
      </c>
      <c r="K1428" t="s">
        <v>23</v>
      </c>
      <c r="L1428" s="2">
        <f t="shared" si="111"/>
        <v>2483.5844000000002</v>
      </c>
      <c r="M1428" s="4">
        <f t="shared" si="112"/>
        <v>0.6</v>
      </c>
      <c r="N1428" s="1">
        <f t="shared" si="113"/>
        <v>45844</v>
      </c>
      <c r="O1428" s="3">
        <f>(Table13[[#This Row],[Units_Sold]]*Table13[[#This Row],[Unit_Price_Cleaned]]*(1-Table13[[#This Row],[Discount Cleaned]]))</f>
        <v>1986.8675200000002</v>
      </c>
      <c r="P1428" t="str">
        <f t="shared" si="114"/>
        <v>Profit</v>
      </c>
      <c r="Q1428" t="str" cm="1">
        <f t="array" ref="Q1428">IF(K1428="",INDEX($K$2:$K$2501,MATCH(MAX(COUNTIF($K$2:$K$2501,$K$2:$K$2501)),COUNTIF($K$2:$K$2501,$K$2:$K$2501),0)),K1428)</f>
        <v>B2B</v>
      </c>
    </row>
    <row r="1429" spans="1:17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 s="3">
        <f t="shared" si="110"/>
        <v>7554.4500000000007</v>
      </c>
      <c r="I1429" s="1">
        <v>45611</v>
      </c>
      <c r="J1429" t="s">
        <v>40</v>
      </c>
      <c r="K1429" t="s">
        <v>23</v>
      </c>
      <c r="L1429" s="2">
        <f t="shared" si="111"/>
        <v>1510.89</v>
      </c>
      <c r="M1429" s="4">
        <f t="shared" si="112"/>
        <v>0.6</v>
      </c>
      <c r="N1429" s="1">
        <f t="shared" si="113"/>
        <v>45611</v>
      </c>
      <c r="O1429" s="3">
        <f>(Table13[[#This Row],[Units_Sold]]*Table13[[#This Row],[Unit_Price_Cleaned]]*(1-Table13[[#This Row],[Discount Cleaned]]))</f>
        <v>3021.7800000000007</v>
      </c>
      <c r="P1429" t="str">
        <f t="shared" si="114"/>
        <v>Profit</v>
      </c>
      <c r="Q1429" t="str" cm="1">
        <f t="array" ref="Q1429">IF(K1429="",INDEX($K$2:$K$2501,MATCH(MAX(COUNTIF($K$2:$K$2501,$K$2:$K$2501)),COUNTIF($K$2:$K$2501,$K$2:$K$2501),0)),K1429)</f>
        <v>B2B</v>
      </c>
    </row>
    <row r="1430" spans="1:17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 s="3">
        <f t="shared" si="110"/>
        <v>-5777.7428571428572</v>
      </c>
      <c r="I1430" s="1">
        <v>45674</v>
      </c>
      <c r="J1430" t="s">
        <v>15</v>
      </c>
      <c r="K1430" t="s">
        <v>23</v>
      </c>
      <c r="L1430" s="2">
        <f t="shared" si="111"/>
        <v>2888.8714285714286</v>
      </c>
      <c r="M1430" s="4">
        <f t="shared" si="112"/>
        <v>0.6</v>
      </c>
      <c r="N1430" s="1">
        <f t="shared" si="113"/>
        <v>45674</v>
      </c>
      <c r="O1430" s="3">
        <f>(Table13[[#This Row],[Units_Sold]]*Table13[[#This Row],[Unit_Price_Cleaned]]*(1-Table13[[#This Row],[Discount Cleaned]]))</f>
        <v>-2311.0971428571429</v>
      </c>
      <c r="P1430" t="str">
        <f t="shared" si="114"/>
        <v>Loss</v>
      </c>
      <c r="Q1430" t="str" cm="1">
        <f t="array" ref="Q1430">IF(K1430="",INDEX($K$2:$K$2501,MATCH(MAX(COUNTIF($K$2:$K$2501,$K$2:$K$2501)),COUNTIF($K$2:$K$2501,$K$2:$K$2501),0)),K1430)</f>
        <v>B2B</v>
      </c>
    </row>
    <row r="1431" spans="1:17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 s="3">
        <f t="shared" si="110"/>
        <v>-4193.1000000000004</v>
      </c>
      <c r="I1431" s="1">
        <v>45561</v>
      </c>
      <c r="J1431" t="s">
        <v>56</v>
      </c>
      <c r="K1431" t="s">
        <v>16</v>
      </c>
      <c r="L1431" s="2">
        <f t="shared" si="111"/>
        <v>4193.1000000000004</v>
      </c>
      <c r="M1431" s="4">
        <f t="shared" si="112"/>
        <v>0.6</v>
      </c>
      <c r="N1431" s="1">
        <f t="shared" si="113"/>
        <v>45561</v>
      </c>
      <c r="O1431" s="3">
        <f>(Table13[[#This Row],[Units_Sold]]*Table13[[#This Row],[Unit_Price_Cleaned]]*(1-Table13[[#This Row],[Discount Cleaned]]))</f>
        <v>-1677.2400000000002</v>
      </c>
      <c r="P1431" t="str">
        <f t="shared" si="114"/>
        <v>Loss</v>
      </c>
      <c r="Q1431" t="str" cm="1">
        <f t="array" ref="Q1431">IF(K1431="",INDEX($K$2:$K$2501,MATCH(MAX(COUNTIF($K$2:$K$2501,$K$2:$K$2501)),COUNTIF($K$2:$K$2501,$K$2:$K$2501),0)),K1431)</f>
        <v>B2C</v>
      </c>
    </row>
    <row r="1432" spans="1:17" x14ac:dyDescent="0.3">
      <c r="A1432">
        <v>2430</v>
      </c>
      <c r="B1432" t="s">
        <v>1469</v>
      </c>
      <c r="C1432" t="s">
        <v>13</v>
      </c>
      <c r="D1432" t="s">
        <v>102</v>
      </c>
      <c r="E1432">
        <v>2</v>
      </c>
      <c r="F1432">
        <v>3149.37</v>
      </c>
      <c r="H1432" s="3">
        <f t="shared" si="110"/>
        <v>6298.74</v>
      </c>
      <c r="J1432" t="s">
        <v>46</v>
      </c>
      <c r="K1432" t="s">
        <v>16</v>
      </c>
      <c r="L1432" s="2">
        <f t="shared" si="111"/>
        <v>3149.37</v>
      </c>
      <c r="M1432" s="4">
        <f t="shared" si="112"/>
        <v>0.6</v>
      </c>
      <c r="N1432" s="1">
        <f t="shared" si="113"/>
        <v>45782</v>
      </c>
      <c r="O1432" s="3">
        <f>(Table13[[#This Row],[Units_Sold]]*Table13[[#This Row],[Unit_Price_Cleaned]]*(1-Table13[[#This Row],[Discount Cleaned]]))</f>
        <v>2519.4960000000001</v>
      </c>
      <c r="P1432" t="str">
        <f t="shared" si="114"/>
        <v>Profit</v>
      </c>
      <c r="Q1432" t="str" cm="1">
        <f t="array" ref="Q1432">IF(K1432="",INDEX($K$2:$K$2501,MATCH(MAX(COUNTIF($K$2:$K$2501,$K$2:$K$2501)),COUNTIF($K$2:$K$2501,$K$2:$K$2501),0)),K1432)</f>
        <v>B2C</v>
      </c>
    </row>
    <row r="1433" spans="1:17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 s="3">
        <f t="shared" si="110"/>
        <v>-1429</v>
      </c>
      <c r="I1433" s="1">
        <v>45497</v>
      </c>
      <c r="J1433" t="s">
        <v>15</v>
      </c>
      <c r="K1433" t="s">
        <v>23</v>
      </c>
      <c r="L1433" s="2">
        <f t="shared" si="111"/>
        <v>714.5</v>
      </c>
      <c r="M1433" s="4">
        <f t="shared" si="112"/>
        <v>0.72</v>
      </c>
      <c r="N1433" s="1">
        <f t="shared" si="113"/>
        <v>45497</v>
      </c>
      <c r="O1433" s="3">
        <f>(Table13[[#This Row],[Units_Sold]]*Table13[[#This Row],[Unit_Price_Cleaned]]*(1-Table13[[#This Row],[Discount Cleaned]]))</f>
        <v>-400.12000000000006</v>
      </c>
      <c r="P1433" t="str">
        <f t="shared" si="114"/>
        <v>Loss</v>
      </c>
      <c r="Q1433" t="str" cm="1">
        <f t="array" ref="Q1433">IF(K1433="",INDEX($K$2:$K$2501,MATCH(MAX(COUNTIF($K$2:$K$2501,$K$2:$K$2501)),COUNTIF($K$2:$K$2501,$K$2:$K$2501),0)),K1433)</f>
        <v>B2B</v>
      </c>
    </row>
    <row r="1434" spans="1:17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 s="3">
        <f t="shared" si="110"/>
        <v>2725.8557142857148</v>
      </c>
      <c r="J1434" t="s">
        <v>22</v>
      </c>
      <c r="L1434" s="2">
        <f t="shared" si="111"/>
        <v>2725.8557142857148</v>
      </c>
      <c r="M1434" s="4">
        <f t="shared" si="112"/>
        <v>0.11</v>
      </c>
      <c r="N1434" s="1">
        <f t="shared" si="113"/>
        <v>45782</v>
      </c>
      <c r="O1434" s="3">
        <f>(Table13[[#This Row],[Units_Sold]]*Table13[[#This Row],[Unit_Price_Cleaned]]*(1-Table13[[#This Row],[Discount Cleaned]]))</f>
        <v>2426.0115857142864</v>
      </c>
      <c r="P1434" t="str">
        <f t="shared" si="114"/>
        <v>Profit</v>
      </c>
      <c r="Q1434" t="str" cm="1">
        <f t="array" ref="Q1434">IF(K1434="",INDEX($K$2:$K$2501,MATCH(MAX(COUNTIF($K$2:$K$2501,$K$2:$K$2501)),COUNTIF($K$2:$K$2501,$K$2:$K$2501),0)),K1434)</f>
        <v>B2B</v>
      </c>
    </row>
    <row r="1435" spans="1:17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 s="3">
        <f t="shared" si="110"/>
        <v>0</v>
      </c>
      <c r="I1435" s="1">
        <v>45531</v>
      </c>
      <c r="J1435" t="s">
        <v>18</v>
      </c>
      <c r="K1435" t="s">
        <v>16</v>
      </c>
      <c r="L1435" s="2">
        <f t="shared" si="111"/>
        <v>2489.1799999999998</v>
      </c>
      <c r="M1435" s="4">
        <f t="shared" si="112"/>
        <v>0.6</v>
      </c>
      <c r="N1435" s="1">
        <f t="shared" si="113"/>
        <v>45531</v>
      </c>
      <c r="O1435" s="3">
        <f>(Table13[[#This Row],[Units_Sold]]*Table13[[#This Row],[Unit_Price_Cleaned]]*(1-Table13[[#This Row],[Discount Cleaned]]))</f>
        <v>0</v>
      </c>
      <c r="P1435" t="str">
        <f t="shared" si="114"/>
        <v>Loss</v>
      </c>
      <c r="Q1435" t="str" cm="1">
        <f t="array" ref="Q1435">IF(K1435="",INDEX($K$2:$K$2501,MATCH(MAX(COUNTIF($K$2:$K$2501,$K$2:$K$2501)),COUNTIF($K$2:$K$2501,$K$2:$K$2501),0)),K1435)</f>
        <v>B2C</v>
      </c>
    </row>
    <row r="1436" spans="1:17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 s="3">
        <f t="shared" si="110"/>
        <v>0</v>
      </c>
      <c r="I1436" s="1">
        <v>45508</v>
      </c>
      <c r="J1436" t="s">
        <v>56</v>
      </c>
      <c r="K1436" t="s">
        <v>23</v>
      </c>
      <c r="L1436" s="2">
        <f t="shared" si="111"/>
        <v>2700.1263043478252</v>
      </c>
      <c r="M1436" s="4">
        <f t="shared" si="112"/>
        <v>0.6</v>
      </c>
      <c r="N1436" s="1">
        <f t="shared" si="113"/>
        <v>45508</v>
      </c>
      <c r="O1436" s="3">
        <f>(Table13[[#This Row],[Units_Sold]]*Table13[[#This Row],[Unit_Price_Cleaned]]*(1-Table13[[#This Row],[Discount Cleaned]]))</f>
        <v>0</v>
      </c>
      <c r="P1436" t="str">
        <f t="shared" si="114"/>
        <v>Loss</v>
      </c>
      <c r="Q1436" t="str" cm="1">
        <f t="array" ref="Q1436">IF(K1436="",INDEX($K$2:$K$2501,MATCH(MAX(COUNTIF($K$2:$K$2501,$K$2:$K$2501)),COUNTIF($K$2:$K$2501,$K$2:$K$2501),0)),K1436)</f>
        <v>B2B</v>
      </c>
    </row>
    <row r="1437" spans="1:17" x14ac:dyDescent="0.3">
      <c r="A1437">
        <v>2435</v>
      </c>
      <c r="B1437" t="s">
        <v>1473</v>
      </c>
      <c r="C1437" t="s">
        <v>29</v>
      </c>
      <c r="D1437" t="s">
        <v>30</v>
      </c>
      <c r="E1437">
        <v>2</v>
      </c>
      <c r="H1437" s="3">
        <f t="shared" si="110"/>
        <v>5235.2780769230776</v>
      </c>
      <c r="I1437" s="1">
        <v>45136</v>
      </c>
      <c r="J1437" t="s">
        <v>22</v>
      </c>
      <c r="K1437" t="s">
        <v>16</v>
      </c>
      <c r="L1437" s="2">
        <f t="shared" si="111"/>
        <v>2617.6390384615388</v>
      </c>
      <c r="M1437" s="4">
        <f t="shared" si="112"/>
        <v>0.6</v>
      </c>
      <c r="N1437" s="1">
        <f t="shared" si="113"/>
        <v>45136</v>
      </c>
      <c r="O1437" s="3">
        <f>(Table13[[#This Row],[Units_Sold]]*Table13[[#This Row],[Unit_Price_Cleaned]]*(1-Table13[[#This Row],[Discount Cleaned]]))</f>
        <v>2094.111230769231</v>
      </c>
      <c r="P1437" t="str">
        <f t="shared" si="114"/>
        <v>Profit</v>
      </c>
      <c r="Q1437" t="str" cm="1">
        <f t="array" ref="Q1437">IF(K1437="",INDEX($K$2:$K$2501,MATCH(MAX(COUNTIF($K$2:$K$2501,$K$2:$K$2501)),COUNTIF($K$2:$K$2501,$K$2:$K$2501),0)),K1437)</f>
        <v>B2C</v>
      </c>
    </row>
    <row r="1438" spans="1:17" x14ac:dyDescent="0.3">
      <c r="A1438">
        <v>2436</v>
      </c>
      <c r="B1438" t="s">
        <v>1474</v>
      </c>
      <c r="C1438" t="s">
        <v>33</v>
      </c>
      <c r="D1438" t="s">
        <v>44</v>
      </c>
      <c r="E1438">
        <v>2</v>
      </c>
      <c r="H1438" s="3">
        <f t="shared" si="110"/>
        <v>5683.5261224489814</v>
      </c>
      <c r="J1438" t="s">
        <v>56</v>
      </c>
      <c r="K1438" t="s">
        <v>23</v>
      </c>
      <c r="L1438" s="2">
        <f t="shared" si="111"/>
        <v>2841.7630612244907</v>
      </c>
      <c r="M1438" s="4">
        <f t="shared" si="112"/>
        <v>0.6</v>
      </c>
      <c r="N1438" s="1">
        <f t="shared" si="113"/>
        <v>45782</v>
      </c>
      <c r="O1438" s="3">
        <f>(Table13[[#This Row],[Units_Sold]]*Table13[[#This Row],[Unit_Price_Cleaned]]*(1-Table13[[#This Row],[Discount Cleaned]]))</f>
        <v>2273.4104489795927</v>
      </c>
      <c r="P1438" t="str">
        <f t="shared" si="114"/>
        <v>Profit</v>
      </c>
      <c r="Q1438" t="str" cm="1">
        <f t="array" ref="Q1438">IF(K1438="",INDEX($K$2:$K$2501,MATCH(MAX(COUNTIF($K$2:$K$2501,$K$2:$K$2501)),COUNTIF($K$2:$K$2501,$K$2:$K$2501),0)),K1438)</f>
        <v>B2B</v>
      </c>
    </row>
    <row r="1439" spans="1:17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 s="3">
        <f t="shared" si="110"/>
        <v>1906.91</v>
      </c>
      <c r="J1439" t="s">
        <v>18</v>
      </c>
      <c r="K1439" t="s">
        <v>23</v>
      </c>
      <c r="L1439" s="2">
        <f t="shared" si="111"/>
        <v>1906.91</v>
      </c>
      <c r="M1439" s="4">
        <f t="shared" si="112"/>
        <v>0.97</v>
      </c>
      <c r="N1439" s="1">
        <f t="shared" si="113"/>
        <v>45782</v>
      </c>
      <c r="O1439" s="3">
        <f>(Table13[[#This Row],[Units_Sold]]*Table13[[#This Row],[Unit_Price_Cleaned]]*(1-Table13[[#This Row],[Discount Cleaned]]))</f>
        <v>57.207300000000053</v>
      </c>
      <c r="P1439" t="str">
        <f t="shared" si="114"/>
        <v>Loss</v>
      </c>
      <c r="Q1439" t="str" cm="1">
        <f t="array" ref="Q1439">IF(K1439="",INDEX($K$2:$K$2501,MATCH(MAX(COUNTIF($K$2:$K$2501,$K$2:$K$2501)),COUNTIF($K$2:$K$2501,$K$2:$K$2501),0)),K1439)</f>
        <v>B2B</v>
      </c>
    </row>
    <row r="1440" spans="1:17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 s="3">
        <f t="shared" si="110"/>
        <v>13881.101000000001</v>
      </c>
      <c r="I1440" s="1">
        <v>45365</v>
      </c>
      <c r="J1440" t="s">
        <v>56</v>
      </c>
      <c r="K1440" t="s">
        <v>23</v>
      </c>
      <c r="L1440" s="2">
        <f t="shared" si="111"/>
        <v>2776.2202000000002</v>
      </c>
      <c r="M1440" s="4">
        <f t="shared" si="112"/>
        <v>0.6</v>
      </c>
      <c r="N1440" s="1">
        <f t="shared" si="113"/>
        <v>45365</v>
      </c>
      <c r="O1440" s="3">
        <f>(Table13[[#This Row],[Units_Sold]]*Table13[[#This Row],[Unit_Price_Cleaned]]*(1-Table13[[#This Row],[Discount Cleaned]]))</f>
        <v>5552.4404000000004</v>
      </c>
      <c r="P1440" t="str">
        <f t="shared" si="114"/>
        <v>Profit</v>
      </c>
      <c r="Q1440" t="str" cm="1">
        <f t="array" ref="Q1440">IF(K1440="",INDEX($K$2:$K$2501,MATCH(MAX(COUNTIF($K$2:$K$2501,$K$2:$K$2501)),COUNTIF($K$2:$K$2501,$K$2:$K$2501),0)),K1440)</f>
        <v>B2B</v>
      </c>
    </row>
    <row r="1441" spans="1:17" x14ac:dyDescent="0.3">
      <c r="A1441">
        <v>2439</v>
      </c>
      <c r="B1441" t="s">
        <v>1477</v>
      </c>
      <c r="C1441" t="s">
        <v>29</v>
      </c>
      <c r="D1441" t="s">
        <v>141</v>
      </c>
      <c r="E1441">
        <v>2</v>
      </c>
      <c r="G1441">
        <v>0.24</v>
      </c>
      <c r="H1441" s="3">
        <f t="shared" si="110"/>
        <v>4925.58</v>
      </c>
      <c r="I1441" s="1">
        <v>45562</v>
      </c>
      <c r="J1441" t="s">
        <v>15</v>
      </c>
      <c r="K1441" t="s">
        <v>16</v>
      </c>
      <c r="L1441" s="2">
        <f t="shared" si="111"/>
        <v>2462.79</v>
      </c>
      <c r="M1441" s="4">
        <f t="shared" si="112"/>
        <v>0.24</v>
      </c>
      <c r="N1441" s="1">
        <f t="shared" si="113"/>
        <v>45562</v>
      </c>
      <c r="O1441" s="3">
        <f>(Table13[[#This Row],[Units_Sold]]*Table13[[#This Row],[Unit_Price_Cleaned]]*(1-Table13[[#This Row],[Discount Cleaned]]))</f>
        <v>3743.4407999999999</v>
      </c>
      <c r="P1441" t="str">
        <f t="shared" si="114"/>
        <v>Profit</v>
      </c>
      <c r="Q1441" t="str" cm="1">
        <f t="array" ref="Q1441">IF(K1441="",INDEX($K$2:$K$2501,MATCH(MAX(COUNTIF($K$2:$K$2501,$K$2:$K$2501)),COUNTIF($K$2:$K$2501,$K$2:$K$2501),0)),K1441)</f>
        <v>B2C</v>
      </c>
    </row>
    <row r="1442" spans="1:17" x14ac:dyDescent="0.3">
      <c r="A1442">
        <v>2440</v>
      </c>
      <c r="B1442" t="s">
        <v>1478</v>
      </c>
      <c r="C1442" t="s">
        <v>33</v>
      </c>
      <c r="D1442" t="s">
        <v>72</v>
      </c>
      <c r="E1442">
        <v>2</v>
      </c>
      <c r="F1442">
        <v>3846.31</v>
      </c>
      <c r="G1442">
        <v>0.51</v>
      </c>
      <c r="H1442" s="3">
        <f t="shared" si="110"/>
        <v>7692.62</v>
      </c>
      <c r="I1442" s="1">
        <v>45539</v>
      </c>
      <c r="J1442" t="s">
        <v>46</v>
      </c>
      <c r="L1442" s="2">
        <f t="shared" si="111"/>
        <v>3846.31</v>
      </c>
      <c r="M1442" s="4">
        <f t="shared" si="112"/>
        <v>0.51</v>
      </c>
      <c r="N1442" s="1">
        <f t="shared" si="113"/>
        <v>45539</v>
      </c>
      <c r="O1442" s="3">
        <f>(Table13[[#This Row],[Units_Sold]]*Table13[[#This Row],[Unit_Price_Cleaned]]*(1-Table13[[#This Row],[Discount Cleaned]]))</f>
        <v>3769.3838000000001</v>
      </c>
      <c r="P1442" t="str">
        <f t="shared" si="114"/>
        <v>Profit</v>
      </c>
      <c r="Q1442" t="str" cm="1">
        <f t="array" ref="Q1442">IF(K1442="",INDEX($K$2:$K$2501,MATCH(MAX(COUNTIF($K$2:$K$2501,$K$2:$K$2501)),COUNTIF($K$2:$K$2501,$K$2:$K$2501),0)),K1442)</f>
        <v>B2B</v>
      </c>
    </row>
    <row r="1443" spans="1:17" x14ac:dyDescent="0.3">
      <c r="A1443">
        <v>2441</v>
      </c>
      <c r="B1443" t="s">
        <v>1479</v>
      </c>
      <c r="C1443" t="s">
        <v>38</v>
      </c>
      <c r="D1443" t="s">
        <v>63</v>
      </c>
      <c r="E1443">
        <v>2</v>
      </c>
      <c r="G1443">
        <v>0.81</v>
      </c>
      <c r="H1443" s="3">
        <f t="shared" si="110"/>
        <v>5690.4839344262318</v>
      </c>
      <c r="J1443" t="s">
        <v>46</v>
      </c>
      <c r="L1443" s="2">
        <f t="shared" si="111"/>
        <v>2845.2419672131159</v>
      </c>
      <c r="M1443" s="4">
        <f t="shared" si="112"/>
        <v>0.81</v>
      </c>
      <c r="N1443" s="1">
        <f t="shared" si="113"/>
        <v>45782</v>
      </c>
      <c r="O1443" s="3">
        <f>(Table13[[#This Row],[Units_Sold]]*Table13[[#This Row],[Unit_Price_Cleaned]]*(1-Table13[[#This Row],[Discount Cleaned]]))</f>
        <v>1081.1919475409838</v>
      </c>
      <c r="P1443" t="str">
        <f t="shared" si="114"/>
        <v>Profit</v>
      </c>
      <c r="Q1443" t="str" cm="1">
        <f t="array" ref="Q1443">IF(K1443="",INDEX($K$2:$K$2501,MATCH(MAX(COUNTIF($K$2:$K$2501,$K$2:$K$2501)),COUNTIF($K$2:$K$2501,$K$2:$K$2501),0)),K1443)</f>
        <v>B2B</v>
      </c>
    </row>
    <row r="1444" spans="1:17" x14ac:dyDescent="0.3">
      <c r="A1444">
        <v>2442</v>
      </c>
      <c r="B1444" t="s">
        <v>1480</v>
      </c>
      <c r="C1444" t="s">
        <v>13</v>
      </c>
      <c r="D1444" t="s">
        <v>36</v>
      </c>
      <c r="E1444">
        <v>2</v>
      </c>
      <c r="H1444" s="3">
        <f t="shared" si="110"/>
        <v>5765.0093103448271</v>
      </c>
      <c r="I1444" s="1">
        <v>45688</v>
      </c>
      <c r="J1444" t="s">
        <v>46</v>
      </c>
      <c r="K1444" t="s">
        <v>16</v>
      </c>
      <c r="L1444" s="2">
        <f t="shared" si="111"/>
        <v>2882.5046551724135</v>
      </c>
      <c r="M1444" s="4">
        <f t="shared" si="112"/>
        <v>0.6</v>
      </c>
      <c r="N1444" s="1">
        <f t="shared" si="113"/>
        <v>45688</v>
      </c>
      <c r="O1444" s="3">
        <f>(Table13[[#This Row],[Units_Sold]]*Table13[[#This Row],[Unit_Price_Cleaned]]*(1-Table13[[#This Row],[Discount Cleaned]]))</f>
        <v>2306.0037241379309</v>
      </c>
      <c r="P1444" t="str">
        <f t="shared" si="114"/>
        <v>Profit</v>
      </c>
      <c r="Q1444" t="str" cm="1">
        <f t="array" ref="Q1444">IF(K1444="",INDEX($K$2:$K$2501,MATCH(MAX(COUNTIF($K$2:$K$2501,$K$2:$K$2501)),COUNTIF($K$2:$K$2501,$K$2:$K$2501),0)),K1444)</f>
        <v>B2C</v>
      </c>
    </row>
    <row r="1445" spans="1:17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 s="3">
        <f t="shared" si="110"/>
        <v>4981.8599999999997</v>
      </c>
      <c r="I1445" s="1">
        <v>45562</v>
      </c>
      <c r="J1445" t="s">
        <v>46</v>
      </c>
      <c r="L1445" s="2">
        <f t="shared" si="111"/>
        <v>4981.8599999999997</v>
      </c>
      <c r="M1445" s="4">
        <f t="shared" si="112"/>
        <v>0.6</v>
      </c>
      <c r="N1445" s="1">
        <f t="shared" si="113"/>
        <v>45562</v>
      </c>
      <c r="O1445" s="3">
        <f>(Table13[[#This Row],[Units_Sold]]*Table13[[#This Row],[Unit_Price_Cleaned]]*(1-Table13[[#This Row],[Discount Cleaned]]))</f>
        <v>1992.7439999999999</v>
      </c>
      <c r="P1445" t="str">
        <f t="shared" si="114"/>
        <v>Profit</v>
      </c>
      <c r="Q1445" t="str" cm="1">
        <f t="array" ref="Q1445">IF(K1445="",INDEX($K$2:$K$2501,MATCH(MAX(COUNTIF($K$2:$K$2501,$K$2:$K$2501)),COUNTIF($K$2:$K$2501,$K$2:$K$2501),0)),K1445)</f>
        <v>B2B</v>
      </c>
    </row>
    <row r="1446" spans="1:17" x14ac:dyDescent="0.3">
      <c r="A1446">
        <v>2444</v>
      </c>
      <c r="B1446" t="s">
        <v>1482</v>
      </c>
      <c r="C1446" t="s">
        <v>13</v>
      </c>
      <c r="D1446" t="s">
        <v>36</v>
      </c>
      <c r="E1446">
        <v>2</v>
      </c>
      <c r="F1446">
        <v>3470.88</v>
      </c>
      <c r="H1446" s="3">
        <f t="shared" si="110"/>
        <v>6941.76</v>
      </c>
      <c r="J1446" t="s">
        <v>46</v>
      </c>
      <c r="K1446" t="s">
        <v>23</v>
      </c>
      <c r="L1446" s="2">
        <f t="shared" si="111"/>
        <v>3470.88</v>
      </c>
      <c r="M1446" s="4">
        <f t="shared" si="112"/>
        <v>0.6</v>
      </c>
      <c r="N1446" s="1">
        <f t="shared" si="113"/>
        <v>45782</v>
      </c>
      <c r="O1446" s="3">
        <f>(Table13[[#This Row],[Units_Sold]]*Table13[[#This Row],[Unit_Price_Cleaned]]*(1-Table13[[#This Row],[Discount Cleaned]]))</f>
        <v>2776.7040000000002</v>
      </c>
      <c r="P1446" t="str">
        <f t="shared" si="114"/>
        <v>Profit</v>
      </c>
      <c r="Q1446" t="str" cm="1">
        <f t="array" ref="Q1446">IF(K1446="",INDEX($K$2:$K$2501,MATCH(MAX(COUNTIF($K$2:$K$2501,$K$2:$K$2501)),COUNTIF($K$2:$K$2501,$K$2:$K$2501),0)),K1446)</f>
        <v>B2B</v>
      </c>
    </row>
    <row r="1447" spans="1:17" x14ac:dyDescent="0.3">
      <c r="A1447">
        <v>2445</v>
      </c>
      <c r="B1447" t="s">
        <v>1483</v>
      </c>
      <c r="C1447" t="s">
        <v>29</v>
      </c>
      <c r="D1447" t="s">
        <v>141</v>
      </c>
      <c r="E1447">
        <v>2</v>
      </c>
      <c r="F1447">
        <v>2282.02</v>
      </c>
      <c r="H1447" s="3">
        <f t="shared" si="110"/>
        <v>4564.04</v>
      </c>
      <c r="I1447" s="1">
        <v>45658</v>
      </c>
      <c r="J1447" t="s">
        <v>22</v>
      </c>
      <c r="K1447" t="s">
        <v>16</v>
      </c>
      <c r="L1447" s="2">
        <f t="shared" si="111"/>
        <v>2282.02</v>
      </c>
      <c r="M1447" s="4">
        <f t="shared" si="112"/>
        <v>0.6</v>
      </c>
      <c r="N1447" s="1">
        <f t="shared" si="113"/>
        <v>45658</v>
      </c>
      <c r="O1447" s="3">
        <f>(Table13[[#This Row],[Units_Sold]]*Table13[[#This Row],[Unit_Price_Cleaned]]*(1-Table13[[#This Row],[Discount Cleaned]]))</f>
        <v>1825.616</v>
      </c>
      <c r="P1447" t="str">
        <f t="shared" si="114"/>
        <v>Profit</v>
      </c>
      <c r="Q1447" t="str" cm="1">
        <f t="array" ref="Q1447">IF(K1447="",INDEX($K$2:$K$2501,MATCH(MAX(COUNTIF($K$2:$K$2501,$K$2:$K$2501)),COUNTIF($K$2:$K$2501,$K$2:$K$2501),0)),K1447)</f>
        <v>B2C</v>
      </c>
    </row>
    <row r="1448" spans="1:17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 s="3">
        <f t="shared" si="110"/>
        <v>15457.83413793103</v>
      </c>
      <c r="I1448" s="1">
        <v>45606</v>
      </c>
      <c r="J1448" t="s">
        <v>40</v>
      </c>
      <c r="K1448" t="s">
        <v>16</v>
      </c>
      <c r="L1448" s="2">
        <f t="shared" si="111"/>
        <v>2576.3056896551716</v>
      </c>
      <c r="M1448" s="4">
        <f t="shared" si="112"/>
        <v>1.27</v>
      </c>
      <c r="N1448" s="1">
        <f t="shared" si="113"/>
        <v>45606</v>
      </c>
      <c r="O1448" s="3">
        <f>(Table13[[#This Row],[Units_Sold]]*Table13[[#This Row],[Unit_Price_Cleaned]]*(1-Table13[[#This Row],[Discount Cleaned]]))</f>
        <v>-4173.6152172413786</v>
      </c>
      <c r="P1448" t="str">
        <f t="shared" si="114"/>
        <v>Loss</v>
      </c>
      <c r="Q1448" t="str" cm="1">
        <f t="array" ref="Q1448">IF(K1448="",INDEX($K$2:$K$2501,MATCH(MAX(COUNTIF($K$2:$K$2501,$K$2:$K$2501)),COUNTIF($K$2:$K$2501,$K$2:$K$2501),0)),K1448)</f>
        <v>B2C</v>
      </c>
    </row>
    <row r="1449" spans="1:17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 s="3">
        <f t="shared" si="110"/>
        <v>10639.8</v>
      </c>
      <c r="I1449" s="1">
        <v>45607</v>
      </c>
      <c r="J1449" t="s">
        <v>56</v>
      </c>
      <c r="L1449" s="2">
        <f t="shared" si="111"/>
        <v>1773.3</v>
      </c>
      <c r="M1449" s="4">
        <f t="shared" si="112"/>
        <v>0.6</v>
      </c>
      <c r="N1449" s="1">
        <f t="shared" si="113"/>
        <v>45607</v>
      </c>
      <c r="O1449" s="3">
        <f>(Table13[[#This Row],[Units_Sold]]*Table13[[#This Row],[Unit_Price_Cleaned]]*(1-Table13[[#This Row],[Discount Cleaned]]))</f>
        <v>4255.92</v>
      </c>
      <c r="P1449" t="str">
        <f t="shared" si="114"/>
        <v>Profit</v>
      </c>
      <c r="Q1449" t="str" cm="1">
        <f t="array" ref="Q1449">IF(K1449="",INDEX($K$2:$K$2501,MATCH(MAX(COUNTIF($K$2:$K$2501,$K$2:$K$2501)),COUNTIF($K$2:$K$2501,$K$2:$K$2501),0)),K1449)</f>
        <v>B2B</v>
      </c>
    </row>
    <row r="1450" spans="1:17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 s="3">
        <f t="shared" si="110"/>
        <v>8177.5671428571441</v>
      </c>
      <c r="I1450" s="1">
        <v>45844</v>
      </c>
      <c r="J1450" t="s">
        <v>15</v>
      </c>
      <c r="K1450" t="s">
        <v>16</v>
      </c>
      <c r="L1450" s="2">
        <f t="shared" si="111"/>
        <v>2725.8557142857148</v>
      </c>
      <c r="M1450" s="4">
        <f t="shared" si="112"/>
        <v>0.6</v>
      </c>
      <c r="N1450" s="1">
        <f t="shared" si="113"/>
        <v>45844</v>
      </c>
      <c r="O1450" s="3">
        <f>(Table13[[#This Row],[Units_Sold]]*Table13[[#This Row],[Unit_Price_Cleaned]]*(1-Table13[[#This Row],[Discount Cleaned]]))</f>
        <v>3271.0268571428578</v>
      </c>
      <c r="P1450" t="str">
        <f t="shared" si="114"/>
        <v>Profit</v>
      </c>
      <c r="Q1450" t="str" cm="1">
        <f t="array" ref="Q1450">IF(K1450="",INDEX($K$2:$K$2501,MATCH(MAX(COUNTIF($K$2:$K$2501,$K$2:$K$2501)),COUNTIF($K$2:$K$2501,$K$2:$K$2501),0)),K1450)</f>
        <v>B2C</v>
      </c>
    </row>
    <row r="1451" spans="1:17" x14ac:dyDescent="0.3">
      <c r="A1451">
        <v>2449</v>
      </c>
      <c r="B1451" t="s">
        <v>1486</v>
      </c>
      <c r="C1451" t="s">
        <v>25</v>
      </c>
      <c r="D1451" t="s">
        <v>86</v>
      </c>
      <c r="E1451">
        <v>2</v>
      </c>
      <c r="F1451">
        <v>2344.38</v>
      </c>
      <c r="H1451" s="3">
        <f t="shared" si="110"/>
        <v>4688.76</v>
      </c>
      <c r="J1451" t="s">
        <v>22</v>
      </c>
      <c r="L1451" s="2">
        <f t="shared" si="111"/>
        <v>2344.38</v>
      </c>
      <c r="M1451" s="4">
        <f t="shared" si="112"/>
        <v>0.6</v>
      </c>
      <c r="N1451" s="1">
        <f t="shared" si="113"/>
        <v>45782</v>
      </c>
      <c r="O1451" s="3">
        <f>(Table13[[#This Row],[Units_Sold]]*Table13[[#This Row],[Unit_Price_Cleaned]]*(1-Table13[[#This Row],[Discount Cleaned]]))</f>
        <v>1875.5040000000001</v>
      </c>
      <c r="P1451" t="str">
        <f t="shared" si="114"/>
        <v>Profit</v>
      </c>
      <c r="Q1451" t="str" cm="1">
        <f t="array" ref="Q1451">IF(K1451="",INDEX($K$2:$K$2501,MATCH(MAX(COUNTIF($K$2:$K$2501,$K$2:$K$2501)),COUNTIF($K$2:$K$2501,$K$2:$K$2501),0)),K1451)</f>
        <v>B2B</v>
      </c>
    </row>
    <row r="1452" spans="1:17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 s="3">
        <f t="shared" si="110"/>
        <v>6667.74</v>
      </c>
      <c r="I1452" s="1">
        <v>45782</v>
      </c>
      <c r="J1452" t="s">
        <v>18</v>
      </c>
      <c r="L1452" s="2">
        <f t="shared" si="111"/>
        <v>3333.87</v>
      </c>
      <c r="M1452" s="4">
        <f t="shared" si="112"/>
        <v>0.6</v>
      </c>
      <c r="N1452" s="1">
        <f t="shared" si="113"/>
        <v>45782</v>
      </c>
      <c r="O1452" s="3">
        <f>(Table13[[#This Row],[Units_Sold]]*Table13[[#This Row],[Unit_Price_Cleaned]]*(1-Table13[[#This Row],[Discount Cleaned]]))</f>
        <v>2667.096</v>
      </c>
      <c r="P1452" t="str">
        <f t="shared" si="114"/>
        <v>Profit</v>
      </c>
      <c r="Q1452" t="str" cm="1">
        <f t="array" ref="Q1452">IF(K1452="",INDEX($K$2:$K$2501,MATCH(MAX(COUNTIF($K$2:$K$2501,$K$2:$K$2501)),COUNTIF($K$2:$K$2501,$K$2:$K$2501),0)),K1452)</f>
        <v>B2B</v>
      </c>
    </row>
    <row r="1453" spans="1:17" x14ac:dyDescent="0.3">
      <c r="A1453">
        <v>2451</v>
      </c>
      <c r="B1453" t="s">
        <v>1488</v>
      </c>
      <c r="C1453" t="s">
        <v>25</v>
      </c>
      <c r="D1453" t="s">
        <v>86</v>
      </c>
      <c r="E1453">
        <v>2</v>
      </c>
      <c r="H1453" s="3">
        <f t="shared" si="110"/>
        <v>5003.0619999999999</v>
      </c>
      <c r="I1453" s="1">
        <v>45535</v>
      </c>
      <c r="J1453" t="s">
        <v>18</v>
      </c>
      <c r="K1453" t="s">
        <v>23</v>
      </c>
      <c r="L1453" s="2">
        <f t="shared" si="111"/>
        <v>2501.5309999999999</v>
      </c>
      <c r="M1453" s="4">
        <f t="shared" si="112"/>
        <v>0.6</v>
      </c>
      <c r="N1453" s="1">
        <f t="shared" si="113"/>
        <v>45535</v>
      </c>
      <c r="O1453" s="3">
        <f>(Table13[[#This Row],[Units_Sold]]*Table13[[#This Row],[Unit_Price_Cleaned]]*(1-Table13[[#This Row],[Discount Cleaned]]))</f>
        <v>2001.2248</v>
      </c>
      <c r="P1453" t="str">
        <f t="shared" si="114"/>
        <v>Profit</v>
      </c>
      <c r="Q1453" t="str" cm="1">
        <f t="array" ref="Q1453">IF(K1453="",INDEX($K$2:$K$2501,MATCH(MAX(COUNTIF($K$2:$K$2501,$K$2:$K$2501)),COUNTIF($K$2:$K$2501,$K$2:$K$2501),0)),K1453)</f>
        <v>B2B</v>
      </c>
    </row>
    <row r="1454" spans="1:17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 s="3">
        <f t="shared" si="110"/>
        <v>7679.0001923076943</v>
      </c>
      <c r="J1454" t="s">
        <v>22</v>
      </c>
      <c r="K1454" t="s">
        <v>23</v>
      </c>
      <c r="L1454" s="2">
        <f t="shared" si="111"/>
        <v>2559.6667307692314</v>
      </c>
      <c r="M1454" s="4">
        <f t="shared" si="112"/>
        <v>0.6</v>
      </c>
      <c r="N1454" s="1">
        <f t="shared" si="113"/>
        <v>45782</v>
      </c>
      <c r="O1454" s="3">
        <f>(Table13[[#This Row],[Units_Sold]]*Table13[[#This Row],[Unit_Price_Cleaned]]*(1-Table13[[#This Row],[Discount Cleaned]]))</f>
        <v>3071.6000769230777</v>
      </c>
      <c r="P1454" t="str">
        <f t="shared" si="114"/>
        <v>Profit</v>
      </c>
      <c r="Q1454" t="str" cm="1">
        <f t="array" ref="Q1454">IF(K1454="",INDEX($K$2:$K$2501,MATCH(MAX(COUNTIF($K$2:$K$2501,$K$2:$K$2501)),COUNTIF($K$2:$K$2501,$K$2:$K$2501),0)),K1454)</f>
        <v>B2B</v>
      </c>
    </row>
    <row r="1455" spans="1:17" x14ac:dyDescent="0.3">
      <c r="A1455">
        <v>2453</v>
      </c>
      <c r="B1455" t="s">
        <v>1490</v>
      </c>
      <c r="C1455" t="s">
        <v>13</v>
      </c>
      <c r="D1455" t="s">
        <v>14</v>
      </c>
      <c r="E1455">
        <v>2</v>
      </c>
      <c r="G1455">
        <v>0.72</v>
      </c>
      <c r="H1455" s="3">
        <f t="shared" si="110"/>
        <v>4762.5355172413792</v>
      </c>
      <c r="I1455" s="1">
        <v>45441</v>
      </c>
      <c r="J1455" t="s">
        <v>56</v>
      </c>
      <c r="K1455" t="s">
        <v>23</v>
      </c>
      <c r="L1455" s="2">
        <f t="shared" si="111"/>
        <v>2381.2677586206896</v>
      </c>
      <c r="M1455" s="4">
        <f t="shared" si="112"/>
        <v>0.72</v>
      </c>
      <c r="N1455" s="1">
        <f t="shared" si="113"/>
        <v>45441</v>
      </c>
      <c r="O1455" s="3">
        <f>(Table13[[#This Row],[Units_Sold]]*Table13[[#This Row],[Unit_Price_Cleaned]]*(1-Table13[[#This Row],[Discount Cleaned]]))</f>
        <v>1333.5099448275864</v>
      </c>
      <c r="P1455" t="str">
        <f t="shared" si="114"/>
        <v>Profit</v>
      </c>
      <c r="Q1455" t="str" cm="1">
        <f t="array" ref="Q1455">IF(K1455="",INDEX($K$2:$K$2501,MATCH(MAX(COUNTIF($K$2:$K$2501,$K$2:$K$2501)),COUNTIF($K$2:$K$2501,$K$2:$K$2501),0)),K1455)</f>
        <v>B2B</v>
      </c>
    </row>
    <row r="1456" spans="1:17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 s="3">
        <f t="shared" si="110"/>
        <v>7461.118846153845</v>
      </c>
      <c r="J1456" t="s">
        <v>40</v>
      </c>
      <c r="L1456" s="2">
        <f t="shared" si="111"/>
        <v>2487.039615384615</v>
      </c>
      <c r="M1456" s="4">
        <f t="shared" si="112"/>
        <v>0.6</v>
      </c>
      <c r="N1456" s="1">
        <f t="shared" si="113"/>
        <v>45782</v>
      </c>
      <c r="O1456" s="3">
        <f>(Table13[[#This Row],[Units_Sold]]*Table13[[#This Row],[Unit_Price_Cleaned]]*(1-Table13[[#This Row],[Discount Cleaned]]))</f>
        <v>2984.447538461538</v>
      </c>
      <c r="P1456" t="str">
        <f t="shared" si="114"/>
        <v>Profit</v>
      </c>
      <c r="Q1456" t="str" cm="1">
        <f t="array" ref="Q1456">IF(K1456="",INDEX($K$2:$K$2501,MATCH(MAX(COUNTIF($K$2:$K$2501,$K$2:$K$2501)),COUNTIF($K$2:$K$2501,$K$2:$K$2501),0)),K1456)</f>
        <v>B2B</v>
      </c>
    </row>
    <row r="1457" spans="1:17" x14ac:dyDescent="0.3">
      <c r="A1457">
        <v>2455</v>
      </c>
      <c r="B1457" t="s">
        <v>1492</v>
      </c>
      <c r="C1457" t="s">
        <v>25</v>
      </c>
      <c r="D1457" t="s">
        <v>54</v>
      </c>
      <c r="E1457">
        <v>2</v>
      </c>
      <c r="H1457" s="3">
        <f t="shared" si="110"/>
        <v>5060.7673076923093</v>
      </c>
      <c r="J1457" t="s">
        <v>46</v>
      </c>
      <c r="L1457" s="2">
        <f t="shared" si="111"/>
        <v>2530.3836538461546</v>
      </c>
      <c r="M1457" s="4">
        <f t="shared" si="112"/>
        <v>0.6</v>
      </c>
      <c r="N1457" s="1">
        <f t="shared" si="113"/>
        <v>45782</v>
      </c>
      <c r="O1457" s="3">
        <f>(Table13[[#This Row],[Units_Sold]]*Table13[[#This Row],[Unit_Price_Cleaned]]*(1-Table13[[#This Row],[Discount Cleaned]]))</f>
        <v>2024.3069230769238</v>
      </c>
      <c r="P1457" t="str">
        <f t="shared" si="114"/>
        <v>Profit</v>
      </c>
      <c r="Q1457" t="str" cm="1">
        <f t="array" ref="Q1457">IF(K1457="",INDEX($K$2:$K$2501,MATCH(MAX(COUNTIF($K$2:$K$2501,$K$2:$K$2501)),COUNTIF($K$2:$K$2501,$K$2:$K$2501),0)),K1457)</f>
        <v>B2B</v>
      </c>
    </row>
    <row r="1458" spans="1:17" x14ac:dyDescent="0.3">
      <c r="A1458">
        <v>2456</v>
      </c>
      <c r="B1458" t="s">
        <v>1493</v>
      </c>
      <c r="C1458" t="s">
        <v>29</v>
      </c>
      <c r="D1458" t="s">
        <v>141</v>
      </c>
      <c r="E1458">
        <v>2</v>
      </c>
      <c r="F1458">
        <v>889.88</v>
      </c>
      <c r="H1458" s="3">
        <f t="shared" si="110"/>
        <v>1779.76</v>
      </c>
      <c r="I1458" s="1">
        <v>45706</v>
      </c>
      <c r="J1458" t="s">
        <v>18</v>
      </c>
      <c r="K1458" t="s">
        <v>23</v>
      </c>
      <c r="L1458" s="2">
        <f t="shared" si="111"/>
        <v>889.88</v>
      </c>
      <c r="M1458" s="4">
        <f t="shared" si="112"/>
        <v>0.6</v>
      </c>
      <c r="N1458" s="1">
        <f t="shared" si="113"/>
        <v>45706</v>
      </c>
      <c r="O1458" s="3">
        <f>(Table13[[#This Row],[Units_Sold]]*Table13[[#This Row],[Unit_Price_Cleaned]]*(1-Table13[[#This Row],[Discount Cleaned]]))</f>
        <v>711.904</v>
      </c>
      <c r="P1458" t="str">
        <f t="shared" si="114"/>
        <v>Profit</v>
      </c>
      <c r="Q1458" t="str" cm="1">
        <f t="array" ref="Q1458">IF(K1458="",INDEX($K$2:$K$2501,MATCH(MAX(COUNTIF($K$2:$K$2501,$K$2:$K$2501)),COUNTIF($K$2:$K$2501,$K$2:$K$2501),0)),K1458)</f>
        <v>B2B</v>
      </c>
    </row>
    <row r="1459" spans="1:17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 s="3">
        <f t="shared" si="110"/>
        <v>16200.757826086952</v>
      </c>
      <c r="I1459" s="1">
        <v>45550</v>
      </c>
      <c r="J1459" t="s">
        <v>15</v>
      </c>
      <c r="K1459" t="s">
        <v>16</v>
      </c>
      <c r="L1459" s="2">
        <f t="shared" si="111"/>
        <v>2700.1263043478252</v>
      </c>
      <c r="M1459" s="4">
        <f t="shared" si="112"/>
        <v>1.25</v>
      </c>
      <c r="N1459" s="1">
        <f t="shared" si="113"/>
        <v>45550</v>
      </c>
      <c r="O1459" s="3">
        <f>(Table13[[#This Row],[Units_Sold]]*Table13[[#This Row],[Unit_Price_Cleaned]]*(1-Table13[[#This Row],[Discount Cleaned]]))</f>
        <v>-4050.1894565217381</v>
      </c>
      <c r="P1459" t="str">
        <f t="shared" si="114"/>
        <v>Loss</v>
      </c>
      <c r="Q1459" t="str" cm="1">
        <f t="array" ref="Q1459">IF(K1459="",INDEX($K$2:$K$2501,MATCH(MAX(COUNTIF($K$2:$K$2501,$K$2:$K$2501)),COUNTIF($K$2:$K$2501,$K$2:$K$2501),0)),K1459)</f>
        <v>B2C</v>
      </c>
    </row>
    <row r="1460" spans="1:17" x14ac:dyDescent="0.3">
      <c r="A1460">
        <v>2458</v>
      </c>
      <c r="B1460" t="s">
        <v>1495</v>
      </c>
      <c r="C1460" t="s">
        <v>33</v>
      </c>
      <c r="D1460" t="s">
        <v>44</v>
      </c>
      <c r="E1460">
        <v>2</v>
      </c>
      <c r="G1460">
        <v>0.64</v>
      </c>
      <c r="H1460" s="3">
        <f t="shared" si="110"/>
        <v>5683.5261224489814</v>
      </c>
      <c r="I1460" s="1">
        <v>45606</v>
      </c>
      <c r="J1460" t="s">
        <v>15</v>
      </c>
      <c r="K1460" t="s">
        <v>23</v>
      </c>
      <c r="L1460" s="2">
        <f t="shared" si="111"/>
        <v>2841.7630612244907</v>
      </c>
      <c r="M1460" s="4">
        <f t="shared" si="112"/>
        <v>0.64</v>
      </c>
      <c r="N1460" s="1">
        <f t="shared" si="113"/>
        <v>45606</v>
      </c>
      <c r="O1460" s="3">
        <f>(Table13[[#This Row],[Units_Sold]]*Table13[[#This Row],[Unit_Price_Cleaned]]*(1-Table13[[#This Row],[Discount Cleaned]]))</f>
        <v>2046.0694040816331</v>
      </c>
      <c r="P1460" t="str">
        <f t="shared" si="114"/>
        <v>Profit</v>
      </c>
      <c r="Q1460" t="str" cm="1">
        <f t="array" ref="Q1460">IF(K1460="",INDEX($K$2:$K$2501,MATCH(MAX(COUNTIF($K$2:$K$2501,$K$2:$K$2501)),COUNTIF($K$2:$K$2501,$K$2:$K$2501),0)),K1460)</f>
        <v>B2B</v>
      </c>
    </row>
    <row r="1461" spans="1:17" x14ac:dyDescent="0.3">
      <c r="A1461">
        <v>2459</v>
      </c>
      <c r="B1461" t="s">
        <v>1496</v>
      </c>
      <c r="C1461" t="s">
        <v>29</v>
      </c>
      <c r="D1461" t="s">
        <v>42</v>
      </c>
      <c r="E1461">
        <v>2</v>
      </c>
      <c r="H1461" s="3">
        <f t="shared" si="110"/>
        <v>5119.3334615384629</v>
      </c>
      <c r="J1461" t="s">
        <v>22</v>
      </c>
      <c r="L1461" s="2">
        <f t="shared" si="111"/>
        <v>2559.6667307692314</v>
      </c>
      <c r="M1461" s="4">
        <f t="shared" si="112"/>
        <v>0.6</v>
      </c>
      <c r="N1461" s="1">
        <f t="shared" si="113"/>
        <v>45782</v>
      </c>
      <c r="O1461" s="3">
        <f>(Table13[[#This Row],[Units_Sold]]*Table13[[#This Row],[Unit_Price_Cleaned]]*(1-Table13[[#This Row],[Discount Cleaned]]))</f>
        <v>2047.7333846153851</v>
      </c>
      <c r="P1461" t="str">
        <f t="shared" si="114"/>
        <v>Profit</v>
      </c>
      <c r="Q1461" t="str" cm="1">
        <f t="array" ref="Q1461">IF(K1461="",INDEX($K$2:$K$2501,MATCH(MAX(COUNTIF($K$2:$K$2501,$K$2:$K$2501)),COUNTIF($K$2:$K$2501,$K$2:$K$2501),0)),K1461)</f>
        <v>B2B</v>
      </c>
    </row>
    <row r="1462" spans="1:17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 s="3">
        <f t="shared" si="110"/>
        <v>-6314.56</v>
      </c>
      <c r="I1462" s="1">
        <v>45194</v>
      </c>
      <c r="J1462" t="s">
        <v>56</v>
      </c>
      <c r="L1462" s="2">
        <f t="shared" si="111"/>
        <v>3157.28</v>
      </c>
      <c r="M1462" s="4">
        <f t="shared" si="112"/>
        <v>7.0000000000000007E-2</v>
      </c>
      <c r="N1462" s="1">
        <f t="shared" si="113"/>
        <v>45194</v>
      </c>
      <c r="O1462" s="3">
        <f>(Table13[[#This Row],[Units_Sold]]*Table13[[#This Row],[Unit_Price_Cleaned]]*(1-Table13[[#This Row],[Discount Cleaned]]))</f>
        <v>-5872.5407999999998</v>
      </c>
      <c r="P1462" t="str">
        <f t="shared" si="114"/>
        <v>Loss</v>
      </c>
      <c r="Q1462" t="str" cm="1">
        <f t="array" ref="Q1462">IF(K1462="",INDEX($K$2:$K$2501,MATCH(MAX(COUNTIF($K$2:$K$2501,$K$2:$K$2501)),COUNTIF($K$2:$K$2501,$K$2:$K$2501),0)),K1462)</f>
        <v>B2B</v>
      </c>
    </row>
    <row r="1463" spans="1:17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 s="3">
        <f t="shared" si="110"/>
        <v>4225.58</v>
      </c>
      <c r="I1463" s="1">
        <v>45685</v>
      </c>
      <c r="J1463" t="s">
        <v>56</v>
      </c>
      <c r="K1463" t="s">
        <v>23</v>
      </c>
      <c r="L1463" s="2">
        <f t="shared" si="111"/>
        <v>4225.58</v>
      </c>
      <c r="M1463" s="4">
        <f t="shared" si="112"/>
        <v>0.6</v>
      </c>
      <c r="N1463" s="1">
        <f t="shared" si="113"/>
        <v>45685</v>
      </c>
      <c r="O1463" s="3">
        <f>(Table13[[#This Row],[Units_Sold]]*Table13[[#This Row],[Unit_Price_Cleaned]]*(1-Table13[[#This Row],[Discount Cleaned]]))</f>
        <v>1690.232</v>
      </c>
      <c r="P1463" t="str">
        <f t="shared" si="114"/>
        <v>Profit</v>
      </c>
      <c r="Q1463" t="str" cm="1">
        <f t="array" ref="Q1463">IF(K1463="",INDEX($K$2:$K$2501,MATCH(MAX(COUNTIF($K$2:$K$2501,$K$2:$K$2501)),COUNTIF($K$2:$K$2501,$K$2:$K$2501),0)),K1463)</f>
        <v>B2B</v>
      </c>
    </row>
    <row r="1464" spans="1:17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 s="3">
        <f t="shared" si="110"/>
        <v>4246.4399999999996</v>
      </c>
      <c r="I1464" s="1">
        <v>45833</v>
      </c>
      <c r="J1464" t="s">
        <v>22</v>
      </c>
      <c r="L1464" s="2">
        <f t="shared" si="111"/>
        <v>2123.2199999999998</v>
      </c>
      <c r="M1464" s="4">
        <f t="shared" si="112"/>
        <v>0.6</v>
      </c>
      <c r="N1464" s="1">
        <f t="shared" si="113"/>
        <v>45833</v>
      </c>
      <c r="O1464" s="3">
        <f>(Table13[[#This Row],[Units_Sold]]*Table13[[#This Row],[Unit_Price_Cleaned]]*(1-Table13[[#This Row],[Discount Cleaned]]))</f>
        <v>1698.576</v>
      </c>
      <c r="P1464" t="str">
        <f t="shared" si="114"/>
        <v>Profit</v>
      </c>
      <c r="Q1464" t="str" cm="1">
        <f t="array" ref="Q1464">IF(K1464="",INDEX($K$2:$K$2501,MATCH(MAX(COUNTIF($K$2:$K$2501,$K$2:$K$2501)),COUNTIF($K$2:$K$2501,$K$2:$K$2501),0)),K1464)</f>
        <v>B2B</v>
      </c>
    </row>
    <row r="1465" spans="1:17" x14ac:dyDescent="0.3">
      <c r="A1465">
        <v>2463</v>
      </c>
      <c r="B1465" t="s">
        <v>1500</v>
      </c>
      <c r="C1465" t="s">
        <v>29</v>
      </c>
      <c r="D1465" t="s">
        <v>42</v>
      </c>
      <c r="E1465">
        <v>2</v>
      </c>
      <c r="F1465">
        <v>405.52</v>
      </c>
      <c r="H1465" s="3">
        <f t="shared" si="110"/>
        <v>811.04</v>
      </c>
      <c r="I1465" s="1">
        <v>45723</v>
      </c>
      <c r="J1465" t="s">
        <v>15</v>
      </c>
      <c r="L1465" s="2">
        <f t="shared" si="111"/>
        <v>405.52</v>
      </c>
      <c r="M1465" s="4">
        <f t="shared" si="112"/>
        <v>0.6</v>
      </c>
      <c r="N1465" s="1">
        <f t="shared" si="113"/>
        <v>45723</v>
      </c>
      <c r="O1465" s="3">
        <f>(Table13[[#This Row],[Units_Sold]]*Table13[[#This Row],[Unit_Price_Cleaned]]*(1-Table13[[#This Row],[Discount Cleaned]]))</f>
        <v>324.416</v>
      </c>
      <c r="P1465" t="str">
        <f t="shared" si="114"/>
        <v>Loss</v>
      </c>
      <c r="Q1465" t="str" cm="1">
        <f t="array" ref="Q1465">IF(K1465="",INDEX($K$2:$K$2501,MATCH(MAX(COUNTIF($K$2:$K$2501,$K$2:$K$2501)),COUNTIF($K$2:$K$2501,$K$2:$K$2501),0)),K1465)</f>
        <v>B2B</v>
      </c>
    </row>
    <row r="1466" spans="1:17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 s="3">
        <f t="shared" si="110"/>
        <v>-2501.5309999999999</v>
      </c>
      <c r="I1466" s="1">
        <v>45751</v>
      </c>
      <c r="J1466" t="s">
        <v>56</v>
      </c>
      <c r="L1466" s="2">
        <f t="shared" si="111"/>
        <v>2501.5309999999999</v>
      </c>
      <c r="M1466" s="4">
        <f t="shared" si="112"/>
        <v>0.32</v>
      </c>
      <c r="N1466" s="1">
        <f t="shared" si="113"/>
        <v>45751</v>
      </c>
      <c r="O1466" s="3">
        <f>(Table13[[#This Row],[Units_Sold]]*Table13[[#This Row],[Unit_Price_Cleaned]]*(1-Table13[[#This Row],[Discount Cleaned]]))</f>
        <v>-1701.0410799999997</v>
      </c>
      <c r="P1466" t="str">
        <f t="shared" si="114"/>
        <v>Loss</v>
      </c>
      <c r="Q1466" t="str" cm="1">
        <f t="array" ref="Q1466">IF(K1466="",INDEX($K$2:$K$2501,MATCH(MAX(COUNTIF($K$2:$K$2501,$K$2:$K$2501)),COUNTIF($K$2:$K$2501,$K$2:$K$2501),0)),K1466)</f>
        <v>B2B</v>
      </c>
    </row>
    <row r="1467" spans="1:17" x14ac:dyDescent="0.3">
      <c r="A1467">
        <v>2465</v>
      </c>
      <c r="B1467" t="s">
        <v>1502</v>
      </c>
      <c r="C1467" t="s">
        <v>13</v>
      </c>
      <c r="D1467" t="s">
        <v>49</v>
      </c>
      <c r="E1467">
        <v>2</v>
      </c>
      <c r="F1467">
        <v>493.99</v>
      </c>
      <c r="H1467" s="3">
        <f t="shared" si="110"/>
        <v>987.98</v>
      </c>
      <c r="I1467" s="1">
        <v>45684</v>
      </c>
      <c r="J1467" t="s">
        <v>56</v>
      </c>
      <c r="K1467" t="s">
        <v>23</v>
      </c>
      <c r="L1467" s="2">
        <f t="shared" si="111"/>
        <v>493.99</v>
      </c>
      <c r="M1467" s="4">
        <f t="shared" si="112"/>
        <v>0.6</v>
      </c>
      <c r="N1467" s="1">
        <f t="shared" si="113"/>
        <v>45684</v>
      </c>
      <c r="O1467" s="3">
        <f>(Table13[[#This Row],[Units_Sold]]*Table13[[#This Row],[Unit_Price_Cleaned]]*(1-Table13[[#This Row],[Discount Cleaned]]))</f>
        <v>395.19200000000001</v>
      </c>
      <c r="P1467" t="str">
        <f t="shared" si="114"/>
        <v>Loss</v>
      </c>
      <c r="Q1467" t="str" cm="1">
        <f t="array" ref="Q1467">IF(K1467="",INDEX($K$2:$K$2501,MATCH(MAX(COUNTIF($K$2:$K$2501,$K$2:$K$2501)),COUNTIF($K$2:$K$2501,$K$2:$K$2501),0)),K1467)</f>
        <v>B2B</v>
      </c>
    </row>
    <row r="1468" spans="1:17" x14ac:dyDescent="0.3">
      <c r="A1468">
        <v>2466</v>
      </c>
      <c r="B1468" t="s">
        <v>1503</v>
      </c>
      <c r="C1468" t="s">
        <v>38</v>
      </c>
      <c r="D1468" t="s">
        <v>59</v>
      </c>
      <c r="E1468">
        <v>2</v>
      </c>
      <c r="F1468">
        <v>2335.61</v>
      </c>
      <c r="G1468">
        <v>0.17</v>
      </c>
      <c r="H1468" s="3">
        <f t="shared" si="110"/>
        <v>4671.22</v>
      </c>
      <c r="J1468" t="s">
        <v>18</v>
      </c>
      <c r="K1468" t="s">
        <v>23</v>
      </c>
      <c r="L1468" s="2">
        <f t="shared" si="111"/>
        <v>2335.61</v>
      </c>
      <c r="M1468" s="4">
        <f t="shared" si="112"/>
        <v>0.17</v>
      </c>
      <c r="N1468" s="1">
        <f t="shared" si="113"/>
        <v>45782</v>
      </c>
      <c r="O1468" s="3">
        <f>(Table13[[#This Row],[Units_Sold]]*Table13[[#This Row],[Unit_Price_Cleaned]]*(1-Table13[[#This Row],[Discount Cleaned]]))</f>
        <v>3877.1125999999999</v>
      </c>
      <c r="P1468" t="str">
        <f t="shared" si="114"/>
        <v>Profit</v>
      </c>
      <c r="Q1468" t="str" cm="1">
        <f t="array" ref="Q1468">IF(K1468="",INDEX($K$2:$K$2501,MATCH(MAX(COUNTIF($K$2:$K$2501,$K$2:$K$2501)),COUNTIF($K$2:$K$2501,$K$2:$K$2501),0)),K1468)</f>
        <v>B2B</v>
      </c>
    </row>
    <row r="1469" spans="1:17" x14ac:dyDescent="0.3">
      <c r="A1469">
        <v>2467</v>
      </c>
      <c r="B1469" t="s">
        <v>1504</v>
      </c>
      <c r="C1469" t="s">
        <v>25</v>
      </c>
      <c r="D1469" t="s">
        <v>26</v>
      </c>
      <c r="E1469">
        <v>2</v>
      </c>
      <c r="H1469" s="3">
        <f t="shared" si="110"/>
        <v>5777.7428571428572</v>
      </c>
      <c r="I1469" s="1">
        <v>45823</v>
      </c>
      <c r="J1469" t="s">
        <v>22</v>
      </c>
      <c r="K1469" t="s">
        <v>16</v>
      </c>
      <c r="L1469" s="2">
        <f t="shared" si="111"/>
        <v>2888.8714285714286</v>
      </c>
      <c r="M1469" s="4">
        <f t="shared" si="112"/>
        <v>0.6</v>
      </c>
      <c r="N1469" s="1">
        <f t="shared" si="113"/>
        <v>45823</v>
      </c>
      <c r="O1469" s="3">
        <f>(Table13[[#This Row],[Units_Sold]]*Table13[[#This Row],[Unit_Price_Cleaned]]*(1-Table13[[#This Row],[Discount Cleaned]]))</f>
        <v>2311.0971428571429</v>
      </c>
      <c r="P1469" t="str">
        <f t="shared" si="114"/>
        <v>Profit</v>
      </c>
      <c r="Q1469" t="str" cm="1">
        <f t="array" ref="Q1469">IF(K1469="",INDEX($K$2:$K$2501,MATCH(MAX(COUNTIF($K$2:$K$2501,$K$2:$K$2501)),COUNTIF($K$2:$K$2501,$K$2:$K$2501),0)),K1469)</f>
        <v>B2C</v>
      </c>
    </row>
    <row r="1470" spans="1:17" x14ac:dyDescent="0.3">
      <c r="A1470">
        <v>2468</v>
      </c>
      <c r="B1470" t="s">
        <v>1505</v>
      </c>
      <c r="C1470" t="s">
        <v>33</v>
      </c>
      <c r="D1470" t="s">
        <v>44</v>
      </c>
      <c r="E1470">
        <v>2</v>
      </c>
      <c r="H1470" s="3">
        <f t="shared" si="110"/>
        <v>5683.5261224489814</v>
      </c>
      <c r="I1470" s="1">
        <v>45760</v>
      </c>
      <c r="J1470" t="s">
        <v>22</v>
      </c>
      <c r="L1470" s="2">
        <f t="shared" si="111"/>
        <v>2841.7630612244907</v>
      </c>
      <c r="M1470" s="4">
        <f t="shared" si="112"/>
        <v>0.6</v>
      </c>
      <c r="N1470" s="1">
        <f t="shared" si="113"/>
        <v>45760</v>
      </c>
      <c r="O1470" s="3">
        <f>(Table13[[#This Row],[Units_Sold]]*Table13[[#This Row],[Unit_Price_Cleaned]]*(1-Table13[[#This Row],[Discount Cleaned]]))</f>
        <v>2273.4104489795927</v>
      </c>
      <c r="P1470" t="str">
        <f t="shared" si="114"/>
        <v>Profit</v>
      </c>
      <c r="Q1470" t="str" cm="1">
        <f t="array" ref="Q1470">IF(K1470="",INDEX($K$2:$K$2501,MATCH(MAX(COUNTIF($K$2:$K$2501,$K$2:$K$2501)),COUNTIF($K$2:$K$2501,$K$2:$K$2501),0)),K1470)</f>
        <v>B2B</v>
      </c>
    </row>
    <row r="1471" spans="1:17" x14ac:dyDescent="0.3">
      <c r="A1471">
        <v>2469</v>
      </c>
      <c r="B1471" t="s">
        <v>1506</v>
      </c>
      <c r="C1471" t="s">
        <v>20</v>
      </c>
      <c r="D1471" t="s">
        <v>80</v>
      </c>
      <c r="E1471">
        <v>2</v>
      </c>
      <c r="F1471">
        <v>4132.13</v>
      </c>
      <c r="H1471" s="3">
        <f t="shared" si="110"/>
        <v>8264.26</v>
      </c>
      <c r="I1471" s="1">
        <v>45776</v>
      </c>
      <c r="J1471" t="s">
        <v>22</v>
      </c>
      <c r="L1471" s="2">
        <f t="shared" si="111"/>
        <v>4132.13</v>
      </c>
      <c r="M1471" s="4">
        <f t="shared" si="112"/>
        <v>0.6</v>
      </c>
      <c r="N1471" s="1">
        <f t="shared" si="113"/>
        <v>45776</v>
      </c>
      <c r="O1471" s="3">
        <f>(Table13[[#This Row],[Units_Sold]]*Table13[[#This Row],[Unit_Price_Cleaned]]*(1-Table13[[#This Row],[Discount Cleaned]]))</f>
        <v>3305.7040000000002</v>
      </c>
      <c r="P1471" t="str">
        <f t="shared" si="114"/>
        <v>Profit</v>
      </c>
      <c r="Q1471" t="str" cm="1">
        <f t="array" ref="Q1471">IF(K1471="",INDEX($K$2:$K$2501,MATCH(MAX(COUNTIF($K$2:$K$2501,$K$2:$K$2501)),COUNTIF($K$2:$K$2501,$K$2:$K$2501),0)),K1471)</f>
        <v>B2B</v>
      </c>
    </row>
    <row r="1472" spans="1:17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 s="3">
        <f t="shared" si="110"/>
        <v>8043.5230909090906</v>
      </c>
      <c r="I1472" s="1">
        <v>45535</v>
      </c>
      <c r="J1472" t="s">
        <v>46</v>
      </c>
      <c r="K1472" t="s">
        <v>23</v>
      </c>
      <c r="L1472" s="2">
        <f t="shared" si="111"/>
        <v>2681.1743636363635</v>
      </c>
      <c r="M1472" s="4">
        <f t="shared" si="112"/>
        <v>0.74</v>
      </c>
      <c r="N1472" s="1">
        <f t="shared" si="113"/>
        <v>45535</v>
      </c>
      <c r="O1472" s="3">
        <f>(Table13[[#This Row],[Units_Sold]]*Table13[[#This Row],[Unit_Price_Cleaned]]*(1-Table13[[#This Row],[Discount Cleaned]]))</f>
        <v>2091.3160036363638</v>
      </c>
      <c r="P1472" t="str">
        <f t="shared" si="114"/>
        <v>Profit</v>
      </c>
      <c r="Q1472" t="str" cm="1">
        <f t="array" ref="Q1472">IF(K1472="",INDEX($K$2:$K$2501,MATCH(MAX(COUNTIF($K$2:$K$2501,$K$2:$K$2501)),COUNTIF($K$2:$K$2501,$K$2:$K$2501),0)),K1472)</f>
        <v>B2B</v>
      </c>
    </row>
    <row r="1473" spans="1:17" x14ac:dyDescent="0.3">
      <c r="A1473">
        <v>2471</v>
      </c>
      <c r="B1473" t="s">
        <v>1508</v>
      </c>
      <c r="C1473" t="s">
        <v>13</v>
      </c>
      <c r="D1473" t="s">
        <v>14</v>
      </c>
      <c r="E1473">
        <v>2</v>
      </c>
      <c r="F1473">
        <v>4457.83</v>
      </c>
      <c r="G1473">
        <v>0.66</v>
      </c>
      <c r="H1473" s="3">
        <f t="shared" si="110"/>
        <v>8915.66</v>
      </c>
      <c r="J1473" t="s">
        <v>46</v>
      </c>
      <c r="K1473" t="s">
        <v>23</v>
      </c>
      <c r="L1473" s="2">
        <f t="shared" si="111"/>
        <v>4457.83</v>
      </c>
      <c r="M1473" s="4">
        <f t="shared" si="112"/>
        <v>0.66</v>
      </c>
      <c r="N1473" s="1">
        <f t="shared" si="113"/>
        <v>45782</v>
      </c>
      <c r="O1473" s="3">
        <f>(Table13[[#This Row],[Units_Sold]]*Table13[[#This Row],[Unit_Price_Cleaned]]*(1-Table13[[#This Row],[Discount Cleaned]]))</f>
        <v>3031.3243999999995</v>
      </c>
      <c r="P1473" t="str">
        <f t="shared" si="114"/>
        <v>Profit</v>
      </c>
      <c r="Q1473" t="str" cm="1">
        <f t="array" ref="Q1473">IF(K1473="",INDEX($K$2:$K$2501,MATCH(MAX(COUNTIF($K$2:$K$2501,$K$2:$K$2501)),COUNTIF($K$2:$K$2501,$K$2:$K$2501),0)),K1473)</f>
        <v>B2B</v>
      </c>
    </row>
    <row r="1474" spans="1:17" x14ac:dyDescent="0.3">
      <c r="A1474">
        <v>2472</v>
      </c>
      <c r="B1474" t="s">
        <v>1509</v>
      </c>
      <c r="C1474" t="s">
        <v>13</v>
      </c>
      <c r="D1474" t="s">
        <v>102</v>
      </c>
      <c r="E1474">
        <v>2</v>
      </c>
      <c r="F1474">
        <v>4357.9399999999996</v>
      </c>
      <c r="G1474">
        <v>0.33</v>
      </c>
      <c r="H1474" s="3">
        <f t="shared" ref="H1474:H1537" si="115">(L1474*E1474)</f>
        <v>8715.8799999999992</v>
      </c>
      <c r="J1474" t="s">
        <v>15</v>
      </c>
      <c r="K1474" t="s">
        <v>23</v>
      </c>
      <c r="L1474" s="2">
        <f t="shared" ref="L1474:L1537" si="116">IF(F1474="",AVERAGEIF($D$2:$D$2501,D1474,$F$2:$F$2501),F1474)</f>
        <v>4357.9399999999996</v>
      </c>
      <c r="M1474" s="4">
        <f t="shared" ref="M1474:M1537" si="117">IF(G1474="",MEDIAN($G$2,$G$2501),G1474)</f>
        <v>0.33</v>
      </c>
      <c r="N1474" s="1">
        <f t="shared" ref="N1474:N1537" si="118">IF(I1474="",MODE($I$32:$I$2501),I1474)</f>
        <v>45782</v>
      </c>
      <c r="O1474" s="3">
        <f>(Table13[[#This Row],[Units_Sold]]*Table13[[#This Row],[Unit_Price_Cleaned]]*(1-Table13[[#This Row],[Discount Cleaned]]))</f>
        <v>5839.6395999999986</v>
      </c>
      <c r="P1474" t="str">
        <f t="shared" ref="P1474:P1537" si="119">IF(O1474&gt;500,"Profit","Loss")</f>
        <v>Profit</v>
      </c>
      <c r="Q1474" t="str" cm="1">
        <f t="array" ref="Q1474">IF(K1474="",INDEX($K$2:$K$2501,MATCH(MAX(COUNTIF($K$2:$K$2501,$K$2:$K$2501)),COUNTIF($K$2:$K$2501,$K$2:$K$2501),0)),K1474)</f>
        <v>B2B</v>
      </c>
    </row>
    <row r="1475" spans="1:17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 s="3">
        <f t="shared" si="115"/>
        <v>2449.2599999999998</v>
      </c>
      <c r="I1475" s="1">
        <v>45516</v>
      </c>
      <c r="J1475" t="s">
        <v>15</v>
      </c>
      <c r="L1475" s="2">
        <f t="shared" si="116"/>
        <v>408.21</v>
      </c>
      <c r="M1475" s="4">
        <f t="shared" si="117"/>
        <v>1.1599999999999999</v>
      </c>
      <c r="N1475" s="1">
        <f t="shared" si="118"/>
        <v>45516</v>
      </c>
      <c r="O1475" s="3">
        <f>(Table13[[#This Row],[Units_Sold]]*Table13[[#This Row],[Unit_Price_Cleaned]]*(1-Table13[[#This Row],[Discount Cleaned]]))</f>
        <v>-391.88159999999976</v>
      </c>
      <c r="P1475" t="str">
        <f t="shared" si="119"/>
        <v>Loss</v>
      </c>
      <c r="Q1475" t="str" cm="1">
        <f t="array" ref="Q1475">IF(K1475="",INDEX($K$2:$K$2501,MATCH(MAX(COUNTIF($K$2:$K$2501,$K$2:$K$2501)),COUNTIF($K$2:$K$2501,$K$2:$K$2501),0)),K1475)</f>
        <v>B2B</v>
      </c>
    </row>
    <row r="1476" spans="1:17" x14ac:dyDescent="0.3">
      <c r="A1476">
        <v>2474</v>
      </c>
      <c r="B1476" t="s">
        <v>1511</v>
      </c>
      <c r="C1476" t="s">
        <v>25</v>
      </c>
      <c r="D1476" t="s">
        <v>26</v>
      </c>
      <c r="E1476">
        <v>2</v>
      </c>
      <c r="H1476" s="3">
        <f t="shared" si="115"/>
        <v>5777.7428571428572</v>
      </c>
      <c r="I1476" s="1">
        <v>45605</v>
      </c>
      <c r="J1476" t="s">
        <v>40</v>
      </c>
      <c r="K1476" t="s">
        <v>23</v>
      </c>
      <c r="L1476" s="2">
        <f t="shared" si="116"/>
        <v>2888.8714285714286</v>
      </c>
      <c r="M1476" s="4">
        <f t="shared" si="117"/>
        <v>0.6</v>
      </c>
      <c r="N1476" s="1">
        <f t="shared" si="118"/>
        <v>45605</v>
      </c>
      <c r="O1476" s="3">
        <f>(Table13[[#This Row],[Units_Sold]]*Table13[[#This Row],[Unit_Price_Cleaned]]*(1-Table13[[#This Row],[Discount Cleaned]]))</f>
        <v>2311.0971428571429</v>
      </c>
      <c r="P1476" t="str">
        <f t="shared" si="119"/>
        <v>Profit</v>
      </c>
      <c r="Q1476" t="str" cm="1">
        <f t="array" ref="Q1476">IF(K1476="",INDEX($K$2:$K$2501,MATCH(MAX(COUNTIF($K$2:$K$2501,$K$2:$K$2501)),COUNTIF($K$2:$K$2501,$K$2:$K$2501),0)),K1476)</f>
        <v>B2B</v>
      </c>
    </row>
    <row r="1477" spans="1:17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 s="3">
        <f t="shared" si="115"/>
        <v>3212.4</v>
      </c>
      <c r="J1477" t="s">
        <v>18</v>
      </c>
      <c r="K1477" t="s">
        <v>16</v>
      </c>
      <c r="L1477" s="2">
        <f t="shared" si="116"/>
        <v>642.48</v>
      </c>
      <c r="M1477" s="4">
        <f t="shared" si="117"/>
        <v>0.17</v>
      </c>
      <c r="N1477" s="1">
        <f t="shared" si="118"/>
        <v>45782</v>
      </c>
      <c r="O1477" s="3">
        <f>(Table13[[#This Row],[Units_Sold]]*Table13[[#This Row],[Unit_Price_Cleaned]]*(1-Table13[[#This Row],[Discount Cleaned]]))</f>
        <v>2666.2919999999999</v>
      </c>
      <c r="P1477" t="str">
        <f t="shared" si="119"/>
        <v>Profit</v>
      </c>
      <c r="Q1477" t="str" cm="1">
        <f t="array" ref="Q1477">IF(K1477="",INDEX($K$2:$K$2501,MATCH(MAX(COUNTIF($K$2:$K$2501,$K$2:$K$2501)),COUNTIF($K$2:$K$2501,$K$2:$K$2501),0)),K1477)</f>
        <v>B2C</v>
      </c>
    </row>
    <row r="1478" spans="1:17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 s="3">
        <f t="shared" si="115"/>
        <v>14836.300000000001</v>
      </c>
      <c r="J1478" t="s">
        <v>56</v>
      </c>
      <c r="K1478" t="s">
        <v>23</v>
      </c>
      <c r="L1478" s="2">
        <f t="shared" si="116"/>
        <v>2967.26</v>
      </c>
      <c r="M1478" s="4">
        <f t="shared" si="117"/>
        <v>0.6</v>
      </c>
      <c r="N1478" s="1">
        <f t="shared" si="118"/>
        <v>45782</v>
      </c>
      <c r="O1478" s="3">
        <f>(Table13[[#This Row],[Units_Sold]]*Table13[[#This Row],[Unit_Price_Cleaned]]*(1-Table13[[#This Row],[Discount Cleaned]]))</f>
        <v>5934.52</v>
      </c>
      <c r="P1478" t="str">
        <f t="shared" si="119"/>
        <v>Profit</v>
      </c>
      <c r="Q1478" t="str" cm="1">
        <f t="array" ref="Q1478">IF(K1478="",INDEX($K$2:$K$2501,MATCH(MAX(COUNTIF($K$2:$K$2501,$K$2:$K$2501)),COUNTIF($K$2:$K$2501,$K$2:$K$2501),0)),K1478)</f>
        <v>B2B</v>
      </c>
    </row>
    <row r="1479" spans="1:17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 s="3">
        <f t="shared" si="115"/>
        <v>11175.42</v>
      </c>
      <c r="J1479" t="s">
        <v>40</v>
      </c>
      <c r="K1479" t="s">
        <v>16</v>
      </c>
      <c r="L1479" s="2">
        <f t="shared" si="116"/>
        <v>3725.14</v>
      </c>
      <c r="M1479" s="4">
        <f t="shared" si="117"/>
        <v>0.6</v>
      </c>
      <c r="N1479" s="1">
        <f t="shared" si="118"/>
        <v>45782</v>
      </c>
      <c r="O1479" s="3">
        <f>(Table13[[#This Row],[Units_Sold]]*Table13[[#This Row],[Unit_Price_Cleaned]]*(1-Table13[[#This Row],[Discount Cleaned]]))</f>
        <v>4470.1680000000006</v>
      </c>
      <c r="P1479" t="str">
        <f t="shared" si="119"/>
        <v>Profit</v>
      </c>
      <c r="Q1479" t="str" cm="1">
        <f t="array" ref="Q1479">IF(K1479="",INDEX($K$2:$K$2501,MATCH(MAX(COUNTIF($K$2:$K$2501,$K$2:$K$2501)),COUNTIF($K$2:$K$2501,$K$2:$K$2501),0)),K1479)</f>
        <v>B2C</v>
      </c>
    </row>
    <row r="1480" spans="1:17" x14ac:dyDescent="0.3">
      <c r="A1480">
        <v>2478</v>
      </c>
      <c r="B1480" t="s">
        <v>1515</v>
      </c>
      <c r="C1480" t="s">
        <v>38</v>
      </c>
      <c r="D1480" t="s">
        <v>91</v>
      </c>
      <c r="E1480">
        <v>2</v>
      </c>
      <c r="F1480">
        <v>1904.58</v>
      </c>
      <c r="H1480" s="3">
        <f t="shared" si="115"/>
        <v>3809.16</v>
      </c>
      <c r="I1480" s="1">
        <v>45557</v>
      </c>
      <c r="J1480" t="s">
        <v>22</v>
      </c>
      <c r="K1480" t="s">
        <v>23</v>
      </c>
      <c r="L1480" s="2">
        <f t="shared" si="116"/>
        <v>1904.58</v>
      </c>
      <c r="M1480" s="4">
        <f t="shared" si="117"/>
        <v>0.6</v>
      </c>
      <c r="N1480" s="1">
        <f t="shared" si="118"/>
        <v>45557</v>
      </c>
      <c r="O1480" s="3">
        <f>(Table13[[#This Row],[Units_Sold]]*Table13[[#This Row],[Unit_Price_Cleaned]]*(1-Table13[[#This Row],[Discount Cleaned]]))</f>
        <v>1523.664</v>
      </c>
      <c r="P1480" t="str">
        <f t="shared" si="119"/>
        <v>Profit</v>
      </c>
      <c r="Q1480" t="str" cm="1">
        <f t="array" ref="Q1480">IF(K1480="",INDEX($K$2:$K$2501,MATCH(MAX(COUNTIF($K$2:$K$2501,$K$2:$K$2501)),COUNTIF($K$2:$K$2501,$K$2:$K$2501),0)),K1480)</f>
        <v>B2B</v>
      </c>
    </row>
    <row r="1481" spans="1:17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 s="3">
        <f t="shared" si="115"/>
        <v>-2572.7764000000006</v>
      </c>
      <c r="I1481" s="1">
        <v>45696</v>
      </c>
      <c r="J1481" t="s">
        <v>46</v>
      </c>
      <c r="K1481" t="s">
        <v>23</v>
      </c>
      <c r="L1481" s="2">
        <f t="shared" si="116"/>
        <v>2572.7764000000006</v>
      </c>
      <c r="M1481" s="4">
        <f t="shared" si="117"/>
        <v>1.1100000000000001</v>
      </c>
      <c r="N1481" s="1">
        <f t="shared" si="118"/>
        <v>45696</v>
      </c>
      <c r="O1481" s="3">
        <f>(Table13[[#This Row],[Units_Sold]]*Table13[[#This Row],[Unit_Price_Cleaned]]*(1-Table13[[#This Row],[Discount Cleaned]]))</f>
        <v>283.00540400000034</v>
      </c>
      <c r="P1481" t="str">
        <f t="shared" si="119"/>
        <v>Loss</v>
      </c>
      <c r="Q1481" t="str" cm="1">
        <f t="array" ref="Q1481">IF(K1481="",INDEX($K$2:$K$2501,MATCH(MAX(COUNTIF($K$2:$K$2501,$K$2:$K$2501)),COUNTIF($K$2:$K$2501,$K$2:$K$2501),0)),K1481)</f>
        <v>B2B</v>
      </c>
    </row>
    <row r="1482" spans="1:17" x14ac:dyDescent="0.3">
      <c r="A1482">
        <v>2480</v>
      </c>
      <c r="B1482" t="s">
        <v>1517</v>
      </c>
      <c r="C1482" t="s">
        <v>25</v>
      </c>
      <c r="D1482" t="s">
        <v>54</v>
      </c>
      <c r="E1482">
        <v>2</v>
      </c>
      <c r="G1482">
        <v>0.14000000000000001</v>
      </c>
      <c r="H1482" s="3">
        <f t="shared" si="115"/>
        <v>5060.7673076923093</v>
      </c>
      <c r="I1482" s="1">
        <v>45573</v>
      </c>
      <c r="J1482" t="s">
        <v>40</v>
      </c>
      <c r="L1482" s="2">
        <f t="shared" si="116"/>
        <v>2530.3836538461546</v>
      </c>
      <c r="M1482" s="4">
        <f t="shared" si="117"/>
        <v>0.14000000000000001</v>
      </c>
      <c r="N1482" s="1">
        <f t="shared" si="118"/>
        <v>45573</v>
      </c>
      <c r="O1482" s="3">
        <f>(Table13[[#This Row],[Units_Sold]]*Table13[[#This Row],[Unit_Price_Cleaned]]*(1-Table13[[#This Row],[Discount Cleaned]]))</f>
        <v>4352.259884615386</v>
      </c>
      <c r="P1482" t="str">
        <f t="shared" si="119"/>
        <v>Profit</v>
      </c>
      <c r="Q1482" t="str" cm="1">
        <f t="array" ref="Q1482">IF(K1482="",INDEX($K$2:$K$2501,MATCH(MAX(COUNTIF($K$2:$K$2501,$K$2:$K$2501)),COUNTIF($K$2:$K$2501,$K$2:$K$2501),0)),K1482)</f>
        <v>B2B</v>
      </c>
    </row>
    <row r="1483" spans="1:17" x14ac:dyDescent="0.3">
      <c r="A1483">
        <v>2481</v>
      </c>
      <c r="B1483" t="s">
        <v>1518</v>
      </c>
      <c r="C1483" t="s">
        <v>20</v>
      </c>
      <c r="D1483" t="s">
        <v>80</v>
      </c>
      <c r="E1483">
        <v>2</v>
      </c>
      <c r="H1483" s="3">
        <f t="shared" si="115"/>
        <v>4967.1688000000004</v>
      </c>
      <c r="I1483" s="1">
        <v>45774</v>
      </c>
      <c r="J1483" t="s">
        <v>22</v>
      </c>
      <c r="L1483" s="2">
        <f t="shared" si="116"/>
        <v>2483.5844000000002</v>
      </c>
      <c r="M1483" s="4">
        <f t="shared" si="117"/>
        <v>0.6</v>
      </c>
      <c r="N1483" s="1">
        <f t="shared" si="118"/>
        <v>45774</v>
      </c>
      <c r="O1483" s="3">
        <f>(Table13[[#This Row],[Units_Sold]]*Table13[[#This Row],[Unit_Price_Cleaned]]*(1-Table13[[#This Row],[Discount Cleaned]]))</f>
        <v>1986.8675200000002</v>
      </c>
      <c r="P1483" t="str">
        <f t="shared" si="119"/>
        <v>Profit</v>
      </c>
      <c r="Q1483" t="str" cm="1">
        <f t="array" ref="Q1483">IF(K1483="",INDEX($K$2:$K$2501,MATCH(MAX(COUNTIF($K$2:$K$2501,$K$2:$K$2501)),COUNTIF($K$2:$K$2501,$K$2:$K$2501),0)),K1483)</f>
        <v>B2B</v>
      </c>
    </row>
    <row r="1484" spans="1:17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 s="3">
        <f t="shared" si="115"/>
        <v>17757.560000000001</v>
      </c>
      <c r="I1484" s="1">
        <v>45543</v>
      </c>
      <c r="J1484" t="s">
        <v>18</v>
      </c>
      <c r="K1484" t="s">
        <v>16</v>
      </c>
      <c r="L1484" s="2">
        <f t="shared" si="116"/>
        <v>4439.3900000000003</v>
      </c>
      <c r="M1484" s="4">
        <f t="shared" si="117"/>
        <v>0.6</v>
      </c>
      <c r="N1484" s="1">
        <f t="shared" si="118"/>
        <v>45543</v>
      </c>
      <c r="O1484" s="3">
        <f>(Table13[[#This Row],[Units_Sold]]*Table13[[#This Row],[Unit_Price_Cleaned]]*(1-Table13[[#This Row],[Discount Cleaned]]))</f>
        <v>7103.0240000000013</v>
      </c>
      <c r="P1484" t="str">
        <f t="shared" si="119"/>
        <v>Profit</v>
      </c>
      <c r="Q1484" t="str" cm="1">
        <f t="array" ref="Q1484">IF(K1484="",INDEX($K$2:$K$2501,MATCH(MAX(COUNTIF($K$2:$K$2501,$K$2:$K$2501)),COUNTIF($K$2:$K$2501,$K$2:$K$2501),0)),K1484)</f>
        <v>B2C</v>
      </c>
    </row>
    <row r="1485" spans="1:17" x14ac:dyDescent="0.3">
      <c r="A1485">
        <v>2483</v>
      </c>
      <c r="B1485" t="s">
        <v>1520</v>
      </c>
      <c r="C1485" t="s">
        <v>38</v>
      </c>
      <c r="D1485" t="s">
        <v>63</v>
      </c>
      <c r="E1485">
        <v>2</v>
      </c>
      <c r="G1485">
        <v>0.96</v>
      </c>
      <c r="H1485" s="3">
        <f t="shared" si="115"/>
        <v>5690.4839344262318</v>
      </c>
      <c r="I1485" s="1">
        <v>45790</v>
      </c>
      <c r="J1485" t="s">
        <v>46</v>
      </c>
      <c r="K1485" t="s">
        <v>23</v>
      </c>
      <c r="L1485" s="2">
        <f t="shared" si="116"/>
        <v>2845.2419672131159</v>
      </c>
      <c r="M1485" s="4">
        <f t="shared" si="117"/>
        <v>0.96</v>
      </c>
      <c r="N1485" s="1">
        <f t="shared" si="118"/>
        <v>45790</v>
      </c>
      <c r="O1485" s="3">
        <f>(Table13[[#This Row],[Units_Sold]]*Table13[[#This Row],[Unit_Price_Cleaned]]*(1-Table13[[#This Row],[Discount Cleaned]]))</f>
        <v>227.61935737704948</v>
      </c>
      <c r="P1485" t="str">
        <f t="shared" si="119"/>
        <v>Loss</v>
      </c>
      <c r="Q1485" t="str" cm="1">
        <f t="array" ref="Q1485">IF(K1485="",INDEX($K$2:$K$2501,MATCH(MAX(COUNTIF($K$2:$K$2501,$K$2:$K$2501)),COUNTIF($K$2:$K$2501,$K$2:$K$2501),0)),K1485)</f>
        <v>B2B</v>
      </c>
    </row>
    <row r="1486" spans="1:17" x14ac:dyDescent="0.3">
      <c r="A1486">
        <v>2484</v>
      </c>
      <c r="B1486" t="s">
        <v>1521</v>
      </c>
      <c r="C1486" t="s">
        <v>33</v>
      </c>
      <c r="D1486" t="s">
        <v>82</v>
      </c>
      <c r="E1486">
        <v>2</v>
      </c>
      <c r="H1486" s="3">
        <f t="shared" si="115"/>
        <v>5552.4404000000004</v>
      </c>
      <c r="I1486" s="1">
        <v>45622</v>
      </c>
      <c r="J1486" t="s">
        <v>46</v>
      </c>
      <c r="K1486" t="s">
        <v>16</v>
      </c>
      <c r="L1486" s="2">
        <f t="shared" si="116"/>
        <v>2776.2202000000002</v>
      </c>
      <c r="M1486" s="4">
        <f t="shared" si="117"/>
        <v>0.6</v>
      </c>
      <c r="N1486" s="1">
        <f t="shared" si="118"/>
        <v>45622</v>
      </c>
      <c r="O1486" s="3">
        <f>(Table13[[#This Row],[Units_Sold]]*Table13[[#This Row],[Unit_Price_Cleaned]]*(1-Table13[[#This Row],[Discount Cleaned]]))</f>
        <v>2220.9761600000002</v>
      </c>
      <c r="P1486" t="str">
        <f t="shared" si="119"/>
        <v>Profit</v>
      </c>
      <c r="Q1486" t="str" cm="1">
        <f t="array" ref="Q1486">IF(K1486="",INDEX($K$2:$K$2501,MATCH(MAX(COUNTIF($K$2:$K$2501,$K$2:$K$2501)),COUNTIF($K$2:$K$2501,$K$2:$K$2501),0)),K1486)</f>
        <v>B2C</v>
      </c>
    </row>
    <row r="1487" spans="1:17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 s="3">
        <f t="shared" si="115"/>
        <v>2103.54</v>
      </c>
      <c r="I1487" s="1">
        <v>45662</v>
      </c>
      <c r="J1487" t="s">
        <v>56</v>
      </c>
      <c r="K1487" t="s">
        <v>16</v>
      </c>
      <c r="L1487" s="2">
        <f t="shared" si="116"/>
        <v>2103.54</v>
      </c>
      <c r="M1487" s="4">
        <f t="shared" si="117"/>
        <v>0.6</v>
      </c>
      <c r="N1487" s="1">
        <f t="shared" si="118"/>
        <v>45662</v>
      </c>
      <c r="O1487" s="3">
        <f>(Table13[[#This Row],[Units_Sold]]*Table13[[#This Row],[Unit_Price_Cleaned]]*(1-Table13[[#This Row],[Discount Cleaned]]))</f>
        <v>841.41600000000005</v>
      </c>
      <c r="P1487" t="str">
        <f t="shared" si="119"/>
        <v>Profit</v>
      </c>
      <c r="Q1487" t="str" cm="1">
        <f t="array" ref="Q1487">IF(K1487="",INDEX($K$2:$K$2501,MATCH(MAX(COUNTIF($K$2:$K$2501,$K$2:$K$2501)),COUNTIF($K$2:$K$2501,$K$2:$K$2501),0)),K1487)</f>
        <v>B2C</v>
      </c>
    </row>
    <row r="1488" spans="1:17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 s="3">
        <f t="shared" si="115"/>
        <v>-5400.2526086956505</v>
      </c>
      <c r="I1488" s="1">
        <v>45507</v>
      </c>
      <c r="J1488" t="s">
        <v>18</v>
      </c>
      <c r="L1488" s="2">
        <f t="shared" si="116"/>
        <v>2700.1263043478252</v>
      </c>
      <c r="M1488" s="4">
        <f t="shared" si="117"/>
        <v>0.6</v>
      </c>
      <c r="N1488" s="1">
        <f t="shared" si="118"/>
        <v>45507</v>
      </c>
      <c r="O1488" s="3">
        <f>(Table13[[#This Row],[Units_Sold]]*Table13[[#This Row],[Unit_Price_Cleaned]]*(1-Table13[[#This Row],[Discount Cleaned]]))</f>
        <v>-2160.1010434782602</v>
      </c>
      <c r="P1488" t="str">
        <f t="shared" si="119"/>
        <v>Loss</v>
      </c>
      <c r="Q1488" t="str" cm="1">
        <f t="array" ref="Q1488">IF(K1488="",INDEX($K$2:$K$2501,MATCH(MAX(COUNTIF($K$2:$K$2501,$K$2:$K$2501)),COUNTIF($K$2:$K$2501,$K$2:$K$2501),0)),K1488)</f>
        <v>B2B</v>
      </c>
    </row>
    <row r="1489" spans="1:17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 s="3">
        <f t="shared" si="115"/>
        <v>-5400.2526086956505</v>
      </c>
      <c r="I1489" s="1">
        <v>45706</v>
      </c>
      <c r="J1489" t="s">
        <v>22</v>
      </c>
      <c r="L1489" s="2">
        <f t="shared" si="116"/>
        <v>2700.1263043478252</v>
      </c>
      <c r="M1489" s="4">
        <f t="shared" si="117"/>
        <v>0.6</v>
      </c>
      <c r="N1489" s="1">
        <f t="shared" si="118"/>
        <v>45706</v>
      </c>
      <c r="O1489" s="3">
        <f>(Table13[[#This Row],[Units_Sold]]*Table13[[#This Row],[Unit_Price_Cleaned]]*(1-Table13[[#This Row],[Discount Cleaned]]))</f>
        <v>-2160.1010434782602</v>
      </c>
      <c r="P1489" t="str">
        <f t="shared" si="119"/>
        <v>Loss</v>
      </c>
      <c r="Q1489" t="str" cm="1">
        <f t="array" ref="Q1489">IF(K1489="",INDEX($K$2:$K$2501,MATCH(MAX(COUNTIF($K$2:$K$2501,$K$2:$K$2501)),COUNTIF($K$2:$K$2501,$K$2:$K$2501),0)),K1489)</f>
        <v>B2B</v>
      </c>
    </row>
    <row r="1490" spans="1:17" x14ac:dyDescent="0.3">
      <c r="A1490">
        <v>2488</v>
      </c>
      <c r="B1490" t="s">
        <v>1525</v>
      </c>
      <c r="C1490" t="s">
        <v>20</v>
      </c>
      <c r="D1490" t="s">
        <v>80</v>
      </c>
      <c r="E1490">
        <v>2</v>
      </c>
      <c r="F1490">
        <v>718.84</v>
      </c>
      <c r="G1490">
        <v>0.53</v>
      </c>
      <c r="H1490" s="3">
        <f t="shared" si="115"/>
        <v>1437.68</v>
      </c>
      <c r="I1490" s="1">
        <v>45335</v>
      </c>
      <c r="J1490" t="s">
        <v>18</v>
      </c>
      <c r="K1490" t="s">
        <v>23</v>
      </c>
      <c r="L1490" s="2">
        <f t="shared" si="116"/>
        <v>718.84</v>
      </c>
      <c r="M1490" s="4">
        <f t="shared" si="117"/>
        <v>0.53</v>
      </c>
      <c r="N1490" s="1">
        <f t="shared" si="118"/>
        <v>45335</v>
      </c>
      <c r="O1490" s="3">
        <f>(Table13[[#This Row],[Units_Sold]]*Table13[[#This Row],[Unit_Price_Cleaned]]*(1-Table13[[#This Row],[Discount Cleaned]]))</f>
        <v>675.70960000000002</v>
      </c>
      <c r="P1490" t="str">
        <f t="shared" si="119"/>
        <v>Profit</v>
      </c>
      <c r="Q1490" t="str" cm="1">
        <f t="array" ref="Q1490">IF(K1490="",INDEX($K$2:$K$2501,MATCH(MAX(COUNTIF($K$2:$K$2501,$K$2:$K$2501)),COUNTIF($K$2:$K$2501,$K$2:$K$2501),0)),K1490)</f>
        <v>B2B</v>
      </c>
    </row>
    <row r="1491" spans="1:17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 s="3">
        <f t="shared" si="115"/>
        <v>0</v>
      </c>
      <c r="I1491" s="1">
        <v>45842</v>
      </c>
      <c r="J1491" t="s">
        <v>46</v>
      </c>
      <c r="L1491" s="2">
        <f t="shared" si="116"/>
        <v>2501.5309999999999</v>
      </c>
      <c r="M1491" s="4">
        <f t="shared" si="117"/>
        <v>0.6</v>
      </c>
      <c r="N1491" s="1">
        <f t="shared" si="118"/>
        <v>45842</v>
      </c>
      <c r="O1491" s="3">
        <f>(Table13[[#This Row],[Units_Sold]]*Table13[[#This Row],[Unit_Price_Cleaned]]*(1-Table13[[#This Row],[Discount Cleaned]]))</f>
        <v>0</v>
      </c>
      <c r="P1491" t="str">
        <f t="shared" si="119"/>
        <v>Loss</v>
      </c>
      <c r="Q1491" t="str" cm="1">
        <f t="array" ref="Q1491">IF(K1491="",INDEX($K$2:$K$2501,MATCH(MAX(COUNTIF($K$2:$K$2501,$K$2:$K$2501)),COUNTIF($K$2:$K$2501,$K$2:$K$2501),0)),K1491)</f>
        <v>B2B</v>
      </c>
    </row>
    <row r="1492" spans="1:17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 s="3">
        <f t="shared" si="115"/>
        <v>3441.9</v>
      </c>
      <c r="I1492" s="1">
        <v>45624</v>
      </c>
      <c r="J1492" t="s">
        <v>40</v>
      </c>
      <c r="L1492" s="2">
        <f t="shared" si="116"/>
        <v>688.38</v>
      </c>
      <c r="M1492" s="4">
        <f t="shared" si="117"/>
        <v>0.6</v>
      </c>
      <c r="N1492" s="1">
        <f t="shared" si="118"/>
        <v>45624</v>
      </c>
      <c r="O1492" s="3">
        <f>(Table13[[#This Row],[Units_Sold]]*Table13[[#This Row],[Unit_Price_Cleaned]]*(1-Table13[[#This Row],[Discount Cleaned]]))</f>
        <v>1376.7600000000002</v>
      </c>
      <c r="P1492" t="str">
        <f t="shared" si="119"/>
        <v>Profit</v>
      </c>
      <c r="Q1492" t="str" cm="1">
        <f t="array" ref="Q1492">IF(K1492="",INDEX($K$2:$K$2501,MATCH(MAX(COUNTIF($K$2:$K$2501,$K$2:$K$2501)),COUNTIF($K$2:$K$2501,$K$2:$K$2501),0)),K1492)</f>
        <v>B2B</v>
      </c>
    </row>
    <row r="1493" spans="1:17" x14ac:dyDescent="0.3">
      <c r="A1493">
        <v>2491</v>
      </c>
      <c r="B1493" t="s">
        <v>1528</v>
      </c>
      <c r="C1493" t="s">
        <v>25</v>
      </c>
      <c r="D1493" t="s">
        <v>54</v>
      </c>
      <c r="E1493">
        <v>2</v>
      </c>
      <c r="G1493">
        <v>0.68</v>
      </c>
      <c r="H1493" s="3">
        <f t="shared" si="115"/>
        <v>5060.7673076923093</v>
      </c>
      <c r="I1493" s="1">
        <v>45517</v>
      </c>
      <c r="J1493" t="s">
        <v>40</v>
      </c>
      <c r="K1493" t="s">
        <v>16</v>
      </c>
      <c r="L1493" s="2">
        <f t="shared" si="116"/>
        <v>2530.3836538461546</v>
      </c>
      <c r="M1493" s="4">
        <f t="shared" si="117"/>
        <v>0.68</v>
      </c>
      <c r="N1493" s="1">
        <f t="shared" si="118"/>
        <v>45517</v>
      </c>
      <c r="O1493" s="3">
        <f>(Table13[[#This Row],[Units_Sold]]*Table13[[#This Row],[Unit_Price_Cleaned]]*(1-Table13[[#This Row],[Discount Cleaned]]))</f>
        <v>1619.4455384615387</v>
      </c>
      <c r="P1493" t="str">
        <f t="shared" si="119"/>
        <v>Profit</v>
      </c>
      <c r="Q1493" t="str" cm="1">
        <f t="array" ref="Q1493">IF(K1493="",INDEX($K$2:$K$2501,MATCH(MAX(COUNTIF($K$2:$K$2501,$K$2:$K$2501)),COUNTIF($K$2:$K$2501,$K$2:$K$2501),0)),K1493)</f>
        <v>B2C</v>
      </c>
    </row>
    <row r="1494" spans="1:17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 s="3">
        <f t="shared" si="115"/>
        <v>-2483.5844000000002</v>
      </c>
      <c r="I1494" s="1">
        <v>45845</v>
      </c>
      <c r="J1494" t="s">
        <v>40</v>
      </c>
      <c r="K1494" t="s">
        <v>16</v>
      </c>
      <c r="L1494" s="2">
        <f t="shared" si="116"/>
        <v>2483.5844000000002</v>
      </c>
      <c r="M1494" s="4">
        <f t="shared" si="117"/>
        <v>0.6</v>
      </c>
      <c r="N1494" s="1">
        <f t="shared" si="118"/>
        <v>45845</v>
      </c>
      <c r="O1494" s="3">
        <f>(Table13[[#This Row],[Units_Sold]]*Table13[[#This Row],[Unit_Price_Cleaned]]*(1-Table13[[#This Row],[Discount Cleaned]]))</f>
        <v>-993.43376000000012</v>
      </c>
      <c r="P1494" t="str">
        <f t="shared" si="119"/>
        <v>Loss</v>
      </c>
      <c r="Q1494" t="str" cm="1">
        <f t="array" ref="Q1494">IF(K1494="",INDEX($K$2:$K$2501,MATCH(MAX(COUNTIF($K$2:$K$2501,$K$2:$K$2501)),COUNTIF($K$2:$K$2501,$K$2:$K$2501),0)),K1494)</f>
        <v>B2C</v>
      </c>
    </row>
    <row r="1495" spans="1:17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 s="3">
        <f t="shared" si="115"/>
        <v>5608.5303846153838</v>
      </c>
      <c r="J1495" t="s">
        <v>18</v>
      </c>
      <c r="L1495" s="2">
        <f t="shared" si="116"/>
        <v>2804.2651923076919</v>
      </c>
      <c r="M1495" s="4">
        <f t="shared" si="117"/>
        <v>0.92</v>
      </c>
      <c r="N1495" s="1">
        <f t="shared" si="118"/>
        <v>45782</v>
      </c>
      <c r="O1495" s="3">
        <f>(Table13[[#This Row],[Units_Sold]]*Table13[[#This Row],[Unit_Price_Cleaned]]*(1-Table13[[#This Row],[Discount Cleaned]]))</f>
        <v>448.68243076923051</v>
      </c>
      <c r="P1495" t="str">
        <f t="shared" si="119"/>
        <v>Loss</v>
      </c>
      <c r="Q1495" t="str" cm="1">
        <f t="array" ref="Q1495">IF(K1495="",INDEX($K$2:$K$2501,MATCH(MAX(COUNTIF($K$2:$K$2501,$K$2:$K$2501)),COUNTIF($K$2:$K$2501,$K$2:$K$2501),0)),K1495)</f>
        <v>B2B</v>
      </c>
    </row>
    <row r="1496" spans="1:17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 s="3">
        <f t="shared" si="115"/>
        <v>8666.6142857142859</v>
      </c>
      <c r="I1496" s="1">
        <v>45782</v>
      </c>
      <c r="J1496" t="s">
        <v>56</v>
      </c>
      <c r="K1496" t="s">
        <v>23</v>
      </c>
      <c r="L1496" s="2">
        <f t="shared" si="116"/>
        <v>2888.8714285714286</v>
      </c>
      <c r="M1496" s="4">
        <f t="shared" si="117"/>
        <v>1.1599999999999999</v>
      </c>
      <c r="N1496" s="1">
        <f t="shared" si="118"/>
        <v>45782</v>
      </c>
      <c r="O1496" s="3">
        <f>(Table13[[#This Row],[Units_Sold]]*Table13[[#This Row],[Unit_Price_Cleaned]]*(1-Table13[[#This Row],[Discount Cleaned]]))</f>
        <v>-1386.6582857142851</v>
      </c>
      <c r="P1496" t="str">
        <f t="shared" si="119"/>
        <v>Loss</v>
      </c>
      <c r="Q1496" t="str" cm="1">
        <f t="array" ref="Q1496">IF(K1496="",INDEX($K$2:$K$2501,MATCH(MAX(COUNTIF($K$2:$K$2501,$K$2:$K$2501)),COUNTIF($K$2:$K$2501,$K$2:$K$2501),0)),K1496)</f>
        <v>B2B</v>
      </c>
    </row>
    <row r="1497" spans="1:17" x14ac:dyDescent="0.3">
      <c r="A1497">
        <v>2495</v>
      </c>
      <c r="B1497" t="s">
        <v>1532</v>
      </c>
      <c r="C1497" t="s">
        <v>13</v>
      </c>
      <c r="D1497" t="s">
        <v>14</v>
      </c>
      <c r="E1497">
        <v>2</v>
      </c>
      <c r="F1497">
        <v>1106.0899999999999</v>
      </c>
      <c r="H1497" s="3">
        <f t="shared" si="115"/>
        <v>2212.1799999999998</v>
      </c>
      <c r="I1497" s="1">
        <v>45197</v>
      </c>
      <c r="J1497" t="s">
        <v>15</v>
      </c>
      <c r="K1497" t="s">
        <v>16</v>
      </c>
      <c r="L1497" s="2">
        <f t="shared" si="116"/>
        <v>1106.0899999999999</v>
      </c>
      <c r="M1497" s="4">
        <f t="shared" si="117"/>
        <v>0.6</v>
      </c>
      <c r="N1497" s="1">
        <f t="shared" si="118"/>
        <v>45197</v>
      </c>
      <c r="O1497" s="3">
        <f>(Table13[[#This Row],[Units_Sold]]*Table13[[#This Row],[Unit_Price_Cleaned]]*(1-Table13[[#This Row],[Discount Cleaned]]))</f>
        <v>884.87199999999996</v>
      </c>
      <c r="P1497" t="str">
        <f t="shared" si="119"/>
        <v>Profit</v>
      </c>
      <c r="Q1497" t="str" cm="1">
        <f t="array" ref="Q1497">IF(K1497="",INDEX($K$2:$K$2501,MATCH(MAX(COUNTIF($K$2:$K$2501,$K$2:$K$2501)),COUNTIF($K$2:$K$2501,$K$2:$K$2501),0)),K1497)</f>
        <v>B2C</v>
      </c>
    </row>
    <row r="1498" spans="1:17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 s="3">
        <f t="shared" si="115"/>
        <v>-5362.348727272727</v>
      </c>
      <c r="I1498" s="1">
        <v>45800</v>
      </c>
      <c r="J1498" t="s">
        <v>15</v>
      </c>
      <c r="L1498" s="2">
        <f t="shared" si="116"/>
        <v>2681.1743636363635</v>
      </c>
      <c r="M1498" s="4">
        <f t="shared" si="117"/>
        <v>0.6</v>
      </c>
      <c r="N1498" s="1">
        <f t="shared" si="118"/>
        <v>45800</v>
      </c>
      <c r="O1498" s="3">
        <f>(Table13[[#This Row],[Units_Sold]]*Table13[[#This Row],[Unit_Price_Cleaned]]*(1-Table13[[#This Row],[Discount Cleaned]]))</f>
        <v>-2144.9394909090911</v>
      </c>
      <c r="P1498" t="str">
        <f t="shared" si="119"/>
        <v>Loss</v>
      </c>
      <c r="Q1498" t="str" cm="1">
        <f t="array" ref="Q1498">IF(K1498="",INDEX($K$2:$K$2501,MATCH(MAX(COUNTIF($K$2:$K$2501,$K$2:$K$2501)),COUNTIF($K$2:$K$2501,$K$2:$K$2501),0)),K1498)</f>
        <v>B2B</v>
      </c>
    </row>
    <row r="1499" spans="1:17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 s="3">
        <f t="shared" si="115"/>
        <v>3607.5</v>
      </c>
      <c r="I1499" s="1">
        <v>45670</v>
      </c>
      <c r="J1499" t="s">
        <v>18</v>
      </c>
      <c r="K1499" t="s">
        <v>23</v>
      </c>
      <c r="L1499" s="2">
        <f t="shared" si="116"/>
        <v>3607.5</v>
      </c>
      <c r="M1499" s="4">
        <f t="shared" si="117"/>
        <v>0.6</v>
      </c>
      <c r="N1499" s="1">
        <f t="shared" si="118"/>
        <v>45670</v>
      </c>
      <c r="O1499" s="3">
        <f>(Table13[[#This Row],[Units_Sold]]*Table13[[#This Row],[Unit_Price_Cleaned]]*(1-Table13[[#This Row],[Discount Cleaned]]))</f>
        <v>1443</v>
      </c>
      <c r="P1499" t="str">
        <f t="shared" si="119"/>
        <v>Profit</v>
      </c>
      <c r="Q1499" t="str" cm="1">
        <f t="array" ref="Q1499">IF(K1499="",INDEX($K$2:$K$2501,MATCH(MAX(COUNTIF($K$2:$K$2501,$K$2:$K$2501)),COUNTIF($K$2:$K$2501,$K$2:$K$2501),0)),K1499)</f>
        <v>B2B</v>
      </c>
    </row>
    <row r="1500" spans="1:17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 s="3">
        <f t="shared" si="115"/>
        <v>8174.68</v>
      </c>
      <c r="I1500" s="1">
        <v>45176</v>
      </c>
      <c r="J1500" t="s">
        <v>46</v>
      </c>
      <c r="K1500" t="s">
        <v>16</v>
      </c>
      <c r="L1500" s="2">
        <f t="shared" si="116"/>
        <v>2043.67</v>
      </c>
      <c r="M1500" s="4">
        <f t="shared" si="117"/>
        <v>0.6</v>
      </c>
      <c r="N1500" s="1">
        <f t="shared" si="118"/>
        <v>45176</v>
      </c>
      <c r="O1500" s="3">
        <f>(Table13[[#This Row],[Units_Sold]]*Table13[[#This Row],[Unit_Price_Cleaned]]*(1-Table13[[#This Row],[Discount Cleaned]]))</f>
        <v>3269.8720000000003</v>
      </c>
      <c r="P1500" t="str">
        <f t="shared" si="119"/>
        <v>Profit</v>
      </c>
      <c r="Q1500" t="str" cm="1">
        <f t="array" ref="Q1500">IF(K1500="",INDEX($K$2:$K$2501,MATCH(MAX(COUNTIF($K$2:$K$2501,$K$2:$K$2501)),COUNTIF($K$2:$K$2501,$K$2:$K$2501),0)),K1500)</f>
        <v>B2C</v>
      </c>
    </row>
    <row r="1501" spans="1:17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 s="3">
        <f t="shared" si="115"/>
        <v>-9277.52</v>
      </c>
      <c r="I1501" s="1">
        <v>45677</v>
      </c>
      <c r="J1501" t="s">
        <v>56</v>
      </c>
      <c r="L1501" s="2">
        <f t="shared" si="116"/>
        <v>4638.76</v>
      </c>
      <c r="M1501" s="4">
        <f t="shared" si="117"/>
        <v>0.6</v>
      </c>
      <c r="N1501" s="1">
        <f t="shared" si="118"/>
        <v>45677</v>
      </c>
      <c r="O1501" s="3">
        <f>(Table13[[#This Row],[Units_Sold]]*Table13[[#This Row],[Unit_Price_Cleaned]]*(1-Table13[[#This Row],[Discount Cleaned]]))</f>
        <v>-3711.0080000000003</v>
      </c>
      <c r="P1501" t="str">
        <f t="shared" si="119"/>
        <v>Loss</v>
      </c>
      <c r="Q1501" t="str" cm="1">
        <f t="array" ref="Q1501">IF(K1501="",INDEX($K$2:$K$2501,MATCH(MAX(COUNTIF($K$2:$K$2501,$K$2:$K$2501)),COUNTIF($K$2:$K$2501,$K$2:$K$2501),0)),K1501)</f>
        <v>B2B</v>
      </c>
    </row>
    <row r="1502" spans="1:17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 s="3">
        <f t="shared" si="115"/>
        <v>14150.662857142866</v>
      </c>
      <c r="I1502" s="1">
        <v>45503</v>
      </c>
      <c r="J1502" t="s">
        <v>15</v>
      </c>
      <c r="K1502" t="s">
        <v>23</v>
      </c>
      <c r="L1502" s="2">
        <f t="shared" si="116"/>
        <v>2830.1325714285731</v>
      </c>
      <c r="M1502" s="4">
        <f t="shared" si="117"/>
        <v>0.92</v>
      </c>
      <c r="N1502" s="1">
        <f t="shared" si="118"/>
        <v>45503</v>
      </c>
      <c r="O1502" s="3">
        <f>(Table13[[#This Row],[Units_Sold]]*Table13[[#This Row],[Unit_Price_Cleaned]]*(1-Table13[[#This Row],[Discount Cleaned]]))</f>
        <v>1132.0530285714287</v>
      </c>
      <c r="P1502" t="str">
        <f t="shared" si="119"/>
        <v>Profit</v>
      </c>
      <c r="Q1502" t="str" cm="1">
        <f t="array" ref="Q1502">IF(K1502="",INDEX($K$2:$K$2501,MATCH(MAX(COUNTIF($K$2:$K$2501,$K$2:$K$2501)),COUNTIF($K$2:$K$2501,$K$2:$K$2501),0)),K1502)</f>
        <v>B2B</v>
      </c>
    </row>
    <row r="1503" spans="1:17" x14ac:dyDescent="0.3">
      <c r="A1503">
        <v>2501</v>
      </c>
      <c r="B1503" t="s">
        <v>1537</v>
      </c>
      <c r="C1503" t="s">
        <v>38</v>
      </c>
      <c r="D1503" t="s">
        <v>59</v>
      </c>
      <c r="E1503">
        <v>2</v>
      </c>
      <c r="H1503" s="3">
        <f t="shared" si="115"/>
        <v>5608.5303846153838</v>
      </c>
      <c r="J1503" t="s">
        <v>18</v>
      </c>
      <c r="K1503" t="s">
        <v>23</v>
      </c>
      <c r="L1503" s="2">
        <f t="shared" si="116"/>
        <v>2804.2651923076919</v>
      </c>
      <c r="M1503" s="4">
        <f t="shared" si="117"/>
        <v>0.6</v>
      </c>
      <c r="N1503" s="1">
        <f t="shared" si="118"/>
        <v>45782</v>
      </c>
      <c r="O1503" s="3">
        <f>(Table13[[#This Row],[Units_Sold]]*Table13[[#This Row],[Unit_Price_Cleaned]]*(1-Table13[[#This Row],[Discount Cleaned]]))</f>
        <v>2243.4121538461536</v>
      </c>
      <c r="P1503" t="str">
        <f t="shared" si="119"/>
        <v>Profit</v>
      </c>
      <c r="Q1503" t="str" cm="1">
        <f t="array" ref="Q1503">IF(K1503="",INDEX($K$2:$K$2501,MATCH(MAX(COUNTIF($K$2:$K$2501,$K$2:$K$2501)),COUNTIF($K$2:$K$2501,$K$2:$K$2501),0)),K1503)</f>
        <v>B2B</v>
      </c>
    </row>
    <row r="1504" spans="1:17" x14ac:dyDescent="0.3">
      <c r="A1504">
        <v>2502</v>
      </c>
      <c r="B1504" t="s">
        <v>1538</v>
      </c>
      <c r="C1504" t="s">
        <v>25</v>
      </c>
      <c r="D1504" t="s">
        <v>26</v>
      </c>
      <c r="E1504">
        <v>2</v>
      </c>
      <c r="G1504">
        <v>1</v>
      </c>
      <c r="H1504" s="3">
        <f t="shared" si="115"/>
        <v>5777.7428571428572</v>
      </c>
      <c r="I1504" s="1">
        <v>45855</v>
      </c>
      <c r="J1504" t="s">
        <v>22</v>
      </c>
      <c r="K1504" t="s">
        <v>23</v>
      </c>
      <c r="L1504" s="2">
        <f t="shared" si="116"/>
        <v>2888.8714285714286</v>
      </c>
      <c r="M1504" s="4">
        <f t="shared" si="117"/>
        <v>1</v>
      </c>
      <c r="N1504" s="1">
        <f t="shared" si="118"/>
        <v>45855</v>
      </c>
      <c r="O1504" s="3">
        <f>(Table13[[#This Row],[Units_Sold]]*Table13[[#This Row],[Unit_Price_Cleaned]]*(1-Table13[[#This Row],[Discount Cleaned]]))</f>
        <v>0</v>
      </c>
      <c r="P1504" t="str">
        <f t="shared" si="119"/>
        <v>Loss</v>
      </c>
      <c r="Q1504" t="str" cm="1">
        <f t="array" ref="Q1504">IF(K1504="",INDEX($K$2:$K$2501,MATCH(MAX(COUNTIF($K$2:$K$2501,$K$2:$K$2501)),COUNTIF($K$2:$K$2501,$K$2:$K$2501),0)),K1504)</f>
        <v>B2B</v>
      </c>
    </row>
    <row r="1505" spans="1:17" x14ac:dyDescent="0.3">
      <c r="A1505">
        <v>2503</v>
      </c>
      <c r="B1505" t="s">
        <v>1539</v>
      </c>
      <c r="C1505" t="s">
        <v>29</v>
      </c>
      <c r="D1505" t="s">
        <v>42</v>
      </c>
      <c r="E1505">
        <v>2</v>
      </c>
      <c r="F1505">
        <v>1259.22</v>
      </c>
      <c r="H1505" s="3">
        <f t="shared" si="115"/>
        <v>2518.44</v>
      </c>
      <c r="I1505" s="1">
        <v>45499</v>
      </c>
      <c r="J1505" t="s">
        <v>40</v>
      </c>
      <c r="L1505" s="2">
        <f t="shared" si="116"/>
        <v>1259.22</v>
      </c>
      <c r="M1505" s="4">
        <f t="shared" si="117"/>
        <v>0.6</v>
      </c>
      <c r="N1505" s="1">
        <f t="shared" si="118"/>
        <v>45499</v>
      </c>
      <c r="O1505" s="3">
        <f>(Table13[[#This Row],[Units_Sold]]*Table13[[#This Row],[Unit_Price_Cleaned]]*(1-Table13[[#This Row],[Discount Cleaned]]))</f>
        <v>1007.3760000000001</v>
      </c>
      <c r="P1505" t="str">
        <f t="shared" si="119"/>
        <v>Profit</v>
      </c>
      <c r="Q1505" t="str" cm="1">
        <f t="array" ref="Q1505">IF(K1505="",INDEX($K$2:$K$2501,MATCH(MAX(COUNTIF($K$2:$K$2501,$K$2:$K$2501)),COUNTIF($K$2:$K$2501,$K$2:$K$2501),0)),K1505)</f>
        <v>B2B</v>
      </c>
    </row>
    <row r="1506" spans="1:17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 s="3">
        <f t="shared" si="115"/>
        <v>5690.4839344262318</v>
      </c>
      <c r="J1506" t="s">
        <v>18</v>
      </c>
      <c r="K1506" t="s">
        <v>23</v>
      </c>
      <c r="L1506" s="2">
        <f t="shared" si="116"/>
        <v>2845.2419672131159</v>
      </c>
      <c r="M1506" s="4">
        <f t="shared" si="117"/>
        <v>1.2</v>
      </c>
      <c r="N1506" s="1">
        <f t="shared" si="118"/>
        <v>45782</v>
      </c>
      <c r="O1506" s="3">
        <f>(Table13[[#This Row],[Units_Sold]]*Table13[[#This Row],[Unit_Price_Cleaned]]*(1-Table13[[#This Row],[Discount Cleaned]]))</f>
        <v>-1138.096786885246</v>
      </c>
      <c r="P1506" t="str">
        <f t="shared" si="119"/>
        <v>Loss</v>
      </c>
      <c r="Q1506" t="str" cm="1">
        <f t="array" ref="Q1506">IF(K1506="",INDEX($K$2:$K$2501,MATCH(MAX(COUNTIF($K$2:$K$2501,$K$2:$K$2501)),COUNTIF($K$2:$K$2501,$K$2:$K$2501),0)),K1506)</f>
        <v>B2B</v>
      </c>
    </row>
    <row r="1507" spans="1:17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 s="3">
        <f t="shared" si="115"/>
        <v>-1258.77</v>
      </c>
      <c r="I1507" s="1">
        <v>45658</v>
      </c>
      <c r="J1507" t="s">
        <v>56</v>
      </c>
      <c r="K1507" t="s">
        <v>23</v>
      </c>
      <c r="L1507" s="2">
        <f t="shared" si="116"/>
        <v>1258.77</v>
      </c>
      <c r="M1507" s="4">
        <f t="shared" si="117"/>
        <v>0.71</v>
      </c>
      <c r="N1507" s="1">
        <f t="shared" si="118"/>
        <v>45658</v>
      </c>
      <c r="O1507" s="3">
        <f>(Table13[[#This Row],[Units_Sold]]*Table13[[#This Row],[Unit_Price_Cleaned]]*(1-Table13[[#This Row],[Discount Cleaned]]))</f>
        <v>-365.04330000000004</v>
      </c>
      <c r="P1507" t="str">
        <f t="shared" si="119"/>
        <v>Loss</v>
      </c>
      <c r="Q1507" t="str" cm="1">
        <f t="array" ref="Q1507">IF(K1507="",INDEX($K$2:$K$2501,MATCH(MAX(COUNTIF($K$2:$K$2501,$K$2:$K$2501)),COUNTIF($K$2:$K$2501,$K$2:$K$2501),0)),K1507)</f>
        <v>B2B</v>
      </c>
    </row>
    <row r="1508" spans="1:17" x14ac:dyDescent="0.3">
      <c r="A1508">
        <v>2506</v>
      </c>
      <c r="B1508" t="s">
        <v>1542</v>
      </c>
      <c r="C1508" t="s">
        <v>20</v>
      </c>
      <c r="D1508" t="s">
        <v>122</v>
      </c>
      <c r="E1508">
        <v>2</v>
      </c>
      <c r="H1508" s="3">
        <f t="shared" si="115"/>
        <v>5400.2526086956505</v>
      </c>
      <c r="I1508" s="1">
        <v>45649</v>
      </c>
      <c r="J1508" t="s">
        <v>56</v>
      </c>
      <c r="K1508" t="s">
        <v>23</v>
      </c>
      <c r="L1508" s="2">
        <f t="shared" si="116"/>
        <v>2700.1263043478252</v>
      </c>
      <c r="M1508" s="4">
        <f t="shared" si="117"/>
        <v>0.6</v>
      </c>
      <c r="N1508" s="1">
        <f t="shared" si="118"/>
        <v>45649</v>
      </c>
      <c r="O1508" s="3">
        <f>(Table13[[#This Row],[Units_Sold]]*Table13[[#This Row],[Unit_Price_Cleaned]]*(1-Table13[[#This Row],[Discount Cleaned]]))</f>
        <v>2160.1010434782602</v>
      </c>
      <c r="P1508" t="str">
        <f t="shared" si="119"/>
        <v>Profit</v>
      </c>
      <c r="Q1508" t="str" cm="1">
        <f t="array" ref="Q1508">IF(K1508="",INDEX($K$2:$K$2501,MATCH(MAX(COUNTIF($K$2:$K$2501,$K$2:$K$2501)),COUNTIF($K$2:$K$2501,$K$2:$K$2501),0)),K1508)</f>
        <v>B2B</v>
      </c>
    </row>
    <row r="1509" spans="1:17" x14ac:dyDescent="0.3">
      <c r="A1509">
        <v>2507</v>
      </c>
      <c r="B1509" t="s">
        <v>1543</v>
      </c>
      <c r="C1509" t="s">
        <v>33</v>
      </c>
      <c r="D1509" t="s">
        <v>82</v>
      </c>
      <c r="E1509">
        <v>2</v>
      </c>
      <c r="H1509" s="3">
        <f t="shared" si="115"/>
        <v>5552.4404000000004</v>
      </c>
      <c r="I1509" s="1">
        <v>45821</v>
      </c>
      <c r="J1509" t="s">
        <v>18</v>
      </c>
      <c r="K1509" t="s">
        <v>16</v>
      </c>
      <c r="L1509" s="2">
        <f t="shared" si="116"/>
        <v>2776.2202000000002</v>
      </c>
      <c r="M1509" s="4">
        <f t="shared" si="117"/>
        <v>0.6</v>
      </c>
      <c r="N1509" s="1">
        <f t="shared" si="118"/>
        <v>45821</v>
      </c>
      <c r="O1509" s="3">
        <f>(Table13[[#This Row],[Units_Sold]]*Table13[[#This Row],[Unit_Price_Cleaned]]*(1-Table13[[#This Row],[Discount Cleaned]]))</f>
        <v>2220.9761600000002</v>
      </c>
      <c r="P1509" t="str">
        <f t="shared" si="119"/>
        <v>Profit</v>
      </c>
      <c r="Q1509" t="str" cm="1">
        <f t="array" ref="Q1509">IF(K1509="",INDEX($K$2:$K$2501,MATCH(MAX(COUNTIF($K$2:$K$2501,$K$2:$K$2501)),COUNTIF($K$2:$K$2501,$K$2:$K$2501),0)),K1509)</f>
        <v>B2C</v>
      </c>
    </row>
    <row r="1510" spans="1:17" x14ac:dyDescent="0.3">
      <c r="A1510">
        <v>2508</v>
      </c>
      <c r="B1510" t="s">
        <v>1544</v>
      </c>
      <c r="C1510" t="s">
        <v>33</v>
      </c>
      <c r="D1510" t="s">
        <v>44</v>
      </c>
      <c r="E1510">
        <v>2</v>
      </c>
      <c r="F1510">
        <v>4245.43</v>
      </c>
      <c r="H1510" s="3">
        <f t="shared" si="115"/>
        <v>8490.86</v>
      </c>
      <c r="I1510" s="1">
        <v>45739</v>
      </c>
      <c r="J1510" t="s">
        <v>40</v>
      </c>
      <c r="K1510" t="s">
        <v>23</v>
      </c>
      <c r="L1510" s="2">
        <f t="shared" si="116"/>
        <v>4245.43</v>
      </c>
      <c r="M1510" s="4">
        <f t="shared" si="117"/>
        <v>0.6</v>
      </c>
      <c r="N1510" s="1">
        <f t="shared" si="118"/>
        <v>45739</v>
      </c>
      <c r="O1510" s="3">
        <f>(Table13[[#This Row],[Units_Sold]]*Table13[[#This Row],[Unit_Price_Cleaned]]*(1-Table13[[#This Row],[Discount Cleaned]]))</f>
        <v>3396.3440000000005</v>
      </c>
      <c r="P1510" t="str">
        <f t="shared" si="119"/>
        <v>Profit</v>
      </c>
      <c r="Q1510" t="str" cm="1">
        <f t="array" ref="Q1510">IF(K1510="",INDEX($K$2:$K$2501,MATCH(MAX(COUNTIF($K$2:$K$2501,$K$2:$K$2501)),COUNTIF($K$2:$K$2501,$K$2:$K$2501),0)),K1510)</f>
        <v>B2B</v>
      </c>
    </row>
    <row r="1511" spans="1:17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 s="3">
        <f t="shared" si="115"/>
        <v>13405.871818181819</v>
      </c>
      <c r="I1511" s="1">
        <v>45538</v>
      </c>
      <c r="J1511" t="s">
        <v>46</v>
      </c>
      <c r="L1511" s="2">
        <f t="shared" si="116"/>
        <v>2681.1743636363635</v>
      </c>
      <c r="M1511" s="4">
        <f t="shared" si="117"/>
        <v>0.6</v>
      </c>
      <c r="N1511" s="1">
        <f t="shared" si="118"/>
        <v>45538</v>
      </c>
      <c r="O1511" s="3">
        <f>(Table13[[#This Row],[Units_Sold]]*Table13[[#This Row],[Unit_Price_Cleaned]]*(1-Table13[[#This Row],[Discount Cleaned]]))</f>
        <v>5362.348727272728</v>
      </c>
      <c r="P1511" t="str">
        <f t="shared" si="119"/>
        <v>Profit</v>
      </c>
      <c r="Q1511" t="str" cm="1">
        <f t="array" ref="Q1511">IF(K1511="",INDEX($K$2:$K$2501,MATCH(MAX(COUNTIF($K$2:$K$2501,$K$2:$K$2501)),COUNTIF($K$2:$K$2501,$K$2:$K$2501),0)),K1511)</f>
        <v>B2B</v>
      </c>
    </row>
    <row r="1512" spans="1:17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 s="3">
        <f t="shared" si="115"/>
        <v>0</v>
      </c>
      <c r="J1512" t="s">
        <v>15</v>
      </c>
      <c r="K1512" t="s">
        <v>16</v>
      </c>
      <c r="L1512" s="2">
        <f t="shared" si="116"/>
        <v>2804.2651923076919</v>
      </c>
      <c r="M1512" s="4">
        <f t="shared" si="117"/>
        <v>0.6</v>
      </c>
      <c r="N1512" s="1">
        <f t="shared" si="118"/>
        <v>45782</v>
      </c>
      <c r="O1512" s="3">
        <f>(Table13[[#This Row],[Units_Sold]]*Table13[[#This Row],[Unit_Price_Cleaned]]*(1-Table13[[#This Row],[Discount Cleaned]]))</f>
        <v>0</v>
      </c>
      <c r="P1512" t="str">
        <f t="shared" si="119"/>
        <v>Loss</v>
      </c>
      <c r="Q1512" t="str" cm="1">
        <f t="array" ref="Q1512">IF(K1512="",INDEX($K$2:$K$2501,MATCH(MAX(COUNTIF($K$2:$K$2501,$K$2:$K$2501)),COUNTIF($K$2:$K$2501,$K$2:$K$2501),0)),K1512)</f>
        <v>B2C</v>
      </c>
    </row>
    <row r="1513" spans="1:17" x14ac:dyDescent="0.3">
      <c r="A1513">
        <v>2511</v>
      </c>
      <c r="B1513" t="s">
        <v>1547</v>
      </c>
      <c r="C1513" t="s">
        <v>20</v>
      </c>
      <c r="D1513" t="s">
        <v>80</v>
      </c>
      <c r="E1513">
        <v>2</v>
      </c>
      <c r="F1513">
        <v>2822.43</v>
      </c>
      <c r="G1513">
        <v>1</v>
      </c>
      <c r="H1513" s="3">
        <f t="shared" si="115"/>
        <v>5644.86</v>
      </c>
      <c r="I1513" s="1">
        <v>45730</v>
      </c>
      <c r="J1513" t="s">
        <v>40</v>
      </c>
      <c r="K1513" t="s">
        <v>16</v>
      </c>
      <c r="L1513" s="2">
        <f t="shared" si="116"/>
        <v>2822.43</v>
      </c>
      <c r="M1513" s="4">
        <f t="shared" si="117"/>
        <v>1</v>
      </c>
      <c r="N1513" s="1">
        <f t="shared" si="118"/>
        <v>45730</v>
      </c>
      <c r="O1513" s="3">
        <f>(Table13[[#This Row],[Units_Sold]]*Table13[[#This Row],[Unit_Price_Cleaned]]*(1-Table13[[#This Row],[Discount Cleaned]]))</f>
        <v>0</v>
      </c>
      <c r="P1513" t="str">
        <f t="shared" si="119"/>
        <v>Loss</v>
      </c>
      <c r="Q1513" t="str" cm="1">
        <f t="array" ref="Q1513">IF(K1513="",INDEX($K$2:$K$2501,MATCH(MAX(COUNTIF($K$2:$K$2501,$K$2:$K$2501)),COUNTIF($K$2:$K$2501,$K$2:$K$2501),0)),K1513)</f>
        <v>B2C</v>
      </c>
    </row>
    <row r="1514" spans="1:17" x14ac:dyDescent="0.3">
      <c r="A1514">
        <v>2512</v>
      </c>
      <c r="B1514" t="s">
        <v>1548</v>
      </c>
      <c r="C1514" t="s">
        <v>13</v>
      </c>
      <c r="D1514" t="s">
        <v>36</v>
      </c>
      <c r="E1514">
        <v>2</v>
      </c>
      <c r="G1514">
        <v>0.53</v>
      </c>
      <c r="H1514" s="3">
        <f t="shared" si="115"/>
        <v>5765.0093103448271</v>
      </c>
      <c r="I1514" s="1">
        <v>45580</v>
      </c>
      <c r="J1514" t="s">
        <v>40</v>
      </c>
      <c r="L1514" s="2">
        <f t="shared" si="116"/>
        <v>2882.5046551724135</v>
      </c>
      <c r="M1514" s="4">
        <f t="shared" si="117"/>
        <v>0.53</v>
      </c>
      <c r="N1514" s="1">
        <f t="shared" si="118"/>
        <v>45580</v>
      </c>
      <c r="O1514" s="3">
        <f>(Table13[[#This Row],[Units_Sold]]*Table13[[#This Row],[Unit_Price_Cleaned]]*(1-Table13[[#This Row],[Discount Cleaned]]))</f>
        <v>2709.5543758620688</v>
      </c>
      <c r="P1514" t="str">
        <f t="shared" si="119"/>
        <v>Profit</v>
      </c>
      <c r="Q1514" t="str" cm="1">
        <f t="array" ref="Q1514">IF(K1514="",INDEX($K$2:$K$2501,MATCH(MAX(COUNTIF($K$2:$K$2501,$K$2:$K$2501)),COUNTIF($K$2:$K$2501,$K$2:$K$2501),0)),K1514)</f>
        <v>B2B</v>
      </c>
    </row>
    <row r="1515" spans="1:17" x14ac:dyDescent="0.3">
      <c r="A1515">
        <v>2513</v>
      </c>
      <c r="B1515" t="s">
        <v>1549</v>
      </c>
      <c r="C1515" t="s">
        <v>38</v>
      </c>
      <c r="D1515" t="s">
        <v>59</v>
      </c>
      <c r="E1515">
        <v>2</v>
      </c>
      <c r="F1515">
        <v>3625.99</v>
      </c>
      <c r="G1515">
        <v>0.93</v>
      </c>
      <c r="H1515" s="3">
        <f t="shared" si="115"/>
        <v>7251.98</v>
      </c>
      <c r="I1515" s="1">
        <v>45631</v>
      </c>
      <c r="J1515" t="s">
        <v>15</v>
      </c>
      <c r="K1515" t="s">
        <v>16</v>
      </c>
      <c r="L1515" s="2">
        <f t="shared" si="116"/>
        <v>3625.99</v>
      </c>
      <c r="M1515" s="4">
        <f t="shared" si="117"/>
        <v>0.93</v>
      </c>
      <c r="N1515" s="1">
        <f t="shared" si="118"/>
        <v>45631</v>
      </c>
      <c r="O1515" s="3">
        <f>(Table13[[#This Row],[Units_Sold]]*Table13[[#This Row],[Unit_Price_Cleaned]]*(1-Table13[[#This Row],[Discount Cleaned]]))</f>
        <v>507.6385999999996</v>
      </c>
      <c r="P1515" t="str">
        <f t="shared" si="119"/>
        <v>Profit</v>
      </c>
      <c r="Q1515" t="str" cm="1">
        <f t="array" ref="Q1515">IF(K1515="",INDEX($K$2:$K$2501,MATCH(MAX(COUNTIF($K$2:$K$2501,$K$2:$K$2501)),COUNTIF($K$2:$K$2501,$K$2:$K$2501),0)),K1515)</f>
        <v>B2C</v>
      </c>
    </row>
    <row r="1516" spans="1:17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 s="3">
        <f t="shared" si="115"/>
        <v>11140.351186440677</v>
      </c>
      <c r="I1516" s="1">
        <v>45794</v>
      </c>
      <c r="J1516" t="s">
        <v>56</v>
      </c>
      <c r="K1516" t="s">
        <v>23</v>
      </c>
      <c r="L1516" s="2">
        <f t="shared" si="116"/>
        <v>2785.0877966101693</v>
      </c>
      <c r="M1516" s="4">
        <f t="shared" si="117"/>
        <v>0.1</v>
      </c>
      <c r="N1516" s="1">
        <f t="shared" si="118"/>
        <v>45794</v>
      </c>
      <c r="O1516" s="3">
        <f>(Table13[[#This Row],[Units_Sold]]*Table13[[#This Row],[Unit_Price_Cleaned]]*(1-Table13[[#This Row],[Discount Cleaned]]))</f>
        <v>10026.31606779661</v>
      </c>
      <c r="P1516" t="str">
        <f t="shared" si="119"/>
        <v>Profit</v>
      </c>
      <c r="Q1516" t="str" cm="1">
        <f t="array" ref="Q1516">IF(K1516="",INDEX($K$2:$K$2501,MATCH(MAX(COUNTIF($K$2:$K$2501,$K$2:$K$2501)),COUNTIF($K$2:$K$2501,$K$2:$K$2501),0)),K1516)</f>
        <v>B2B</v>
      </c>
    </row>
    <row r="1517" spans="1:17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 s="3">
        <f t="shared" si="115"/>
        <v>8177.5671428571441</v>
      </c>
      <c r="J1517" t="s">
        <v>40</v>
      </c>
      <c r="L1517" s="2">
        <f t="shared" si="116"/>
        <v>2725.8557142857148</v>
      </c>
      <c r="M1517" s="4">
        <f t="shared" si="117"/>
        <v>0.6</v>
      </c>
      <c r="N1517" s="1">
        <f t="shared" si="118"/>
        <v>45782</v>
      </c>
      <c r="O1517" s="3">
        <f>(Table13[[#This Row],[Units_Sold]]*Table13[[#This Row],[Unit_Price_Cleaned]]*(1-Table13[[#This Row],[Discount Cleaned]]))</f>
        <v>3271.0268571428578</v>
      </c>
      <c r="P1517" t="str">
        <f t="shared" si="119"/>
        <v>Profit</v>
      </c>
      <c r="Q1517" t="str" cm="1">
        <f t="array" ref="Q1517">IF(K1517="",INDEX($K$2:$K$2501,MATCH(MAX(COUNTIF($K$2:$K$2501,$K$2:$K$2501)),COUNTIF($K$2:$K$2501,$K$2:$K$2501),0)),K1517)</f>
        <v>B2B</v>
      </c>
    </row>
    <row r="1518" spans="1:17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 s="3">
        <f t="shared" si="115"/>
        <v>1927.87</v>
      </c>
      <c r="I1518" s="1">
        <v>45825</v>
      </c>
      <c r="J1518" t="s">
        <v>15</v>
      </c>
      <c r="K1518" t="s">
        <v>23</v>
      </c>
      <c r="L1518" s="2">
        <f t="shared" si="116"/>
        <v>1927.87</v>
      </c>
      <c r="M1518" s="4">
        <f t="shared" si="117"/>
        <v>0.6</v>
      </c>
      <c r="N1518" s="1">
        <f t="shared" si="118"/>
        <v>45825</v>
      </c>
      <c r="O1518" s="3">
        <f>(Table13[[#This Row],[Units_Sold]]*Table13[[#This Row],[Unit_Price_Cleaned]]*(1-Table13[[#This Row],[Discount Cleaned]]))</f>
        <v>771.14800000000002</v>
      </c>
      <c r="P1518" t="str">
        <f t="shared" si="119"/>
        <v>Profit</v>
      </c>
      <c r="Q1518" t="str" cm="1">
        <f t="array" ref="Q1518">IF(K1518="",INDEX($K$2:$K$2501,MATCH(MAX(COUNTIF($K$2:$K$2501,$K$2:$K$2501)),COUNTIF($K$2:$K$2501,$K$2:$K$2501),0)),K1518)</f>
        <v>B2B</v>
      </c>
    </row>
    <row r="1519" spans="1:17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 s="3">
        <f t="shared" si="115"/>
        <v>5003.0619999999999</v>
      </c>
      <c r="I1519" s="1">
        <v>45641</v>
      </c>
      <c r="J1519" t="s">
        <v>46</v>
      </c>
      <c r="L1519" s="2">
        <f t="shared" si="116"/>
        <v>2501.5309999999999</v>
      </c>
      <c r="M1519" s="4">
        <f t="shared" si="117"/>
        <v>0.2</v>
      </c>
      <c r="N1519" s="1">
        <f t="shared" si="118"/>
        <v>45641</v>
      </c>
      <c r="O1519" s="3">
        <f>(Table13[[#This Row],[Units_Sold]]*Table13[[#This Row],[Unit_Price_Cleaned]]*(1-Table13[[#This Row],[Discount Cleaned]]))</f>
        <v>4002.4495999999999</v>
      </c>
      <c r="P1519" t="str">
        <f t="shared" si="119"/>
        <v>Profit</v>
      </c>
      <c r="Q1519" t="str" cm="1">
        <f t="array" ref="Q1519">IF(K1519="",INDEX($K$2:$K$2501,MATCH(MAX(COUNTIF($K$2:$K$2501,$K$2:$K$2501)),COUNTIF($K$2:$K$2501,$K$2:$K$2501),0)),K1519)</f>
        <v>B2B</v>
      </c>
    </row>
    <row r="1520" spans="1:17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 s="3">
        <f t="shared" si="115"/>
        <v>4639.68</v>
      </c>
      <c r="I1520" s="1">
        <v>45744</v>
      </c>
      <c r="J1520" t="s">
        <v>46</v>
      </c>
      <c r="L1520" s="2">
        <f t="shared" si="116"/>
        <v>773.28</v>
      </c>
      <c r="M1520" s="4">
        <f t="shared" si="117"/>
        <v>0.6</v>
      </c>
      <c r="N1520" s="1">
        <f t="shared" si="118"/>
        <v>45744</v>
      </c>
      <c r="O1520" s="3">
        <f>(Table13[[#This Row],[Units_Sold]]*Table13[[#This Row],[Unit_Price_Cleaned]]*(1-Table13[[#This Row],[Discount Cleaned]]))</f>
        <v>1855.8720000000003</v>
      </c>
      <c r="P1520" t="str">
        <f t="shared" si="119"/>
        <v>Profit</v>
      </c>
      <c r="Q1520" t="str" cm="1">
        <f t="array" ref="Q1520">IF(K1520="",INDEX($K$2:$K$2501,MATCH(MAX(COUNTIF($K$2:$K$2501,$K$2:$K$2501)),COUNTIF($K$2:$K$2501,$K$2:$K$2501),0)),K1520)</f>
        <v>B2B</v>
      </c>
    </row>
    <row r="1521" spans="1:17" x14ac:dyDescent="0.3">
      <c r="A1521">
        <v>2519</v>
      </c>
      <c r="B1521" t="s">
        <v>1555</v>
      </c>
      <c r="C1521" t="s">
        <v>38</v>
      </c>
      <c r="D1521" t="s">
        <v>59</v>
      </c>
      <c r="E1521">
        <v>2</v>
      </c>
      <c r="F1521">
        <v>3873.82</v>
      </c>
      <c r="G1521">
        <v>0.99</v>
      </c>
      <c r="H1521" s="3">
        <f t="shared" si="115"/>
        <v>7747.64</v>
      </c>
      <c r="I1521" s="1">
        <v>45549</v>
      </c>
      <c r="J1521" t="s">
        <v>15</v>
      </c>
      <c r="L1521" s="2">
        <f t="shared" si="116"/>
        <v>3873.82</v>
      </c>
      <c r="M1521" s="4">
        <f t="shared" si="117"/>
        <v>0.99</v>
      </c>
      <c r="N1521" s="1">
        <f t="shared" si="118"/>
        <v>45549</v>
      </c>
      <c r="O1521" s="3">
        <f>(Table13[[#This Row],[Units_Sold]]*Table13[[#This Row],[Unit_Price_Cleaned]]*(1-Table13[[#This Row],[Discount Cleaned]]))</f>
        <v>77.476400000000069</v>
      </c>
      <c r="P1521" t="str">
        <f t="shared" si="119"/>
        <v>Loss</v>
      </c>
      <c r="Q1521" t="str" cm="1">
        <f t="array" ref="Q1521">IF(K1521="",INDEX($K$2:$K$2501,MATCH(MAX(COUNTIF($K$2:$K$2501,$K$2:$K$2501)),COUNTIF($K$2:$K$2501,$K$2:$K$2501),0)),K1521)</f>
        <v>B2B</v>
      </c>
    </row>
    <row r="1522" spans="1:17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 s="3">
        <f t="shared" si="115"/>
        <v>2581.19</v>
      </c>
      <c r="I1522" s="1">
        <v>45418</v>
      </c>
      <c r="J1522" t="s">
        <v>56</v>
      </c>
      <c r="K1522" t="s">
        <v>23</v>
      </c>
      <c r="L1522" s="2">
        <f t="shared" si="116"/>
        <v>2581.19</v>
      </c>
      <c r="M1522" s="4">
        <f t="shared" si="117"/>
        <v>1.04</v>
      </c>
      <c r="N1522" s="1">
        <f t="shared" si="118"/>
        <v>45418</v>
      </c>
      <c r="O1522" s="3">
        <f>(Table13[[#This Row],[Units_Sold]]*Table13[[#This Row],[Unit_Price_Cleaned]]*(1-Table13[[#This Row],[Discount Cleaned]]))</f>
        <v>-103.24760000000009</v>
      </c>
      <c r="P1522" t="str">
        <f t="shared" si="119"/>
        <v>Loss</v>
      </c>
      <c r="Q1522" t="str" cm="1">
        <f t="array" ref="Q1522">IF(K1522="",INDEX($K$2:$K$2501,MATCH(MAX(COUNTIF($K$2:$K$2501,$K$2:$K$2501)),COUNTIF($K$2:$K$2501,$K$2:$K$2501),0)),K1522)</f>
        <v>B2B</v>
      </c>
    </row>
    <row r="1523" spans="1:17" x14ac:dyDescent="0.3">
      <c r="A1523">
        <v>2521</v>
      </c>
      <c r="B1523" t="s">
        <v>1557</v>
      </c>
      <c r="C1523" t="s">
        <v>38</v>
      </c>
      <c r="D1523" t="s">
        <v>63</v>
      </c>
      <c r="E1523">
        <v>2</v>
      </c>
      <c r="H1523" s="3">
        <f t="shared" si="115"/>
        <v>5690.4839344262318</v>
      </c>
      <c r="I1523" s="1">
        <v>45538</v>
      </c>
      <c r="J1523" t="s">
        <v>22</v>
      </c>
      <c r="K1523" t="s">
        <v>16</v>
      </c>
      <c r="L1523" s="2">
        <f t="shared" si="116"/>
        <v>2845.2419672131159</v>
      </c>
      <c r="M1523" s="4">
        <f t="shared" si="117"/>
        <v>0.6</v>
      </c>
      <c r="N1523" s="1">
        <f t="shared" si="118"/>
        <v>45538</v>
      </c>
      <c r="O1523" s="3">
        <f>(Table13[[#This Row],[Units_Sold]]*Table13[[#This Row],[Unit_Price_Cleaned]]*(1-Table13[[#This Row],[Discount Cleaned]]))</f>
        <v>2276.193573770493</v>
      </c>
      <c r="P1523" t="str">
        <f t="shared" si="119"/>
        <v>Profit</v>
      </c>
      <c r="Q1523" t="str" cm="1">
        <f t="array" ref="Q1523">IF(K1523="",INDEX($K$2:$K$2501,MATCH(MAX(COUNTIF($K$2:$K$2501,$K$2:$K$2501)),COUNTIF($K$2:$K$2501,$K$2:$K$2501),0)),K1523)</f>
        <v>B2C</v>
      </c>
    </row>
    <row r="1524" spans="1:17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 s="3">
        <f t="shared" si="115"/>
        <v>11388.08</v>
      </c>
      <c r="I1524" s="1">
        <v>45171</v>
      </c>
      <c r="J1524" t="s">
        <v>46</v>
      </c>
      <c r="L1524" s="2">
        <f t="shared" si="116"/>
        <v>2847.02</v>
      </c>
      <c r="M1524" s="4">
        <f t="shared" si="117"/>
        <v>0.56999999999999995</v>
      </c>
      <c r="N1524" s="1">
        <f t="shared" si="118"/>
        <v>45171</v>
      </c>
      <c r="O1524" s="3">
        <f>(Table13[[#This Row],[Units_Sold]]*Table13[[#This Row],[Unit_Price_Cleaned]]*(1-Table13[[#This Row],[Discount Cleaned]]))</f>
        <v>4896.8744000000006</v>
      </c>
      <c r="P1524" t="str">
        <f t="shared" si="119"/>
        <v>Profit</v>
      </c>
      <c r="Q1524" t="str" cm="1">
        <f t="array" ref="Q1524">IF(K1524="",INDEX($K$2:$K$2501,MATCH(MAX(COUNTIF($K$2:$K$2501,$K$2:$K$2501)),COUNTIF($K$2:$K$2501,$K$2:$K$2501),0)),K1524)</f>
        <v>B2B</v>
      </c>
    </row>
    <row r="1525" spans="1:17" x14ac:dyDescent="0.3">
      <c r="A1525">
        <v>2523</v>
      </c>
      <c r="B1525" t="s">
        <v>1559</v>
      </c>
      <c r="C1525" t="s">
        <v>29</v>
      </c>
      <c r="D1525" t="s">
        <v>141</v>
      </c>
      <c r="E1525">
        <v>2</v>
      </c>
      <c r="F1525">
        <v>2840.78</v>
      </c>
      <c r="H1525" s="3">
        <f t="shared" si="115"/>
        <v>5681.56</v>
      </c>
      <c r="I1525" s="1">
        <v>45565</v>
      </c>
      <c r="J1525" t="s">
        <v>46</v>
      </c>
      <c r="L1525" s="2">
        <f t="shared" si="116"/>
        <v>2840.78</v>
      </c>
      <c r="M1525" s="4">
        <f t="shared" si="117"/>
        <v>0.6</v>
      </c>
      <c r="N1525" s="1">
        <f t="shared" si="118"/>
        <v>45565</v>
      </c>
      <c r="O1525" s="3">
        <f>(Table13[[#This Row],[Units_Sold]]*Table13[[#This Row],[Unit_Price_Cleaned]]*(1-Table13[[#This Row],[Discount Cleaned]]))</f>
        <v>2272.6240000000003</v>
      </c>
      <c r="P1525" t="str">
        <f t="shared" si="119"/>
        <v>Profit</v>
      </c>
      <c r="Q1525" t="str" cm="1">
        <f t="array" ref="Q1525">IF(K1525="",INDEX($K$2:$K$2501,MATCH(MAX(COUNTIF($K$2:$K$2501,$K$2:$K$2501)),COUNTIF($K$2:$K$2501,$K$2:$K$2501),0)),K1525)</f>
        <v>B2B</v>
      </c>
    </row>
    <row r="1526" spans="1:17" x14ac:dyDescent="0.3">
      <c r="A1526">
        <v>2524</v>
      </c>
      <c r="B1526" t="s">
        <v>1560</v>
      </c>
      <c r="C1526" t="s">
        <v>33</v>
      </c>
      <c r="D1526" t="s">
        <v>44</v>
      </c>
      <c r="E1526">
        <v>2</v>
      </c>
      <c r="F1526">
        <v>3539.22</v>
      </c>
      <c r="H1526" s="3">
        <f t="shared" si="115"/>
        <v>7078.44</v>
      </c>
      <c r="I1526" s="1">
        <v>45540</v>
      </c>
      <c r="J1526" t="s">
        <v>40</v>
      </c>
      <c r="L1526" s="2">
        <f t="shared" si="116"/>
        <v>3539.22</v>
      </c>
      <c r="M1526" s="4">
        <f t="shared" si="117"/>
        <v>0.6</v>
      </c>
      <c r="N1526" s="1">
        <f t="shared" si="118"/>
        <v>45540</v>
      </c>
      <c r="O1526" s="3">
        <f>(Table13[[#This Row],[Units_Sold]]*Table13[[#This Row],[Unit_Price_Cleaned]]*(1-Table13[[#This Row],[Discount Cleaned]]))</f>
        <v>2831.3760000000002</v>
      </c>
      <c r="P1526" t="str">
        <f t="shared" si="119"/>
        <v>Profit</v>
      </c>
      <c r="Q1526" t="str" cm="1">
        <f t="array" ref="Q1526">IF(K1526="",INDEX($K$2:$K$2501,MATCH(MAX(COUNTIF($K$2:$K$2501,$K$2:$K$2501)),COUNTIF($K$2:$K$2501,$K$2:$K$2501),0)),K1526)</f>
        <v>B2B</v>
      </c>
    </row>
    <row r="1527" spans="1:17" x14ac:dyDescent="0.3">
      <c r="A1527">
        <v>2525</v>
      </c>
      <c r="B1527" t="s">
        <v>1561</v>
      </c>
      <c r="C1527" t="s">
        <v>20</v>
      </c>
      <c r="D1527" t="s">
        <v>21</v>
      </c>
      <c r="E1527">
        <v>2</v>
      </c>
      <c r="F1527">
        <v>3046.11</v>
      </c>
      <c r="H1527" s="3">
        <f t="shared" si="115"/>
        <v>6092.22</v>
      </c>
      <c r="I1527" s="1">
        <v>45776</v>
      </c>
      <c r="J1527" t="s">
        <v>40</v>
      </c>
      <c r="L1527" s="2">
        <f t="shared" si="116"/>
        <v>3046.11</v>
      </c>
      <c r="M1527" s="4">
        <f t="shared" si="117"/>
        <v>0.6</v>
      </c>
      <c r="N1527" s="1">
        <f t="shared" si="118"/>
        <v>45776</v>
      </c>
      <c r="O1527" s="3">
        <f>(Table13[[#This Row],[Units_Sold]]*Table13[[#This Row],[Unit_Price_Cleaned]]*(1-Table13[[#This Row],[Discount Cleaned]]))</f>
        <v>2436.8880000000004</v>
      </c>
      <c r="P1527" t="str">
        <f t="shared" si="119"/>
        <v>Profit</v>
      </c>
      <c r="Q1527" t="str" cm="1">
        <f t="array" ref="Q1527">IF(K1527="",INDEX($K$2:$K$2501,MATCH(MAX(COUNTIF($K$2:$K$2501,$K$2:$K$2501)),COUNTIF($K$2:$K$2501,$K$2:$K$2501),0)),K1527)</f>
        <v>B2B</v>
      </c>
    </row>
    <row r="1528" spans="1:17" x14ac:dyDescent="0.3">
      <c r="A1528">
        <v>2526</v>
      </c>
      <c r="B1528" t="s">
        <v>1562</v>
      </c>
      <c r="C1528" t="s">
        <v>29</v>
      </c>
      <c r="D1528" t="s">
        <v>30</v>
      </c>
      <c r="E1528">
        <v>2</v>
      </c>
      <c r="G1528">
        <v>0.94</v>
      </c>
      <c r="H1528" s="3">
        <f t="shared" si="115"/>
        <v>5235.2780769230776</v>
      </c>
      <c r="J1528" t="s">
        <v>22</v>
      </c>
      <c r="K1528" t="s">
        <v>23</v>
      </c>
      <c r="L1528" s="2">
        <f t="shared" si="116"/>
        <v>2617.6390384615388</v>
      </c>
      <c r="M1528" s="4">
        <f t="shared" si="117"/>
        <v>0.94</v>
      </c>
      <c r="N1528" s="1">
        <f t="shared" si="118"/>
        <v>45782</v>
      </c>
      <c r="O1528" s="3">
        <f>(Table13[[#This Row],[Units_Sold]]*Table13[[#This Row],[Unit_Price_Cleaned]]*(1-Table13[[#This Row],[Discount Cleaned]]))</f>
        <v>314.11668461538494</v>
      </c>
      <c r="P1528" t="str">
        <f t="shared" si="119"/>
        <v>Loss</v>
      </c>
      <c r="Q1528" t="str" cm="1">
        <f t="array" ref="Q1528">IF(K1528="",INDEX($K$2:$K$2501,MATCH(MAX(COUNTIF($K$2:$K$2501,$K$2:$K$2501)),COUNTIF($K$2:$K$2501,$K$2:$K$2501),0)),K1528)</f>
        <v>B2B</v>
      </c>
    </row>
    <row r="1529" spans="1:17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 s="3">
        <f t="shared" si="115"/>
        <v>-4057.33</v>
      </c>
      <c r="J1529" t="s">
        <v>40</v>
      </c>
      <c r="K1529" t="s">
        <v>16</v>
      </c>
      <c r="L1529" s="2">
        <f t="shared" si="116"/>
        <v>4057.33</v>
      </c>
      <c r="M1529" s="4">
        <f t="shared" si="117"/>
        <v>1.22</v>
      </c>
      <c r="N1529" s="1">
        <f t="shared" si="118"/>
        <v>45782</v>
      </c>
      <c r="O1529" s="3">
        <f>(Table13[[#This Row],[Units_Sold]]*Table13[[#This Row],[Unit_Price_Cleaned]]*(1-Table13[[#This Row],[Discount Cleaned]]))</f>
        <v>892.61259999999993</v>
      </c>
      <c r="P1529" t="str">
        <f t="shared" si="119"/>
        <v>Profit</v>
      </c>
      <c r="Q1529" t="str" cm="1">
        <f t="array" ref="Q1529">IF(K1529="",INDEX($K$2:$K$2501,MATCH(MAX(COUNTIF($K$2:$K$2501,$K$2:$K$2501)),COUNTIF($K$2:$K$2501,$K$2:$K$2501),0)),K1529)</f>
        <v>B2C</v>
      </c>
    </row>
    <row r="1530" spans="1:17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 s="3">
        <f t="shared" si="115"/>
        <v>-2530.3836538461546</v>
      </c>
      <c r="I1530" s="1">
        <v>45816</v>
      </c>
      <c r="J1530" t="s">
        <v>15</v>
      </c>
      <c r="L1530" s="2">
        <f t="shared" si="116"/>
        <v>2530.3836538461546</v>
      </c>
      <c r="M1530" s="4">
        <f t="shared" si="117"/>
        <v>0.02</v>
      </c>
      <c r="N1530" s="1">
        <f t="shared" si="118"/>
        <v>45816</v>
      </c>
      <c r="O1530" s="3">
        <f>(Table13[[#This Row],[Units_Sold]]*Table13[[#This Row],[Unit_Price_Cleaned]]*(1-Table13[[#This Row],[Discount Cleaned]]))</f>
        <v>-2479.7759807692314</v>
      </c>
      <c r="P1530" t="str">
        <f t="shared" si="119"/>
        <v>Loss</v>
      </c>
      <c r="Q1530" t="str" cm="1">
        <f t="array" ref="Q1530">IF(K1530="",INDEX($K$2:$K$2501,MATCH(MAX(COUNTIF($K$2:$K$2501,$K$2:$K$2501)),COUNTIF($K$2:$K$2501,$K$2:$K$2501),0)),K1530)</f>
        <v>B2B</v>
      </c>
    </row>
    <row r="1531" spans="1:17" x14ac:dyDescent="0.3">
      <c r="A1531">
        <v>2529</v>
      </c>
      <c r="B1531" t="s">
        <v>1565</v>
      </c>
      <c r="C1531" t="s">
        <v>33</v>
      </c>
      <c r="D1531" t="s">
        <v>34</v>
      </c>
      <c r="E1531">
        <v>2</v>
      </c>
      <c r="F1531">
        <v>419.25</v>
      </c>
      <c r="H1531" s="3">
        <f t="shared" si="115"/>
        <v>838.5</v>
      </c>
      <c r="J1531" t="s">
        <v>22</v>
      </c>
      <c r="K1531" t="s">
        <v>23</v>
      </c>
      <c r="L1531" s="2">
        <f t="shared" si="116"/>
        <v>419.25</v>
      </c>
      <c r="M1531" s="4">
        <f t="shared" si="117"/>
        <v>0.6</v>
      </c>
      <c r="N1531" s="1">
        <f t="shared" si="118"/>
        <v>45782</v>
      </c>
      <c r="O1531" s="3">
        <f>(Table13[[#This Row],[Units_Sold]]*Table13[[#This Row],[Unit_Price_Cleaned]]*(1-Table13[[#This Row],[Discount Cleaned]]))</f>
        <v>335.40000000000003</v>
      </c>
      <c r="P1531" t="str">
        <f t="shared" si="119"/>
        <v>Loss</v>
      </c>
      <c r="Q1531" t="str" cm="1">
        <f t="array" ref="Q1531">IF(K1531="",INDEX($K$2:$K$2501,MATCH(MAX(COUNTIF($K$2:$K$2501,$K$2:$K$2501)),COUNTIF($K$2:$K$2501,$K$2:$K$2501),0)),K1531)</f>
        <v>B2B</v>
      </c>
    </row>
    <row r="1532" spans="1:17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 s="3">
        <f t="shared" si="115"/>
        <v>0</v>
      </c>
      <c r="I1532" s="1">
        <v>45653</v>
      </c>
      <c r="J1532" t="s">
        <v>18</v>
      </c>
      <c r="L1532" s="2">
        <f t="shared" si="116"/>
        <v>2841.7630612244907</v>
      </c>
      <c r="M1532" s="4">
        <f t="shared" si="117"/>
        <v>0.6</v>
      </c>
      <c r="N1532" s="1">
        <f t="shared" si="118"/>
        <v>45653</v>
      </c>
      <c r="O1532" s="3">
        <f>(Table13[[#This Row],[Units_Sold]]*Table13[[#This Row],[Unit_Price_Cleaned]]*(1-Table13[[#This Row],[Discount Cleaned]]))</f>
        <v>0</v>
      </c>
      <c r="P1532" t="str">
        <f t="shared" si="119"/>
        <v>Loss</v>
      </c>
      <c r="Q1532" t="str" cm="1">
        <f t="array" ref="Q1532">IF(K1532="",INDEX($K$2:$K$2501,MATCH(MAX(COUNTIF($K$2:$K$2501,$K$2:$K$2501)),COUNTIF($K$2:$K$2501,$K$2:$K$2501),0)),K1532)</f>
        <v>B2B</v>
      </c>
    </row>
    <row r="1533" spans="1:17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 s="3">
        <f t="shared" si="115"/>
        <v>1632.66</v>
      </c>
      <c r="I1533" s="1">
        <v>45638</v>
      </c>
      <c r="J1533" t="s">
        <v>22</v>
      </c>
      <c r="K1533" t="s">
        <v>16</v>
      </c>
      <c r="L1533" s="2">
        <f t="shared" si="116"/>
        <v>816.33</v>
      </c>
      <c r="M1533" s="4">
        <f t="shared" si="117"/>
        <v>0.6</v>
      </c>
      <c r="N1533" s="1">
        <f t="shared" si="118"/>
        <v>45638</v>
      </c>
      <c r="O1533" s="3">
        <f>(Table13[[#This Row],[Units_Sold]]*Table13[[#This Row],[Unit_Price_Cleaned]]*(1-Table13[[#This Row],[Discount Cleaned]]))</f>
        <v>653.06400000000008</v>
      </c>
      <c r="P1533" t="str">
        <f t="shared" si="119"/>
        <v>Profit</v>
      </c>
      <c r="Q1533" t="str" cm="1">
        <f t="array" ref="Q1533">IF(K1533="",INDEX($K$2:$K$2501,MATCH(MAX(COUNTIF($K$2:$K$2501,$K$2:$K$2501)),COUNTIF($K$2:$K$2501,$K$2:$K$2501),0)),K1533)</f>
        <v>B2C</v>
      </c>
    </row>
    <row r="1534" spans="1:17" x14ac:dyDescent="0.3">
      <c r="A1534">
        <v>2532</v>
      </c>
      <c r="B1534" t="s">
        <v>1568</v>
      </c>
      <c r="C1534" t="s">
        <v>25</v>
      </c>
      <c r="D1534" t="s">
        <v>54</v>
      </c>
      <c r="E1534">
        <v>2</v>
      </c>
      <c r="F1534">
        <v>1863.19</v>
      </c>
      <c r="G1534">
        <v>0.01</v>
      </c>
      <c r="H1534" s="3">
        <f t="shared" si="115"/>
        <v>3726.38</v>
      </c>
      <c r="J1534" t="s">
        <v>22</v>
      </c>
      <c r="K1534" t="s">
        <v>23</v>
      </c>
      <c r="L1534" s="2">
        <f t="shared" si="116"/>
        <v>1863.19</v>
      </c>
      <c r="M1534" s="4">
        <f t="shared" si="117"/>
        <v>0.01</v>
      </c>
      <c r="N1534" s="1">
        <f t="shared" si="118"/>
        <v>45782</v>
      </c>
      <c r="O1534" s="3">
        <f>(Table13[[#This Row],[Units_Sold]]*Table13[[#This Row],[Unit_Price_Cleaned]]*(1-Table13[[#This Row],[Discount Cleaned]]))</f>
        <v>3689.1161999999999</v>
      </c>
      <c r="P1534" t="str">
        <f t="shared" si="119"/>
        <v>Profit</v>
      </c>
      <c r="Q1534" t="str" cm="1">
        <f t="array" ref="Q1534">IF(K1534="",INDEX($K$2:$K$2501,MATCH(MAX(COUNTIF($K$2:$K$2501,$K$2:$K$2501)),COUNTIF($K$2:$K$2501,$K$2:$K$2501),0)),K1534)</f>
        <v>B2B</v>
      </c>
    </row>
    <row r="1535" spans="1:17" x14ac:dyDescent="0.3">
      <c r="A1535">
        <v>2533</v>
      </c>
      <c r="B1535" t="s">
        <v>1569</v>
      </c>
      <c r="C1535" t="s">
        <v>38</v>
      </c>
      <c r="D1535" t="s">
        <v>59</v>
      </c>
      <c r="E1535">
        <v>2</v>
      </c>
      <c r="F1535">
        <v>3960.8</v>
      </c>
      <c r="G1535">
        <v>0.03</v>
      </c>
      <c r="H1535" s="3">
        <f t="shared" si="115"/>
        <v>7921.6</v>
      </c>
      <c r="I1535" s="1">
        <v>45666</v>
      </c>
      <c r="J1535" t="s">
        <v>22</v>
      </c>
      <c r="L1535" s="2">
        <f t="shared" si="116"/>
        <v>3960.8</v>
      </c>
      <c r="M1535" s="4">
        <f t="shared" si="117"/>
        <v>0.03</v>
      </c>
      <c r="N1535" s="1">
        <f t="shared" si="118"/>
        <v>45666</v>
      </c>
      <c r="O1535" s="3">
        <f>(Table13[[#This Row],[Units_Sold]]*Table13[[#This Row],[Unit_Price_Cleaned]]*(1-Table13[[#This Row],[Discount Cleaned]]))</f>
        <v>7683.9520000000002</v>
      </c>
      <c r="P1535" t="str">
        <f t="shared" si="119"/>
        <v>Profit</v>
      </c>
      <c r="Q1535" t="str" cm="1">
        <f t="array" ref="Q1535">IF(K1535="",INDEX($K$2:$K$2501,MATCH(MAX(COUNTIF($K$2:$K$2501,$K$2:$K$2501)),COUNTIF($K$2:$K$2501,$K$2:$K$2501),0)),K1535)</f>
        <v>B2B</v>
      </c>
    </row>
    <row r="1536" spans="1:17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 s="3">
        <f t="shared" si="115"/>
        <v>2749.36</v>
      </c>
      <c r="I1536" s="1">
        <v>45671</v>
      </c>
      <c r="J1536" t="s">
        <v>15</v>
      </c>
      <c r="K1536" t="s">
        <v>23</v>
      </c>
      <c r="L1536" s="2">
        <f t="shared" si="116"/>
        <v>687.34</v>
      </c>
      <c r="M1536" s="4">
        <f t="shared" si="117"/>
        <v>1.21</v>
      </c>
      <c r="N1536" s="1">
        <f t="shared" si="118"/>
        <v>45671</v>
      </c>
      <c r="O1536" s="3">
        <f>(Table13[[#This Row],[Units_Sold]]*Table13[[#This Row],[Unit_Price_Cleaned]]*(1-Table13[[#This Row],[Discount Cleaned]]))</f>
        <v>-577.36559999999997</v>
      </c>
      <c r="P1536" t="str">
        <f t="shared" si="119"/>
        <v>Loss</v>
      </c>
      <c r="Q1536" t="str" cm="1">
        <f t="array" ref="Q1536">IF(K1536="",INDEX($K$2:$K$2501,MATCH(MAX(COUNTIF($K$2:$K$2501,$K$2:$K$2501)),COUNTIF($K$2:$K$2501,$K$2:$K$2501),0)),K1536)</f>
        <v>B2B</v>
      </c>
    </row>
    <row r="1537" spans="1:17" x14ac:dyDescent="0.3">
      <c r="A1537">
        <v>2535</v>
      </c>
      <c r="B1537" t="s">
        <v>1571</v>
      </c>
      <c r="C1537" t="s">
        <v>29</v>
      </c>
      <c r="D1537" t="s">
        <v>30</v>
      </c>
      <c r="E1537">
        <v>2</v>
      </c>
      <c r="H1537" s="3">
        <f t="shared" si="115"/>
        <v>5235.2780769230776</v>
      </c>
      <c r="I1537" s="1">
        <v>45543</v>
      </c>
      <c r="J1537" t="s">
        <v>15</v>
      </c>
      <c r="K1537" t="s">
        <v>16</v>
      </c>
      <c r="L1537" s="2">
        <f t="shared" si="116"/>
        <v>2617.6390384615388</v>
      </c>
      <c r="M1537" s="4">
        <f t="shared" si="117"/>
        <v>0.6</v>
      </c>
      <c r="N1537" s="1">
        <f t="shared" si="118"/>
        <v>45543</v>
      </c>
      <c r="O1537" s="3">
        <f>(Table13[[#This Row],[Units_Sold]]*Table13[[#This Row],[Unit_Price_Cleaned]]*(1-Table13[[#This Row],[Discount Cleaned]]))</f>
        <v>2094.111230769231</v>
      </c>
      <c r="P1537" t="str">
        <f t="shared" si="119"/>
        <v>Profit</v>
      </c>
      <c r="Q1537" t="str" cm="1">
        <f t="array" ref="Q1537">IF(K1537="",INDEX($K$2:$K$2501,MATCH(MAX(COUNTIF($K$2:$K$2501,$K$2:$K$2501)),COUNTIF($K$2:$K$2501,$K$2:$K$2501),0)),K1537)</f>
        <v>B2C</v>
      </c>
    </row>
    <row r="1538" spans="1:17" x14ac:dyDescent="0.3">
      <c r="A1538">
        <v>2536</v>
      </c>
      <c r="B1538" t="s">
        <v>1572</v>
      </c>
      <c r="C1538" t="s">
        <v>13</v>
      </c>
      <c r="D1538" t="s">
        <v>14</v>
      </c>
      <c r="E1538">
        <v>2</v>
      </c>
      <c r="H1538" s="3">
        <f t="shared" ref="H1538:H1601" si="120">(L1538*E1538)</f>
        <v>4762.5355172413792</v>
      </c>
      <c r="J1538" t="s">
        <v>22</v>
      </c>
      <c r="K1538" t="s">
        <v>16</v>
      </c>
      <c r="L1538" s="2">
        <f t="shared" ref="L1538:L1601" si="121">IF(F1538="",AVERAGEIF($D$2:$D$2501,D1538,$F$2:$F$2501),F1538)</f>
        <v>2381.2677586206896</v>
      </c>
      <c r="M1538" s="4">
        <f t="shared" ref="M1538:M1601" si="122">IF(G1538="",MEDIAN($G$2,$G$2501),G1538)</f>
        <v>0.6</v>
      </c>
      <c r="N1538" s="1">
        <f t="shared" ref="N1538:N1601" si="123">IF(I1538="",MODE($I$32:$I$2501),I1538)</f>
        <v>45782</v>
      </c>
      <c r="O1538" s="3">
        <f>(Table13[[#This Row],[Units_Sold]]*Table13[[#This Row],[Unit_Price_Cleaned]]*(1-Table13[[#This Row],[Discount Cleaned]]))</f>
        <v>1905.0142068965517</v>
      </c>
      <c r="P1538" t="str">
        <f t="shared" ref="P1538:P1601" si="124">IF(O1538&gt;500,"Profit","Loss")</f>
        <v>Profit</v>
      </c>
      <c r="Q1538" t="str" cm="1">
        <f t="array" ref="Q1538">IF(K1538="",INDEX($K$2:$K$2501,MATCH(MAX(COUNTIF($K$2:$K$2501,$K$2:$K$2501)),COUNTIF($K$2:$K$2501,$K$2:$K$2501),0)),K1538)</f>
        <v>B2C</v>
      </c>
    </row>
    <row r="1539" spans="1:17" x14ac:dyDescent="0.3">
      <c r="A1539">
        <v>2537</v>
      </c>
      <c r="B1539" t="s">
        <v>1573</v>
      </c>
      <c r="C1539" t="s">
        <v>25</v>
      </c>
      <c r="D1539" t="s">
        <v>54</v>
      </c>
      <c r="E1539">
        <v>2</v>
      </c>
      <c r="F1539">
        <v>3449.08</v>
      </c>
      <c r="G1539">
        <v>1.0900000000000001</v>
      </c>
      <c r="H1539" s="3">
        <f t="shared" si="120"/>
        <v>6898.16</v>
      </c>
      <c r="I1539" s="1">
        <v>45359</v>
      </c>
      <c r="J1539" t="s">
        <v>40</v>
      </c>
      <c r="K1539" t="s">
        <v>16</v>
      </c>
      <c r="L1539" s="2">
        <f t="shared" si="121"/>
        <v>3449.08</v>
      </c>
      <c r="M1539" s="4">
        <f t="shared" si="122"/>
        <v>1.0900000000000001</v>
      </c>
      <c r="N1539" s="1">
        <f t="shared" si="123"/>
        <v>45359</v>
      </c>
      <c r="O1539" s="3">
        <f>(Table13[[#This Row],[Units_Sold]]*Table13[[#This Row],[Unit_Price_Cleaned]]*(1-Table13[[#This Row],[Discount Cleaned]]))</f>
        <v>-620.83440000000053</v>
      </c>
      <c r="P1539" t="str">
        <f t="shared" si="124"/>
        <v>Loss</v>
      </c>
      <c r="Q1539" t="str" cm="1">
        <f t="array" ref="Q1539">IF(K1539="",INDEX($K$2:$K$2501,MATCH(MAX(COUNTIF($K$2:$K$2501,$K$2:$K$2501)),COUNTIF($K$2:$K$2501,$K$2:$K$2501),0)),K1539)</f>
        <v>B2C</v>
      </c>
    </row>
    <row r="1540" spans="1:17" x14ac:dyDescent="0.3">
      <c r="A1540">
        <v>2538</v>
      </c>
      <c r="B1540" t="s">
        <v>1574</v>
      </c>
      <c r="C1540" t="s">
        <v>38</v>
      </c>
      <c r="D1540" t="s">
        <v>39</v>
      </c>
      <c r="E1540">
        <v>2</v>
      </c>
      <c r="H1540" s="3">
        <f t="shared" si="120"/>
        <v>6016.7688888888888</v>
      </c>
      <c r="I1540" s="1">
        <v>45816</v>
      </c>
      <c r="J1540" t="s">
        <v>56</v>
      </c>
      <c r="K1540" t="s">
        <v>16</v>
      </c>
      <c r="L1540" s="2">
        <f t="shared" si="121"/>
        <v>3008.3844444444444</v>
      </c>
      <c r="M1540" s="4">
        <f t="shared" si="122"/>
        <v>0.6</v>
      </c>
      <c r="N1540" s="1">
        <f t="shared" si="123"/>
        <v>45816</v>
      </c>
      <c r="O1540" s="3">
        <f>(Table13[[#This Row],[Units_Sold]]*Table13[[#This Row],[Unit_Price_Cleaned]]*(1-Table13[[#This Row],[Discount Cleaned]]))</f>
        <v>2406.7075555555557</v>
      </c>
      <c r="P1540" t="str">
        <f t="shared" si="124"/>
        <v>Profit</v>
      </c>
      <c r="Q1540" t="str" cm="1">
        <f t="array" ref="Q1540">IF(K1540="",INDEX($K$2:$K$2501,MATCH(MAX(COUNTIF($K$2:$K$2501,$K$2:$K$2501)),COUNTIF($K$2:$K$2501,$K$2:$K$2501),0)),K1540)</f>
        <v>B2C</v>
      </c>
    </row>
    <row r="1541" spans="1:17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 s="3">
        <f t="shared" si="120"/>
        <v>9934.3376000000007</v>
      </c>
      <c r="J1541" t="s">
        <v>22</v>
      </c>
      <c r="K1541" t="s">
        <v>23</v>
      </c>
      <c r="L1541" s="2">
        <f t="shared" si="121"/>
        <v>2483.5844000000002</v>
      </c>
      <c r="M1541" s="4">
        <f t="shared" si="122"/>
        <v>0.6</v>
      </c>
      <c r="N1541" s="1">
        <f t="shared" si="123"/>
        <v>45782</v>
      </c>
      <c r="O1541" s="3">
        <f>(Table13[[#This Row],[Units_Sold]]*Table13[[#This Row],[Unit_Price_Cleaned]]*(1-Table13[[#This Row],[Discount Cleaned]]))</f>
        <v>3973.7350400000005</v>
      </c>
      <c r="P1541" t="str">
        <f t="shared" si="124"/>
        <v>Profit</v>
      </c>
      <c r="Q1541" t="str" cm="1">
        <f t="array" ref="Q1541">IF(K1541="",INDEX($K$2:$K$2501,MATCH(MAX(COUNTIF($K$2:$K$2501,$K$2:$K$2501)),COUNTIF($K$2:$K$2501,$K$2:$K$2501),0)),K1541)</f>
        <v>B2B</v>
      </c>
    </row>
    <row r="1542" spans="1:17" x14ac:dyDescent="0.3">
      <c r="A1542">
        <v>2540</v>
      </c>
      <c r="B1542" t="s">
        <v>1576</v>
      </c>
      <c r="C1542" t="s">
        <v>13</v>
      </c>
      <c r="D1542" t="s">
        <v>14</v>
      </c>
      <c r="E1542">
        <v>2</v>
      </c>
      <c r="F1542">
        <v>799.82</v>
      </c>
      <c r="H1542" s="3">
        <f t="shared" si="120"/>
        <v>1599.64</v>
      </c>
      <c r="I1542" s="1">
        <v>45813</v>
      </c>
      <c r="J1542" t="s">
        <v>56</v>
      </c>
      <c r="K1542" t="s">
        <v>16</v>
      </c>
      <c r="L1542" s="2">
        <f t="shared" si="121"/>
        <v>799.82</v>
      </c>
      <c r="M1542" s="4">
        <f t="shared" si="122"/>
        <v>0.6</v>
      </c>
      <c r="N1542" s="1">
        <f t="shared" si="123"/>
        <v>45813</v>
      </c>
      <c r="O1542" s="3">
        <f>(Table13[[#This Row],[Units_Sold]]*Table13[[#This Row],[Unit_Price_Cleaned]]*(1-Table13[[#This Row],[Discount Cleaned]]))</f>
        <v>639.85600000000011</v>
      </c>
      <c r="P1542" t="str">
        <f t="shared" si="124"/>
        <v>Profit</v>
      </c>
      <c r="Q1542" t="str" cm="1">
        <f t="array" ref="Q1542">IF(K1542="",INDEX($K$2:$K$2501,MATCH(MAX(COUNTIF($K$2:$K$2501,$K$2:$K$2501)),COUNTIF($K$2:$K$2501,$K$2:$K$2501),0)),K1542)</f>
        <v>B2C</v>
      </c>
    </row>
    <row r="1543" spans="1:17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 s="3">
        <f t="shared" si="120"/>
        <v>7728.9170689655148</v>
      </c>
      <c r="I1543" s="1">
        <v>45574</v>
      </c>
      <c r="J1543" t="s">
        <v>15</v>
      </c>
      <c r="K1543" t="s">
        <v>23</v>
      </c>
      <c r="L1543" s="2">
        <f t="shared" si="121"/>
        <v>2576.3056896551716</v>
      </c>
      <c r="M1543" s="4">
        <f t="shared" si="122"/>
        <v>0.6</v>
      </c>
      <c r="N1543" s="1">
        <f t="shared" si="123"/>
        <v>45574</v>
      </c>
      <c r="O1543" s="3">
        <f>(Table13[[#This Row],[Units_Sold]]*Table13[[#This Row],[Unit_Price_Cleaned]]*(1-Table13[[#This Row],[Discount Cleaned]]))</f>
        <v>3091.5668275862063</v>
      </c>
      <c r="P1543" t="str">
        <f t="shared" si="124"/>
        <v>Profit</v>
      </c>
      <c r="Q1543" t="str" cm="1">
        <f t="array" ref="Q1543">IF(K1543="",INDEX($K$2:$K$2501,MATCH(MAX(COUNTIF($K$2:$K$2501,$K$2:$K$2501)),COUNTIF($K$2:$K$2501,$K$2:$K$2501),0)),K1543)</f>
        <v>B2B</v>
      </c>
    </row>
    <row r="1544" spans="1:17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 s="3">
        <f t="shared" si="120"/>
        <v>7450.753200000001</v>
      </c>
      <c r="I1544" s="1">
        <v>45722</v>
      </c>
      <c r="J1544" t="s">
        <v>40</v>
      </c>
      <c r="L1544" s="2">
        <f t="shared" si="121"/>
        <v>2483.5844000000002</v>
      </c>
      <c r="M1544" s="4">
        <f t="shared" si="122"/>
        <v>0.42</v>
      </c>
      <c r="N1544" s="1">
        <f t="shared" si="123"/>
        <v>45722</v>
      </c>
      <c r="O1544" s="3">
        <f>(Table13[[#This Row],[Units_Sold]]*Table13[[#This Row],[Unit_Price_Cleaned]]*(1-Table13[[#This Row],[Discount Cleaned]]))</f>
        <v>4321.4368560000012</v>
      </c>
      <c r="P1544" t="str">
        <f t="shared" si="124"/>
        <v>Profit</v>
      </c>
      <c r="Q1544" t="str" cm="1">
        <f t="array" ref="Q1544">IF(K1544="",INDEX($K$2:$K$2501,MATCH(MAX(COUNTIF($K$2:$K$2501,$K$2:$K$2501)),COUNTIF($K$2:$K$2501,$K$2:$K$2501),0)),K1544)</f>
        <v>B2B</v>
      </c>
    </row>
    <row r="1545" spans="1:17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 s="3">
        <f t="shared" si="120"/>
        <v>14007.6</v>
      </c>
      <c r="I1545" s="1">
        <v>45221</v>
      </c>
      <c r="J1545" t="s">
        <v>56</v>
      </c>
      <c r="L1545" s="2">
        <f t="shared" si="121"/>
        <v>3501.9</v>
      </c>
      <c r="M1545" s="4">
        <f t="shared" si="122"/>
        <v>0.6</v>
      </c>
      <c r="N1545" s="1">
        <f t="shared" si="123"/>
        <v>45221</v>
      </c>
      <c r="O1545" s="3">
        <f>(Table13[[#This Row],[Units_Sold]]*Table13[[#This Row],[Unit_Price_Cleaned]]*(1-Table13[[#This Row],[Discount Cleaned]]))</f>
        <v>5603.0400000000009</v>
      </c>
      <c r="P1545" t="str">
        <f t="shared" si="124"/>
        <v>Profit</v>
      </c>
      <c r="Q1545" t="str" cm="1">
        <f t="array" ref="Q1545">IF(K1545="",INDEX($K$2:$K$2501,MATCH(MAX(COUNTIF($K$2:$K$2501,$K$2:$K$2501)),COUNTIF($K$2:$K$2501,$K$2:$K$2501),0)),K1545)</f>
        <v>B2B</v>
      </c>
    </row>
    <row r="1546" spans="1:17" x14ac:dyDescent="0.3">
      <c r="A1546">
        <v>2544</v>
      </c>
      <c r="B1546" t="s">
        <v>1580</v>
      </c>
      <c r="C1546" t="s">
        <v>29</v>
      </c>
      <c r="D1546" t="s">
        <v>42</v>
      </c>
      <c r="E1546">
        <v>2</v>
      </c>
      <c r="F1546">
        <v>3205.96</v>
      </c>
      <c r="H1546" s="3">
        <f t="shared" si="120"/>
        <v>6411.92</v>
      </c>
      <c r="I1546" s="1">
        <v>45548</v>
      </c>
      <c r="J1546" t="s">
        <v>22</v>
      </c>
      <c r="K1546" t="s">
        <v>23</v>
      </c>
      <c r="L1546" s="2">
        <f t="shared" si="121"/>
        <v>3205.96</v>
      </c>
      <c r="M1546" s="4">
        <f t="shared" si="122"/>
        <v>0.6</v>
      </c>
      <c r="N1546" s="1">
        <f t="shared" si="123"/>
        <v>45548</v>
      </c>
      <c r="O1546" s="3">
        <f>(Table13[[#This Row],[Units_Sold]]*Table13[[#This Row],[Unit_Price_Cleaned]]*(1-Table13[[#This Row],[Discount Cleaned]]))</f>
        <v>2564.768</v>
      </c>
      <c r="P1546" t="str">
        <f t="shared" si="124"/>
        <v>Profit</v>
      </c>
      <c r="Q1546" t="str" cm="1">
        <f t="array" ref="Q1546">IF(K1546="",INDEX($K$2:$K$2501,MATCH(MAX(COUNTIF($K$2:$K$2501,$K$2:$K$2501)),COUNTIF($K$2:$K$2501,$K$2:$K$2501),0)),K1546)</f>
        <v>B2B</v>
      </c>
    </row>
    <row r="1547" spans="1:17" x14ac:dyDescent="0.3">
      <c r="A1547">
        <v>2545</v>
      </c>
      <c r="B1547" t="s">
        <v>1581</v>
      </c>
      <c r="C1547" t="s">
        <v>38</v>
      </c>
      <c r="D1547" t="s">
        <v>91</v>
      </c>
      <c r="E1547">
        <v>2</v>
      </c>
      <c r="F1547">
        <v>2109.08</v>
      </c>
      <c r="H1547" s="3">
        <f t="shared" si="120"/>
        <v>4218.16</v>
      </c>
      <c r="I1547" s="1">
        <v>45782</v>
      </c>
      <c r="J1547" t="s">
        <v>15</v>
      </c>
      <c r="K1547" t="s">
        <v>23</v>
      </c>
      <c r="L1547" s="2">
        <f t="shared" si="121"/>
        <v>2109.08</v>
      </c>
      <c r="M1547" s="4">
        <f t="shared" si="122"/>
        <v>0.6</v>
      </c>
      <c r="N1547" s="1">
        <f t="shared" si="123"/>
        <v>45782</v>
      </c>
      <c r="O1547" s="3">
        <f>(Table13[[#This Row],[Units_Sold]]*Table13[[#This Row],[Unit_Price_Cleaned]]*(1-Table13[[#This Row],[Discount Cleaned]]))</f>
        <v>1687.2640000000001</v>
      </c>
      <c r="P1547" t="str">
        <f t="shared" si="124"/>
        <v>Profit</v>
      </c>
      <c r="Q1547" t="str" cm="1">
        <f t="array" ref="Q1547">IF(K1547="",INDEX($K$2:$K$2501,MATCH(MAX(COUNTIF($K$2:$K$2501,$K$2:$K$2501)),COUNTIF($K$2:$K$2501,$K$2:$K$2501),0)),K1547)</f>
        <v>B2B</v>
      </c>
    </row>
    <row r="1548" spans="1:17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 s="3">
        <f t="shared" si="120"/>
        <v>3574.54</v>
      </c>
      <c r="I1548" s="1">
        <v>45513</v>
      </c>
      <c r="J1548" t="s">
        <v>22</v>
      </c>
      <c r="K1548" t="s">
        <v>16</v>
      </c>
      <c r="L1548" s="2">
        <f t="shared" si="121"/>
        <v>3574.54</v>
      </c>
      <c r="M1548" s="4">
        <f t="shared" si="122"/>
        <v>0.6</v>
      </c>
      <c r="N1548" s="1">
        <f t="shared" si="123"/>
        <v>45513</v>
      </c>
      <c r="O1548" s="3">
        <f>(Table13[[#This Row],[Units_Sold]]*Table13[[#This Row],[Unit_Price_Cleaned]]*(1-Table13[[#This Row],[Discount Cleaned]]))</f>
        <v>1429.816</v>
      </c>
      <c r="P1548" t="str">
        <f t="shared" si="124"/>
        <v>Profit</v>
      </c>
      <c r="Q1548" t="str" cm="1">
        <f t="array" ref="Q1548">IF(K1548="",INDEX($K$2:$K$2501,MATCH(MAX(COUNTIF($K$2:$K$2501,$K$2:$K$2501)),COUNTIF($K$2:$K$2501,$K$2:$K$2501),0)),K1548)</f>
        <v>B2C</v>
      </c>
    </row>
    <row r="1549" spans="1:17" x14ac:dyDescent="0.3">
      <c r="A1549">
        <v>2547</v>
      </c>
      <c r="B1549" t="s">
        <v>1583</v>
      </c>
      <c r="C1549" t="s">
        <v>25</v>
      </c>
      <c r="D1549" t="s">
        <v>66</v>
      </c>
      <c r="E1549">
        <v>2</v>
      </c>
      <c r="F1549">
        <v>4896.32</v>
      </c>
      <c r="G1549">
        <v>1.26</v>
      </c>
      <c r="H1549" s="3">
        <f t="shared" si="120"/>
        <v>9792.64</v>
      </c>
      <c r="I1549" s="1">
        <v>45634</v>
      </c>
      <c r="J1549" t="s">
        <v>15</v>
      </c>
      <c r="K1549" t="s">
        <v>23</v>
      </c>
      <c r="L1549" s="2">
        <f t="shared" si="121"/>
        <v>4896.32</v>
      </c>
      <c r="M1549" s="4">
        <f t="shared" si="122"/>
        <v>1.26</v>
      </c>
      <c r="N1549" s="1">
        <f t="shared" si="123"/>
        <v>45634</v>
      </c>
      <c r="O1549" s="3">
        <f>(Table13[[#This Row],[Units_Sold]]*Table13[[#This Row],[Unit_Price_Cleaned]]*(1-Table13[[#This Row],[Discount Cleaned]]))</f>
        <v>-2546.0864000000001</v>
      </c>
      <c r="P1549" t="str">
        <f t="shared" si="124"/>
        <v>Loss</v>
      </c>
      <c r="Q1549" t="str" cm="1">
        <f t="array" ref="Q1549">IF(K1549="",INDEX($K$2:$K$2501,MATCH(MAX(COUNTIF($K$2:$K$2501,$K$2:$K$2501)),COUNTIF($K$2:$K$2501,$K$2:$K$2501),0)),K1549)</f>
        <v>B2B</v>
      </c>
    </row>
    <row r="1550" spans="1:17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 s="3">
        <f t="shared" si="120"/>
        <v>-4994.07</v>
      </c>
      <c r="J1550" t="s">
        <v>56</v>
      </c>
      <c r="L1550" s="2">
        <f t="shared" si="121"/>
        <v>4994.07</v>
      </c>
      <c r="M1550" s="4">
        <f t="shared" si="122"/>
        <v>0.6</v>
      </c>
      <c r="N1550" s="1">
        <f t="shared" si="123"/>
        <v>45782</v>
      </c>
      <c r="O1550" s="3">
        <f>(Table13[[#This Row],[Units_Sold]]*Table13[[#This Row],[Unit_Price_Cleaned]]*(1-Table13[[#This Row],[Discount Cleaned]]))</f>
        <v>-1997.6279999999999</v>
      </c>
      <c r="P1550" t="str">
        <f t="shared" si="124"/>
        <v>Loss</v>
      </c>
      <c r="Q1550" t="str" cm="1">
        <f t="array" ref="Q1550">IF(K1550="",INDEX($K$2:$K$2501,MATCH(MAX(COUNTIF($K$2:$K$2501,$K$2:$K$2501)),COUNTIF($K$2:$K$2501,$K$2:$K$2501),0)),K1550)</f>
        <v>B2B</v>
      </c>
    </row>
    <row r="1551" spans="1:17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 s="3">
        <f t="shared" si="120"/>
        <v>13915.380000000001</v>
      </c>
      <c r="I1551" s="1">
        <v>45674</v>
      </c>
      <c r="J1551" t="s">
        <v>18</v>
      </c>
      <c r="K1551" t="s">
        <v>16</v>
      </c>
      <c r="L1551" s="2">
        <f t="shared" si="121"/>
        <v>2319.23</v>
      </c>
      <c r="M1551" s="4">
        <f t="shared" si="122"/>
        <v>0.6</v>
      </c>
      <c r="N1551" s="1">
        <f t="shared" si="123"/>
        <v>45674</v>
      </c>
      <c r="O1551" s="3">
        <f>(Table13[[#This Row],[Units_Sold]]*Table13[[#This Row],[Unit_Price_Cleaned]]*(1-Table13[[#This Row],[Discount Cleaned]]))</f>
        <v>5566.152000000001</v>
      </c>
      <c r="P1551" t="str">
        <f t="shared" si="124"/>
        <v>Profit</v>
      </c>
      <c r="Q1551" t="str" cm="1">
        <f t="array" ref="Q1551">IF(K1551="",INDEX($K$2:$K$2501,MATCH(MAX(COUNTIF($K$2:$K$2501,$K$2:$K$2501)),COUNTIF($K$2:$K$2501,$K$2:$K$2501),0)),K1551)</f>
        <v>B2C</v>
      </c>
    </row>
    <row r="1552" spans="1:17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 s="3">
        <f t="shared" si="120"/>
        <v>-1463.64</v>
      </c>
      <c r="I1552" s="1">
        <v>45777</v>
      </c>
      <c r="J1552" t="s">
        <v>56</v>
      </c>
      <c r="K1552" t="s">
        <v>16</v>
      </c>
      <c r="L1552" s="2">
        <f t="shared" si="121"/>
        <v>1463.64</v>
      </c>
      <c r="M1552" s="4">
        <f t="shared" si="122"/>
        <v>0.6</v>
      </c>
      <c r="N1552" s="1">
        <f t="shared" si="123"/>
        <v>45777</v>
      </c>
      <c r="O1552" s="3">
        <f>(Table13[[#This Row],[Units_Sold]]*Table13[[#This Row],[Unit_Price_Cleaned]]*(1-Table13[[#This Row],[Discount Cleaned]]))</f>
        <v>-585.45600000000002</v>
      </c>
      <c r="P1552" t="str">
        <f t="shared" si="124"/>
        <v>Loss</v>
      </c>
      <c r="Q1552" t="str" cm="1">
        <f t="array" ref="Q1552">IF(K1552="",INDEX($K$2:$K$2501,MATCH(MAX(COUNTIF($K$2:$K$2501,$K$2:$K$2501)),COUNTIF($K$2:$K$2501,$K$2:$K$2501),0)),K1552)</f>
        <v>B2C</v>
      </c>
    </row>
    <row r="1553" spans="1:17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 s="3">
        <f t="shared" si="120"/>
        <v>28661.82</v>
      </c>
      <c r="J1553" t="s">
        <v>18</v>
      </c>
      <c r="K1553" t="s">
        <v>23</v>
      </c>
      <c r="L1553" s="2">
        <f t="shared" si="121"/>
        <v>4776.97</v>
      </c>
      <c r="M1553" s="4">
        <f t="shared" si="122"/>
        <v>0.6</v>
      </c>
      <c r="N1553" s="1">
        <f t="shared" si="123"/>
        <v>45782</v>
      </c>
      <c r="O1553" s="3">
        <f>(Table13[[#This Row],[Units_Sold]]*Table13[[#This Row],[Unit_Price_Cleaned]]*(1-Table13[[#This Row],[Discount Cleaned]]))</f>
        <v>11464.728000000001</v>
      </c>
      <c r="P1553" t="str">
        <f t="shared" si="124"/>
        <v>Profit</v>
      </c>
      <c r="Q1553" t="str" cm="1">
        <f t="array" ref="Q1553">IF(K1553="",INDEX($K$2:$K$2501,MATCH(MAX(COUNTIF($K$2:$K$2501,$K$2:$K$2501)),COUNTIF($K$2:$K$2501,$K$2:$K$2501),0)),K1553)</f>
        <v>B2B</v>
      </c>
    </row>
    <row r="1554" spans="1:17" x14ac:dyDescent="0.3">
      <c r="A1554">
        <v>2552</v>
      </c>
      <c r="B1554" t="s">
        <v>1588</v>
      </c>
      <c r="C1554" t="s">
        <v>38</v>
      </c>
      <c r="D1554" t="s">
        <v>39</v>
      </c>
      <c r="E1554">
        <v>2</v>
      </c>
      <c r="F1554">
        <v>3617.02</v>
      </c>
      <c r="H1554" s="3">
        <f t="shared" si="120"/>
        <v>7234.04</v>
      </c>
      <c r="I1554" s="1">
        <v>45644</v>
      </c>
      <c r="J1554" t="s">
        <v>56</v>
      </c>
      <c r="K1554" t="s">
        <v>16</v>
      </c>
      <c r="L1554" s="2">
        <f t="shared" si="121"/>
        <v>3617.02</v>
      </c>
      <c r="M1554" s="4">
        <f t="shared" si="122"/>
        <v>0.6</v>
      </c>
      <c r="N1554" s="1">
        <f t="shared" si="123"/>
        <v>45644</v>
      </c>
      <c r="O1554" s="3">
        <f>(Table13[[#This Row],[Units_Sold]]*Table13[[#This Row],[Unit_Price_Cleaned]]*(1-Table13[[#This Row],[Discount Cleaned]]))</f>
        <v>2893.616</v>
      </c>
      <c r="P1554" t="str">
        <f t="shared" si="124"/>
        <v>Profit</v>
      </c>
      <c r="Q1554" t="str" cm="1">
        <f t="array" ref="Q1554">IF(K1554="",INDEX($K$2:$K$2501,MATCH(MAX(COUNTIF($K$2:$K$2501,$K$2:$K$2501)),COUNTIF($K$2:$K$2501,$K$2:$K$2501),0)),K1554)</f>
        <v>B2C</v>
      </c>
    </row>
    <row r="1555" spans="1:17" x14ac:dyDescent="0.3">
      <c r="A1555">
        <v>2553</v>
      </c>
      <c r="B1555" t="s">
        <v>1589</v>
      </c>
      <c r="C1555" t="s">
        <v>38</v>
      </c>
      <c r="D1555" t="s">
        <v>59</v>
      </c>
      <c r="E1555">
        <v>2</v>
      </c>
      <c r="F1555">
        <v>3347.39</v>
      </c>
      <c r="H1555" s="3">
        <f t="shared" si="120"/>
        <v>6694.78</v>
      </c>
      <c r="I1555" s="1">
        <v>45193</v>
      </c>
      <c r="J1555" t="s">
        <v>22</v>
      </c>
      <c r="K1555" t="s">
        <v>23</v>
      </c>
      <c r="L1555" s="2">
        <f t="shared" si="121"/>
        <v>3347.39</v>
      </c>
      <c r="M1555" s="4">
        <f t="shared" si="122"/>
        <v>0.6</v>
      </c>
      <c r="N1555" s="1">
        <f t="shared" si="123"/>
        <v>45193</v>
      </c>
      <c r="O1555" s="3">
        <f>(Table13[[#This Row],[Units_Sold]]*Table13[[#This Row],[Unit_Price_Cleaned]]*(1-Table13[[#This Row],[Discount Cleaned]]))</f>
        <v>2677.9120000000003</v>
      </c>
      <c r="P1555" t="str">
        <f t="shared" si="124"/>
        <v>Profit</v>
      </c>
      <c r="Q1555" t="str" cm="1">
        <f t="array" ref="Q1555">IF(K1555="",INDEX($K$2:$K$2501,MATCH(MAX(COUNTIF($K$2:$K$2501,$K$2:$K$2501)),COUNTIF($K$2:$K$2501,$K$2:$K$2501),0)),K1555)</f>
        <v>B2B</v>
      </c>
    </row>
    <row r="1556" spans="1:17" x14ac:dyDescent="0.3">
      <c r="A1556">
        <v>2554</v>
      </c>
      <c r="B1556" t="s">
        <v>1590</v>
      </c>
      <c r="C1556" t="s">
        <v>25</v>
      </c>
      <c r="D1556" t="s">
        <v>54</v>
      </c>
      <c r="E1556">
        <v>2</v>
      </c>
      <c r="F1556">
        <v>2433.4699999999998</v>
      </c>
      <c r="H1556" s="3">
        <f t="shared" si="120"/>
        <v>4866.9399999999996</v>
      </c>
      <c r="I1556" s="1">
        <v>45551</v>
      </c>
      <c r="J1556" t="s">
        <v>56</v>
      </c>
      <c r="L1556" s="2">
        <f t="shared" si="121"/>
        <v>2433.4699999999998</v>
      </c>
      <c r="M1556" s="4">
        <f t="shared" si="122"/>
        <v>0.6</v>
      </c>
      <c r="N1556" s="1">
        <f t="shared" si="123"/>
        <v>45551</v>
      </c>
      <c r="O1556" s="3">
        <f>(Table13[[#This Row],[Units_Sold]]*Table13[[#This Row],[Unit_Price_Cleaned]]*(1-Table13[[#This Row],[Discount Cleaned]]))</f>
        <v>1946.7759999999998</v>
      </c>
      <c r="P1556" t="str">
        <f t="shared" si="124"/>
        <v>Profit</v>
      </c>
      <c r="Q1556" t="str" cm="1">
        <f t="array" ref="Q1556">IF(K1556="",INDEX($K$2:$K$2501,MATCH(MAX(COUNTIF($K$2:$K$2501,$K$2:$K$2501)),COUNTIF($K$2:$K$2501,$K$2:$K$2501),0)),K1556)</f>
        <v>B2B</v>
      </c>
    </row>
    <row r="1557" spans="1:17" x14ac:dyDescent="0.3">
      <c r="A1557">
        <v>2555</v>
      </c>
      <c r="B1557" t="s">
        <v>1591</v>
      </c>
      <c r="C1557" t="s">
        <v>13</v>
      </c>
      <c r="D1557" t="s">
        <v>14</v>
      </c>
      <c r="E1557">
        <v>2</v>
      </c>
      <c r="F1557">
        <v>3633.07</v>
      </c>
      <c r="G1557">
        <v>0.22</v>
      </c>
      <c r="H1557" s="3">
        <f t="shared" si="120"/>
        <v>7266.14</v>
      </c>
      <c r="I1557" s="1">
        <v>45313</v>
      </c>
      <c r="J1557" t="s">
        <v>46</v>
      </c>
      <c r="K1557" t="s">
        <v>23</v>
      </c>
      <c r="L1557" s="2">
        <f t="shared" si="121"/>
        <v>3633.07</v>
      </c>
      <c r="M1557" s="4">
        <f t="shared" si="122"/>
        <v>0.22</v>
      </c>
      <c r="N1557" s="1">
        <f t="shared" si="123"/>
        <v>45313</v>
      </c>
      <c r="O1557" s="3">
        <f>(Table13[[#This Row],[Units_Sold]]*Table13[[#This Row],[Unit_Price_Cleaned]]*(1-Table13[[#This Row],[Discount Cleaned]]))</f>
        <v>5667.5892000000003</v>
      </c>
      <c r="P1557" t="str">
        <f t="shared" si="124"/>
        <v>Profit</v>
      </c>
      <c r="Q1557" t="str" cm="1">
        <f t="array" ref="Q1557">IF(K1557="",INDEX($K$2:$K$2501,MATCH(MAX(COUNTIF($K$2:$K$2501,$K$2:$K$2501)),COUNTIF($K$2:$K$2501,$K$2:$K$2501),0)),K1557)</f>
        <v>B2B</v>
      </c>
    </row>
    <row r="1558" spans="1:17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 s="3">
        <f t="shared" si="120"/>
        <v>4137.76</v>
      </c>
      <c r="J1558" t="s">
        <v>40</v>
      </c>
      <c r="L1558" s="2">
        <f t="shared" si="121"/>
        <v>2068.88</v>
      </c>
      <c r="M1558" s="4">
        <f t="shared" si="122"/>
        <v>0.6</v>
      </c>
      <c r="N1558" s="1">
        <f t="shared" si="123"/>
        <v>45782</v>
      </c>
      <c r="O1558" s="3">
        <f>(Table13[[#This Row],[Units_Sold]]*Table13[[#This Row],[Unit_Price_Cleaned]]*(1-Table13[[#This Row],[Discount Cleaned]]))</f>
        <v>1655.1040000000003</v>
      </c>
      <c r="P1558" t="str">
        <f t="shared" si="124"/>
        <v>Profit</v>
      </c>
      <c r="Q1558" t="str" cm="1">
        <f t="array" ref="Q1558">IF(K1558="",INDEX($K$2:$K$2501,MATCH(MAX(COUNTIF($K$2:$K$2501,$K$2:$K$2501)),COUNTIF($K$2:$K$2501,$K$2:$K$2501),0)),K1558)</f>
        <v>B2B</v>
      </c>
    </row>
    <row r="1559" spans="1:17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 s="3">
        <f t="shared" si="120"/>
        <v>-4626.4399999999996</v>
      </c>
      <c r="I1559" s="1">
        <v>45780</v>
      </c>
      <c r="J1559" t="s">
        <v>18</v>
      </c>
      <c r="K1559" t="s">
        <v>23</v>
      </c>
      <c r="L1559" s="2">
        <f t="shared" si="121"/>
        <v>4626.4399999999996</v>
      </c>
      <c r="M1559" s="4">
        <f t="shared" si="122"/>
        <v>1.1000000000000001</v>
      </c>
      <c r="N1559" s="1">
        <f t="shared" si="123"/>
        <v>45780</v>
      </c>
      <c r="O1559" s="3">
        <f>(Table13[[#This Row],[Units_Sold]]*Table13[[#This Row],[Unit_Price_Cleaned]]*(1-Table13[[#This Row],[Discount Cleaned]]))</f>
        <v>462.64400000000035</v>
      </c>
      <c r="P1559" t="str">
        <f t="shared" si="124"/>
        <v>Loss</v>
      </c>
      <c r="Q1559" t="str" cm="1">
        <f t="array" ref="Q1559">IF(K1559="",INDEX($K$2:$K$2501,MATCH(MAX(COUNTIF($K$2:$K$2501,$K$2:$K$2501)),COUNTIF($K$2:$K$2501,$K$2:$K$2501),0)),K1559)</f>
        <v>B2B</v>
      </c>
    </row>
    <row r="1560" spans="1:17" x14ac:dyDescent="0.3">
      <c r="A1560">
        <v>2558</v>
      </c>
      <c r="B1560" t="s">
        <v>1594</v>
      </c>
      <c r="C1560" t="s">
        <v>29</v>
      </c>
      <c r="D1560" t="s">
        <v>42</v>
      </c>
      <c r="E1560">
        <v>2</v>
      </c>
      <c r="F1560">
        <v>1175.25</v>
      </c>
      <c r="H1560" s="3">
        <f t="shared" si="120"/>
        <v>2350.5</v>
      </c>
      <c r="J1560" t="s">
        <v>22</v>
      </c>
      <c r="K1560" t="s">
        <v>23</v>
      </c>
      <c r="L1560" s="2">
        <f t="shared" si="121"/>
        <v>1175.25</v>
      </c>
      <c r="M1560" s="4">
        <f t="shared" si="122"/>
        <v>0.6</v>
      </c>
      <c r="N1560" s="1">
        <f t="shared" si="123"/>
        <v>45782</v>
      </c>
      <c r="O1560" s="3">
        <f>(Table13[[#This Row],[Units_Sold]]*Table13[[#This Row],[Unit_Price_Cleaned]]*(1-Table13[[#This Row],[Discount Cleaned]]))</f>
        <v>940.2</v>
      </c>
      <c r="P1560" t="str">
        <f t="shared" si="124"/>
        <v>Profit</v>
      </c>
      <c r="Q1560" t="str" cm="1">
        <f t="array" ref="Q1560">IF(K1560="",INDEX($K$2:$K$2501,MATCH(MAX(COUNTIF($K$2:$K$2501,$K$2:$K$2501)),COUNTIF($K$2:$K$2501,$K$2:$K$2501),0)),K1560)</f>
        <v>B2B</v>
      </c>
    </row>
    <row r="1561" spans="1:17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 s="3">
        <f t="shared" si="120"/>
        <v>0</v>
      </c>
      <c r="J1561" t="s">
        <v>46</v>
      </c>
      <c r="L1561" s="2">
        <f t="shared" si="121"/>
        <v>2830.1325714285731</v>
      </c>
      <c r="M1561" s="4">
        <f t="shared" si="122"/>
        <v>0.3</v>
      </c>
      <c r="N1561" s="1">
        <f t="shared" si="123"/>
        <v>45782</v>
      </c>
      <c r="O1561" s="3">
        <f>(Table13[[#This Row],[Units_Sold]]*Table13[[#This Row],[Unit_Price_Cleaned]]*(1-Table13[[#This Row],[Discount Cleaned]]))</f>
        <v>0</v>
      </c>
      <c r="P1561" t="str">
        <f t="shared" si="124"/>
        <v>Loss</v>
      </c>
      <c r="Q1561" t="str" cm="1">
        <f t="array" ref="Q1561">IF(K1561="",INDEX($K$2:$K$2501,MATCH(MAX(COUNTIF($K$2:$K$2501,$K$2:$K$2501)),COUNTIF($K$2:$K$2501,$K$2:$K$2501),0)),K1561)</f>
        <v>B2B</v>
      </c>
    </row>
    <row r="1562" spans="1:17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 s="3">
        <f t="shared" si="120"/>
        <v>-4699.66</v>
      </c>
      <c r="J1562" t="s">
        <v>22</v>
      </c>
      <c r="K1562" t="s">
        <v>16</v>
      </c>
      <c r="L1562" s="2">
        <f t="shared" si="121"/>
        <v>4699.66</v>
      </c>
      <c r="M1562" s="4">
        <f t="shared" si="122"/>
        <v>0.6</v>
      </c>
      <c r="N1562" s="1">
        <f t="shared" si="123"/>
        <v>45782</v>
      </c>
      <c r="O1562" s="3">
        <f>(Table13[[#This Row],[Units_Sold]]*Table13[[#This Row],[Unit_Price_Cleaned]]*(1-Table13[[#This Row],[Discount Cleaned]]))</f>
        <v>-1879.864</v>
      </c>
      <c r="P1562" t="str">
        <f t="shared" si="124"/>
        <v>Loss</v>
      </c>
      <c r="Q1562" t="str" cm="1">
        <f t="array" ref="Q1562">IF(K1562="",INDEX($K$2:$K$2501,MATCH(MAX(COUNTIF($K$2:$K$2501,$K$2:$K$2501)),COUNTIF($K$2:$K$2501,$K$2:$K$2501),0)),K1562)</f>
        <v>B2C</v>
      </c>
    </row>
    <row r="1563" spans="1:17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 s="3">
        <f t="shared" si="120"/>
        <v>13405.871818181819</v>
      </c>
      <c r="J1563" t="s">
        <v>18</v>
      </c>
      <c r="K1563" t="s">
        <v>23</v>
      </c>
      <c r="L1563" s="2">
        <f t="shared" si="121"/>
        <v>2681.1743636363635</v>
      </c>
      <c r="M1563" s="4">
        <f t="shared" si="122"/>
        <v>0.6</v>
      </c>
      <c r="N1563" s="1">
        <f t="shared" si="123"/>
        <v>45782</v>
      </c>
      <c r="O1563" s="3">
        <f>(Table13[[#This Row],[Units_Sold]]*Table13[[#This Row],[Unit_Price_Cleaned]]*(1-Table13[[#This Row],[Discount Cleaned]]))</f>
        <v>5362.348727272728</v>
      </c>
      <c r="P1563" t="str">
        <f t="shared" si="124"/>
        <v>Profit</v>
      </c>
      <c r="Q1563" t="str" cm="1">
        <f t="array" ref="Q1563">IF(K1563="",INDEX($K$2:$K$2501,MATCH(MAX(COUNTIF($K$2:$K$2501,$K$2:$K$2501)),COUNTIF($K$2:$K$2501,$K$2:$K$2501),0)),K1563)</f>
        <v>B2B</v>
      </c>
    </row>
    <row r="1564" spans="1:17" x14ac:dyDescent="0.3">
      <c r="A1564">
        <v>1044</v>
      </c>
      <c r="B1564" t="s">
        <v>1598</v>
      </c>
      <c r="C1564" t="s">
        <v>20</v>
      </c>
      <c r="D1564" t="s">
        <v>80</v>
      </c>
      <c r="E1564">
        <v>2</v>
      </c>
      <c r="F1564">
        <v>756.73</v>
      </c>
      <c r="H1564" s="3">
        <f t="shared" si="120"/>
        <v>1513.46</v>
      </c>
      <c r="I1564" s="1">
        <v>45631</v>
      </c>
      <c r="J1564" t="s">
        <v>15</v>
      </c>
      <c r="L1564" s="2">
        <f t="shared" si="121"/>
        <v>756.73</v>
      </c>
      <c r="M1564" s="4">
        <f t="shared" si="122"/>
        <v>0.6</v>
      </c>
      <c r="N1564" s="1">
        <f t="shared" si="123"/>
        <v>45631</v>
      </c>
      <c r="O1564" s="3">
        <f>(Table13[[#This Row],[Units_Sold]]*Table13[[#This Row],[Unit_Price_Cleaned]]*(1-Table13[[#This Row],[Discount Cleaned]]))</f>
        <v>605.38400000000001</v>
      </c>
      <c r="P1564" t="str">
        <f t="shared" si="124"/>
        <v>Profit</v>
      </c>
      <c r="Q1564" t="str" cm="1">
        <f t="array" ref="Q1564">IF(K1564="",INDEX($K$2:$K$2501,MATCH(MAX(COUNTIF($K$2:$K$2501,$K$2:$K$2501)),COUNTIF($K$2:$K$2501,$K$2:$K$2501),0)),K1564)</f>
        <v>B2B</v>
      </c>
    </row>
    <row r="1565" spans="1:17" x14ac:dyDescent="0.3">
      <c r="A1565">
        <v>2563</v>
      </c>
      <c r="B1565" t="s">
        <v>1599</v>
      </c>
      <c r="C1565" t="s">
        <v>29</v>
      </c>
      <c r="D1565" t="s">
        <v>42</v>
      </c>
      <c r="E1565">
        <v>2</v>
      </c>
      <c r="G1565">
        <v>0.41</v>
      </c>
      <c r="H1565" s="3">
        <f t="shared" si="120"/>
        <v>5119.3334615384629</v>
      </c>
      <c r="I1565" s="1">
        <v>45789</v>
      </c>
      <c r="J1565" t="s">
        <v>56</v>
      </c>
      <c r="K1565" t="s">
        <v>16</v>
      </c>
      <c r="L1565" s="2">
        <f t="shared" si="121"/>
        <v>2559.6667307692314</v>
      </c>
      <c r="M1565" s="4">
        <f t="shared" si="122"/>
        <v>0.41</v>
      </c>
      <c r="N1565" s="1">
        <f t="shared" si="123"/>
        <v>45789</v>
      </c>
      <c r="O1565" s="3">
        <f>(Table13[[#This Row],[Units_Sold]]*Table13[[#This Row],[Unit_Price_Cleaned]]*(1-Table13[[#This Row],[Discount Cleaned]]))</f>
        <v>3020.4067423076935</v>
      </c>
      <c r="P1565" t="str">
        <f t="shared" si="124"/>
        <v>Profit</v>
      </c>
      <c r="Q1565" t="str" cm="1">
        <f t="array" ref="Q1565">IF(K1565="",INDEX($K$2:$K$2501,MATCH(MAX(COUNTIF($K$2:$K$2501,$K$2:$K$2501)),COUNTIF($K$2:$K$2501,$K$2:$K$2501),0)),K1565)</f>
        <v>B2C</v>
      </c>
    </row>
    <row r="1566" spans="1:17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 s="3">
        <f t="shared" si="120"/>
        <v>-2700.1263043478252</v>
      </c>
      <c r="I1566" s="1">
        <v>45290</v>
      </c>
      <c r="J1566" t="s">
        <v>22</v>
      </c>
      <c r="K1566" t="s">
        <v>16</v>
      </c>
      <c r="L1566" s="2">
        <f t="shared" si="121"/>
        <v>2700.1263043478252</v>
      </c>
      <c r="M1566" s="4">
        <f t="shared" si="122"/>
        <v>0.6</v>
      </c>
      <c r="N1566" s="1">
        <f t="shared" si="123"/>
        <v>45290</v>
      </c>
      <c r="O1566" s="3">
        <f>(Table13[[#This Row],[Units_Sold]]*Table13[[#This Row],[Unit_Price_Cleaned]]*(1-Table13[[#This Row],[Discount Cleaned]]))</f>
        <v>-1080.0505217391301</v>
      </c>
      <c r="P1566" t="str">
        <f t="shared" si="124"/>
        <v>Loss</v>
      </c>
      <c r="Q1566" t="str" cm="1">
        <f t="array" ref="Q1566">IF(K1566="",INDEX($K$2:$K$2501,MATCH(MAX(COUNTIF($K$2:$K$2501,$K$2:$K$2501)),COUNTIF($K$2:$K$2501,$K$2:$K$2501),0)),K1566)</f>
        <v>B2C</v>
      </c>
    </row>
    <row r="1567" spans="1:17" x14ac:dyDescent="0.3">
      <c r="A1567">
        <v>2565</v>
      </c>
      <c r="B1567" t="s">
        <v>1601</v>
      </c>
      <c r="C1567" t="s">
        <v>25</v>
      </c>
      <c r="D1567" t="s">
        <v>54</v>
      </c>
      <c r="E1567">
        <v>2</v>
      </c>
      <c r="H1567" s="3">
        <f t="shared" si="120"/>
        <v>5060.7673076923093</v>
      </c>
      <c r="J1567" t="s">
        <v>46</v>
      </c>
      <c r="K1567" t="s">
        <v>23</v>
      </c>
      <c r="L1567" s="2">
        <f t="shared" si="121"/>
        <v>2530.3836538461546</v>
      </c>
      <c r="M1567" s="4">
        <f t="shared" si="122"/>
        <v>0.6</v>
      </c>
      <c r="N1567" s="1">
        <f t="shared" si="123"/>
        <v>45782</v>
      </c>
      <c r="O1567" s="3">
        <f>(Table13[[#This Row],[Units_Sold]]*Table13[[#This Row],[Unit_Price_Cleaned]]*(1-Table13[[#This Row],[Discount Cleaned]]))</f>
        <v>2024.3069230769238</v>
      </c>
      <c r="P1567" t="str">
        <f t="shared" si="124"/>
        <v>Profit</v>
      </c>
      <c r="Q1567" t="str" cm="1">
        <f t="array" ref="Q1567">IF(K1567="",INDEX($K$2:$K$2501,MATCH(MAX(COUNTIF($K$2:$K$2501,$K$2:$K$2501)),COUNTIF($K$2:$K$2501,$K$2:$K$2501),0)),K1567)</f>
        <v>B2B</v>
      </c>
    </row>
    <row r="1568" spans="1:17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 s="3">
        <f t="shared" si="120"/>
        <v>4482.08</v>
      </c>
      <c r="I1568" s="1">
        <v>45508</v>
      </c>
      <c r="J1568" t="s">
        <v>40</v>
      </c>
      <c r="L1568" s="2">
        <f t="shared" si="121"/>
        <v>4482.08</v>
      </c>
      <c r="M1568" s="4">
        <f t="shared" si="122"/>
        <v>0.6</v>
      </c>
      <c r="N1568" s="1">
        <f t="shared" si="123"/>
        <v>45508</v>
      </c>
      <c r="O1568" s="3">
        <f>(Table13[[#This Row],[Units_Sold]]*Table13[[#This Row],[Unit_Price_Cleaned]]*(1-Table13[[#This Row],[Discount Cleaned]]))</f>
        <v>1792.8320000000001</v>
      </c>
      <c r="P1568" t="str">
        <f t="shared" si="124"/>
        <v>Profit</v>
      </c>
      <c r="Q1568" t="str" cm="1">
        <f t="array" ref="Q1568">IF(K1568="",INDEX($K$2:$K$2501,MATCH(MAX(COUNTIF($K$2:$K$2501,$K$2:$K$2501)),COUNTIF($K$2:$K$2501,$K$2:$K$2501),0)),K1568)</f>
        <v>B2B</v>
      </c>
    </row>
    <row r="1569" spans="1:17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 s="3">
        <f t="shared" si="120"/>
        <v>11104.880800000001</v>
      </c>
      <c r="I1569" s="1">
        <v>45643</v>
      </c>
      <c r="J1569" t="s">
        <v>15</v>
      </c>
      <c r="L1569" s="2">
        <f t="shared" si="121"/>
        <v>2776.2202000000002</v>
      </c>
      <c r="M1569" s="4">
        <f t="shared" si="122"/>
        <v>0.35</v>
      </c>
      <c r="N1569" s="1">
        <f t="shared" si="123"/>
        <v>45643</v>
      </c>
      <c r="O1569" s="3">
        <f>(Table13[[#This Row],[Units_Sold]]*Table13[[#This Row],[Unit_Price_Cleaned]]*(1-Table13[[#This Row],[Discount Cleaned]]))</f>
        <v>7218.172520000001</v>
      </c>
      <c r="P1569" t="str">
        <f t="shared" si="124"/>
        <v>Profit</v>
      </c>
      <c r="Q1569" t="str" cm="1">
        <f t="array" ref="Q1569">IF(K1569="",INDEX($K$2:$K$2501,MATCH(MAX(COUNTIF($K$2:$K$2501,$K$2:$K$2501)),COUNTIF($K$2:$K$2501,$K$2:$K$2501),0)),K1569)</f>
        <v>B2B</v>
      </c>
    </row>
    <row r="1570" spans="1:17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 s="3">
        <f t="shared" si="120"/>
        <v>14131.68</v>
      </c>
      <c r="I1570" s="1">
        <v>45674</v>
      </c>
      <c r="J1570" t="s">
        <v>18</v>
      </c>
      <c r="L1570" s="2">
        <f t="shared" si="121"/>
        <v>2355.2800000000002</v>
      </c>
      <c r="M1570" s="4">
        <f t="shared" si="122"/>
        <v>0.6</v>
      </c>
      <c r="N1570" s="1">
        <f t="shared" si="123"/>
        <v>45674</v>
      </c>
      <c r="O1570" s="3">
        <f>(Table13[[#This Row],[Units_Sold]]*Table13[[#This Row],[Unit_Price_Cleaned]]*(1-Table13[[#This Row],[Discount Cleaned]]))</f>
        <v>5652.6720000000005</v>
      </c>
      <c r="P1570" t="str">
        <f t="shared" si="124"/>
        <v>Profit</v>
      </c>
      <c r="Q1570" t="str" cm="1">
        <f t="array" ref="Q1570">IF(K1570="",INDEX($K$2:$K$2501,MATCH(MAX(COUNTIF($K$2:$K$2501,$K$2:$K$2501)),COUNTIF($K$2:$K$2501,$K$2:$K$2501),0)),K1570)</f>
        <v>B2B</v>
      </c>
    </row>
    <row r="1571" spans="1:17" x14ac:dyDescent="0.3">
      <c r="A1571">
        <v>2569</v>
      </c>
      <c r="B1571" t="s">
        <v>1605</v>
      </c>
      <c r="C1571" t="s">
        <v>20</v>
      </c>
      <c r="D1571" t="s">
        <v>122</v>
      </c>
      <c r="E1571">
        <v>2</v>
      </c>
      <c r="F1571">
        <v>1263.8399999999999</v>
      </c>
      <c r="H1571" s="3">
        <f t="shared" si="120"/>
        <v>2527.6799999999998</v>
      </c>
      <c r="I1571" s="1">
        <v>45694</v>
      </c>
      <c r="J1571" t="s">
        <v>56</v>
      </c>
      <c r="K1571" t="s">
        <v>23</v>
      </c>
      <c r="L1571" s="2">
        <f t="shared" si="121"/>
        <v>1263.8399999999999</v>
      </c>
      <c r="M1571" s="4">
        <f t="shared" si="122"/>
        <v>0.6</v>
      </c>
      <c r="N1571" s="1">
        <f t="shared" si="123"/>
        <v>45694</v>
      </c>
      <c r="O1571" s="3">
        <f>(Table13[[#This Row],[Units_Sold]]*Table13[[#This Row],[Unit_Price_Cleaned]]*(1-Table13[[#This Row],[Discount Cleaned]]))</f>
        <v>1011.072</v>
      </c>
      <c r="P1571" t="str">
        <f t="shared" si="124"/>
        <v>Profit</v>
      </c>
      <c r="Q1571" t="str" cm="1">
        <f t="array" ref="Q1571">IF(K1571="",INDEX($K$2:$K$2501,MATCH(MAX(COUNTIF($K$2:$K$2501,$K$2:$K$2501)),COUNTIF($K$2:$K$2501,$K$2:$K$2501),0)),K1571)</f>
        <v>B2B</v>
      </c>
    </row>
    <row r="1572" spans="1:17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 s="3">
        <f t="shared" si="120"/>
        <v>-2725.8557142857148</v>
      </c>
      <c r="I1572" s="1">
        <v>45763</v>
      </c>
      <c r="J1572" t="s">
        <v>56</v>
      </c>
      <c r="K1572" t="s">
        <v>23</v>
      </c>
      <c r="L1572" s="2">
        <f t="shared" si="121"/>
        <v>2725.8557142857148</v>
      </c>
      <c r="M1572" s="4">
        <f t="shared" si="122"/>
        <v>0.78</v>
      </c>
      <c r="N1572" s="1">
        <f t="shared" si="123"/>
        <v>45763</v>
      </c>
      <c r="O1572" s="3">
        <f>(Table13[[#This Row],[Units_Sold]]*Table13[[#This Row],[Unit_Price_Cleaned]]*(1-Table13[[#This Row],[Discount Cleaned]]))</f>
        <v>-599.6882571428572</v>
      </c>
      <c r="P1572" t="str">
        <f t="shared" si="124"/>
        <v>Loss</v>
      </c>
      <c r="Q1572" t="str" cm="1">
        <f t="array" ref="Q1572">IF(K1572="",INDEX($K$2:$K$2501,MATCH(MAX(COUNTIF($K$2:$K$2501,$K$2:$K$2501)),COUNTIF($K$2:$K$2501,$K$2:$K$2501),0)),K1572)</f>
        <v>B2B</v>
      </c>
    </row>
    <row r="1573" spans="1:17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 s="3">
        <f t="shared" si="120"/>
        <v>-6123.96</v>
      </c>
      <c r="I1573" s="1">
        <v>45843</v>
      </c>
      <c r="J1573" t="s">
        <v>18</v>
      </c>
      <c r="L1573" s="2">
        <f t="shared" si="121"/>
        <v>3061.98</v>
      </c>
      <c r="M1573" s="4">
        <f t="shared" si="122"/>
        <v>0.6</v>
      </c>
      <c r="N1573" s="1">
        <f t="shared" si="123"/>
        <v>45843</v>
      </c>
      <c r="O1573" s="3">
        <f>(Table13[[#This Row],[Units_Sold]]*Table13[[#This Row],[Unit_Price_Cleaned]]*(1-Table13[[#This Row],[Discount Cleaned]]))</f>
        <v>-2449.5840000000003</v>
      </c>
      <c r="P1573" t="str">
        <f t="shared" si="124"/>
        <v>Loss</v>
      </c>
      <c r="Q1573" t="str" cm="1">
        <f t="array" ref="Q1573">IF(K1573="",INDEX($K$2:$K$2501,MATCH(MAX(COUNTIF($K$2:$K$2501,$K$2:$K$2501)),COUNTIF($K$2:$K$2501,$K$2:$K$2501),0)),K1573)</f>
        <v>B2B</v>
      </c>
    </row>
    <row r="1574" spans="1:17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 s="3">
        <f t="shared" si="120"/>
        <v>0</v>
      </c>
      <c r="I1574" s="1">
        <v>45698</v>
      </c>
      <c r="J1574" t="s">
        <v>46</v>
      </c>
      <c r="K1574" t="s">
        <v>23</v>
      </c>
      <c r="L1574" s="2">
        <f t="shared" si="121"/>
        <v>2841.7630612244907</v>
      </c>
      <c r="M1574" s="4">
        <f t="shared" si="122"/>
        <v>0.6</v>
      </c>
      <c r="N1574" s="1">
        <f t="shared" si="123"/>
        <v>45698</v>
      </c>
      <c r="O1574" s="3">
        <f>(Table13[[#This Row],[Units_Sold]]*Table13[[#This Row],[Unit_Price_Cleaned]]*(1-Table13[[#This Row],[Discount Cleaned]]))</f>
        <v>0</v>
      </c>
      <c r="P1574" t="str">
        <f t="shared" si="124"/>
        <v>Loss</v>
      </c>
      <c r="Q1574" t="str" cm="1">
        <f t="array" ref="Q1574">IF(K1574="",INDEX($K$2:$K$2501,MATCH(MAX(COUNTIF($K$2:$K$2501,$K$2:$K$2501)),COUNTIF($K$2:$K$2501,$K$2:$K$2501),0)),K1574)</f>
        <v>B2B</v>
      </c>
    </row>
    <row r="1575" spans="1:17" x14ac:dyDescent="0.3">
      <c r="A1575">
        <v>2573</v>
      </c>
      <c r="B1575" t="s">
        <v>1609</v>
      </c>
      <c r="C1575" t="s">
        <v>20</v>
      </c>
      <c r="D1575" t="s">
        <v>122</v>
      </c>
      <c r="E1575">
        <v>2</v>
      </c>
      <c r="H1575" s="3">
        <f t="shared" si="120"/>
        <v>5400.2526086956505</v>
      </c>
      <c r="I1575" s="1">
        <v>45303</v>
      </c>
      <c r="J1575" t="s">
        <v>18</v>
      </c>
      <c r="L1575" s="2">
        <f t="shared" si="121"/>
        <v>2700.1263043478252</v>
      </c>
      <c r="M1575" s="4">
        <f t="shared" si="122"/>
        <v>0.6</v>
      </c>
      <c r="N1575" s="1">
        <f t="shared" si="123"/>
        <v>45303</v>
      </c>
      <c r="O1575" s="3">
        <f>(Table13[[#This Row],[Units_Sold]]*Table13[[#This Row],[Unit_Price_Cleaned]]*(1-Table13[[#This Row],[Discount Cleaned]]))</f>
        <v>2160.1010434782602</v>
      </c>
      <c r="P1575" t="str">
        <f t="shared" si="124"/>
        <v>Profit</v>
      </c>
      <c r="Q1575" t="str" cm="1">
        <f t="array" ref="Q1575">IF(K1575="",INDEX($K$2:$K$2501,MATCH(MAX(COUNTIF($K$2:$K$2501,$K$2:$K$2501)),COUNTIF($K$2:$K$2501,$K$2:$K$2501),0)),K1575)</f>
        <v>B2B</v>
      </c>
    </row>
    <row r="1576" spans="1:17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 s="3">
        <f t="shared" si="120"/>
        <v>-5690.4839344262318</v>
      </c>
      <c r="I1576" s="1">
        <v>45602</v>
      </c>
      <c r="J1576" t="s">
        <v>46</v>
      </c>
      <c r="K1576" t="s">
        <v>23</v>
      </c>
      <c r="L1576" s="2">
        <f t="shared" si="121"/>
        <v>2845.2419672131159</v>
      </c>
      <c r="M1576" s="4">
        <f t="shared" si="122"/>
        <v>0.6</v>
      </c>
      <c r="N1576" s="1">
        <f t="shared" si="123"/>
        <v>45602</v>
      </c>
      <c r="O1576" s="3">
        <f>(Table13[[#This Row],[Units_Sold]]*Table13[[#This Row],[Unit_Price_Cleaned]]*(1-Table13[[#This Row],[Discount Cleaned]]))</f>
        <v>-2276.193573770493</v>
      </c>
      <c r="P1576" t="str">
        <f t="shared" si="124"/>
        <v>Loss</v>
      </c>
      <c r="Q1576" t="str" cm="1">
        <f t="array" ref="Q1576">IF(K1576="",INDEX($K$2:$K$2501,MATCH(MAX(COUNTIF($K$2:$K$2501,$K$2:$K$2501)),COUNTIF($K$2:$K$2501,$K$2:$K$2501),0)),K1576)</f>
        <v>B2B</v>
      </c>
    </row>
    <row r="1577" spans="1:17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 s="3">
        <f t="shared" si="120"/>
        <v>-5429.56</v>
      </c>
      <c r="I1577" s="1">
        <v>45785</v>
      </c>
      <c r="J1577" t="s">
        <v>18</v>
      </c>
      <c r="K1577" t="s">
        <v>23</v>
      </c>
      <c r="L1577" s="2">
        <f t="shared" si="121"/>
        <v>2714.78</v>
      </c>
      <c r="M1577" s="4">
        <f t="shared" si="122"/>
        <v>0.42</v>
      </c>
      <c r="N1577" s="1">
        <f t="shared" si="123"/>
        <v>45785</v>
      </c>
      <c r="O1577" s="3">
        <f>(Table13[[#This Row],[Units_Sold]]*Table13[[#This Row],[Unit_Price_Cleaned]]*(1-Table13[[#This Row],[Discount Cleaned]]))</f>
        <v>-3149.1448000000005</v>
      </c>
      <c r="P1577" t="str">
        <f t="shared" si="124"/>
        <v>Loss</v>
      </c>
      <c r="Q1577" t="str" cm="1">
        <f t="array" ref="Q1577">IF(K1577="",INDEX($K$2:$K$2501,MATCH(MAX(COUNTIF($K$2:$K$2501,$K$2:$K$2501)),COUNTIF($K$2:$K$2501,$K$2:$K$2501),0)),K1577)</f>
        <v>B2B</v>
      </c>
    </row>
    <row r="1578" spans="1:17" x14ac:dyDescent="0.3">
      <c r="A1578">
        <v>2576</v>
      </c>
      <c r="B1578" t="s">
        <v>1612</v>
      </c>
      <c r="C1578" t="s">
        <v>13</v>
      </c>
      <c r="D1578" t="s">
        <v>49</v>
      </c>
      <c r="E1578">
        <v>2</v>
      </c>
      <c r="G1578">
        <v>0.56000000000000005</v>
      </c>
      <c r="H1578" s="3">
        <f t="shared" si="120"/>
        <v>5570.1755932203387</v>
      </c>
      <c r="I1578" s="1">
        <v>45851</v>
      </c>
      <c r="J1578" t="s">
        <v>22</v>
      </c>
      <c r="K1578" t="s">
        <v>16</v>
      </c>
      <c r="L1578" s="2">
        <f t="shared" si="121"/>
        <v>2785.0877966101693</v>
      </c>
      <c r="M1578" s="4">
        <f t="shared" si="122"/>
        <v>0.56000000000000005</v>
      </c>
      <c r="N1578" s="1">
        <f t="shared" si="123"/>
        <v>45851</v>
      </c>
      <c r="O1578" s="3">
        <f>(Table13[[#This Row],[Units_Sold]]*Table13[[#This Row],[Unit_Price_Cleaned]]*(1-Table13[[#This Row],[Discount Cleaned]]))</f>
        <v>2450.8772610169485</v>
      </c>
      <c r="P1578" t="str">
        <f t="shared" si="124"/>
        <v>Profit</v>
      </c>
      <c r="Q1578" t="str" cm="1">
        <f t="array" ref="Q1578">IF(K1578="",INDEX($K$2:$K$2501,MATCH(MAX(COUNTIF($K$2:$K$2501,$K$2:$K$2501)),COUNTIF($K$2:$K$2501,$K$2:$K$2501),0)),K1578)</f>
        <v>B2C</v>
      </c>
    </row>
    <row r="1579" spans="1:17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 s="3">
        <f t="shared" si="120"/>
        <v>609.05999999999995</v>
      </c>
      <c r="I1579" s="1">
        <v>45597</v>
      </c>
      <c r="J1579" t="s">
        <v>18</v>
      </c>
      <c r="K1579" t="s">
        <v>16</v>
      </c>
      <c r="L1579" s="2">
        <f t="shared" si="121"/>
        <v>609.05999999999995</v>
      </c>
      <c r="M1579" s="4">
        <f t="shared" si="122"/>
        <v>0.17</v>
      </c>
      <c r="N1579" s="1">
        <f t="shared" si="123"/>
        <v>45597</v>
      </c>
      <c r="O1579" s="3">
        <f>(Table13[[#This Row],[Units_Sold]]*Table13[[#This Row],[Unit_Price_Cleaned]]*(1-Table13[[#This Row],[Discount Cleaned]]))</f>
        <v>505.51979999999992</v>
      </c>
      <c r="P1579" t="str">
        <f t="shared" si="124"/>
        <v>Profit</v>
      </c>
      <c r="Q1579" t="str" cm="1">
        <f t="array" ref="Q1579">IF(K1579="",INDEX($K$2:$K$2501,MATCH(MAX(COUNTIF($K$2:$K$2501,$K$2:$K$2501)),COUNTIF($K$2:$K$2501,$K$2:$K$2501),0)),K1579)</f>
        <v>B2C</v>
      </c>
    </row>
    <row r="1580" spans="1:17" x14ac:dyDescent="0.3">
      <c r="A1580">
        <v>2578</v>
      </c>
      <c r="B1580" t="s">
        <v>1614</v>
      </c>
      <c r="C1580" t="s">
        <v>33</v>
      </c>
      <c r="D1580" t="s">
        <v>82</v>
      </c>
      <c r="E1580">
        <v>2</v>
      </c>
      <c r="G1580">
        <v>0.87</v>
      </c>
      <c r="H1580" s="3">
        <f t="shared" si="120"/>
        <v>5552.4404000000004</v>
      </c>
      <c r="J1580" t="s">
        <v>56</v>
      </c>
      <c r="L1580" s="2">
        <f t="shared" si="121"/>
        <v>2776.2202000000002</v>
      </c>
      <c r="M1580" s="4">
        <f t="shared" si="122"/>
        <v>0.87</v>
      </c>
      <c r="N1580" s="1">
        <f t="shared" si="123"/>
        <v>45782</v>
      </c>
      <c r="O1580" s="3">
        <f>(Table13[[#This Row],[Units_Sold]]*Table13[[#This Row],[Unit_Price_Cleaned]]*(1-Table13[[#This Row],[Discount Cleaned]]))</f>
        <v>721.81725200000005</v>
      </c>
      <c r="P1580" t="str">
        <f t="shared" si="124"/>
        <v>Profit</v>
      </c>
      <c r="Q1580" t="str" cm="1">
        <f t="array" ref="Q1580">IF(K1580="",INDEX($K$2:$K$2501,MATCH(MAX(COUNTIF($K$2:$K$2501,$K$2:$K$2501)),COUNTIF($K$2:$K$2501,$K$2:$K$2501),0)),K1580)</f>
        <v>B2B</v>
      </c>
    </row>
    <row r="1581" spans="1:17" x14ac:dyDescent="0.3">
      <c r="A1581">
        <v>1026</v>
      </c>
      <c r="B1581" t="s">
        <v>1615</v>
      </c>
      <c r="C1581" t="s">
        <v>13</v>
      </c>
      <c r="D1581" t="s">
        <v>36</v>
      </c>
      <c r="E1581">
        <v>2</v>
      </c>
      <c r="F1581">
        <v>2293.29</v>
      </c>
      <c r="G1581">
        <v>0.4</v>
      </c>
      <c r="H1581" s="3">
        <f t="shared" si="120"/>
        <v>4586.58</v>
      </c>
      <c r="J1581" t="s">
        <v>22</v>
      </c>
      <c r="K1581" t="s">
        <v>16</v>
      </c>
      <c r="L1581" s="2">
        <f t="shared" si="121"/>
        <v>2293.29</v>
      </c>
      <c r="M1581" s="4">
        <f t="shared" si="122"/>
        <v>0.4</v>
      </c>
      <c r="N1581" s="1">
        <f t="shared" si="123"/>
        <v>45782</v>
      </c>
      <c r="O1581" s="3">
        <f>(Table13[[#This Row],[Units_Sold]]*Table13[[#This Row],[Unit_Price_Cleaned]]*(1-Table13[[#This Row],[Discount Cleaned]]))</f>
        <v>2751.9479999999999</v>
      </c>
      <c r="P1581" t="str">
        <f t="shared" si="124"/>
        <v>Profit</v>
      </c>
      <c r="Q1581" t="str" cm="1">
        <f t="array" ref="Q1581">IF(K1581="",INDEX($K$2:$K$2501,MATCH(MAX(COUNTIF($K$2:$K$2501,$K$2:$K$2501)),COUNTIF($K$2:$K$2501,$K$2:$K$2501),0)),K1581)</f>
        <v>B2C</v>
      </c>
    </row>
    <row r="1582" spans="1:17" x14ac:dyDescent="0.3">
      <c r="A1582">
        <v>2580</v>
      </c>
      <c r="B1582" t="s">
        <v>1616</v>
      </c>
      <c r="C1582" t="s">
        <v>25</v>
      </c>
      <c r="D1582" t="s">
        <v>26</v>
      </c>
      <c r="E1582">
        <v>2</v>
      </c>
      <c r="H1582" s="3">
        <f t="shared" si="120"/>
        <v>5777.7428571428572</v>
      </c>
      <c r="I1582" s="1">
        <v>45383</v>
      </c>
      <c r="J1582" t="s">
        <v>56</v>
      </c>
      <c r="K1582" t="s">
        <v>16</v>
      </c>
      <c r="L1582" s="2">
        <f t="shared" si="121"/>
        <v>2888.8714285714286</v>
      </c>
      <c r="M1582" s="4">
        <f t="shared" si="122"/>
        <v>0.6</v>
      </c>
      <c r="N1582" s="1">
        <f t="shared" si="123"/>
        <v>45383</v>
      </c>
      <c r="O1582" s="3">
        <f>(Table13[[#This Row],[Units_Sold]]*Table13[[#This Row],[Unit_Price_Cleaned]]*(1-Table13[[#This Row],[Discount Cleaned]]))</f>
        <v>2311.0971428571429</v>
      </c>
      <c r="P1582" t="str">
        <f t="shared" si="124"/>
        <v>Profit</v>
      </c>
      <c r="Q1582" t="str" cm="1">
        <f t="array" ref="Q1582">IF(K1582="",INDEX($K$2:$K$2501,MATCH(MAX(COUNTIF($K$2:$K$2501,$K$2:$K$2501)),COUNTIF($K$2:$K$2501,$K$2:$K$2501),0)),K1582)</f>
        <v>B2C</v>
      </c>
    </row>
    <row r="1583" spans="1:17" x14ac:dyDescent="0.3">
      <c r="A1583">
        <v>2581</v>
      </c>
      <c r="B1583" t="s">
        <v>1617</v>
      </c>
      <c r="C1583" t="s">
        <v>20</v>
      </c>
      <c r="D1583" t="s">
        <v>80</v>
      </c>
      <c r="E1583">
        <v>2</v>
      </c>
      <c r="F1583">
        <v>3895.43</v>
      </c>
      <c r="H1583" s="3">
        <f t="shared" si="120"/>
        <v>7790.86</v>
      </c>
      <c r="I1583" s="1">
        <v>45611</v>
      </c>
      <c r="J1583" t="s">
        <v>40</v>
      </c>
      <c r="L1583" s="2">
        <f t="shared" si="121"/>
        <v>3895.43</v>
      </c>
      <c r="M1583" s="4">
        <f t="shared" si="122"/>
        <v>0.6</v>
      </c>
      <c r="N1583" s="1">
        <f t="shared" si="123"/>
        <v>45611</v>
      </c>
      <c r="O1583" s="3">
        <f>(Table13[[#This Row],[Units_Sold]]*Table13[[#This Row],[Unit_Price_Cleaned]]*(1-Table13[[#This Row],[Discount Cleaned]]))</f>
        <v>3116.3440000000001</v>
      </c>
      <c r="P1583" t="str">
        <f t="shared" si="124"/>
        <v>Profit</v>
      </c>
      <c r="Q1583" t="str" cm="1">
        <f t="array" ref="Q1583">IF(K1583="",INDEX($K$2:$K$2501,MATCH(MAX(COUNTIF($K$2:$K$2501,$K$2:$K$2501)),COUNTIF($K$2:$K$2501,$K$2:$K$2501),0)),K1583)</f>
        <v>B2B</v>
      </c>
    </row>
    <row r="1584" spans="1:17" x14ac:dyDescent="0.3">
      <c r="A1584">
        <v>2582</v>
      </c>
      <c r="B1584" t="s">
        <v>1618</v>
      </c>
      <c r="C1584" t="s">
        <v>33</v>
      </c>
      <c r="D1584" t="s">
        <v>44</v>
      </c>
      <c r="E1584">
        <v>2</v>
      </c>
      <c r="F1584">
        <v>4154.55</v>
      </c>
      <c r="G1584">
        <v>0.95</v>
      </c>
      <c r="H1584" s="3">
        <f t="shared" si="120"/>
        <v>8309.1</v>
      </c>
      <c r="I1584" s="1">
        <v>45551</v>
      </c>
      <c r="J1584" t="s">
        <v>46</v>
      </c>
      <c r="K1584" t="s">
        <v>23</v>
      </c>
      <c r="L1584" s="2">
        <f t="shared" si="121"/>
        <v>4154.55</v>
      </c>
      <c r="M1584" s="4">
        <f t="shared" si="122"/>
        <v>0.95</v>
      </c>
      <c r="N1584" s="1">
        <f t="shared" si="123"/>
        <v>45551</v>
      </c>
      <c r="O1584" s="3">
        <f>(Table13[[#This Row],[Units_Sold]]*Table13[[#This Row],[Unit_Price_Cleaned]]*(1-Table13[[#This Row],[Discount Cleaned]]))</f>
        <v>415.45500000000038</v>
      </c>
      <c r="P1584" t="str">
        <f t="shared" si="124"/>
        <v>Loss</v>
      </c>
      <c r="Q1584" t="str" cm="1">
        <f t="array" ref="Q1584">IF(K1584="",INDEX($K$2:$K$2501,MATCH(MAX(COUNTIF($K$2:$K$2501,$K$2:$K$2501)),COUNTIF($K$2:$K$2501,$K$2:$K$2501),0)),K1584)</f>
        <v>B2B</v>
      </c>
    </row>
    <row r="1585" spans="1:17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 s="3">
        <f t="shared" si="120"/>
        <v>-5765.0093103448271</v>
      </c>
      <c r="I1585" s="1">
        <v>45392</v>
      </c>
      <c r="J1585" t="s">
        <v>15</v>
      </c>
      <c r="K1585" t="s">
        <v>16</v>
      </c>
      <c r="L1585" s="2">
        <f t="shared" si="121"/>
        <v>2882.5046551724135</v>
      </c>
      <c r="M1585" s="4">
        <f t="shared" si="122"/>
        <v>0.6</v>
      </c>
      <c r="N1585" s="1">
        <f t="shared" si="123"/>
        <v>45392</v>
      </c>
      <c r="O1585" s="3">
        <f>(Table13[[#This Row],[Units_Sold]]*Table13[[#This Row],[Unit_Price_Cleaned]]*(1-Table13[[#This Row],[Discount Cleaned]]))</f>
        <v>-2306.0037241379309</v>
      </c>
      <c r="P1585" t="str">
        <f t="shared" si="124"/>
        <v>Loss</v>
      </c>
      <c r="Q1585" t="str" cm="1">
        <f t="array" ref="Q1585">IF(K1585="",INDEX($K$2:$K$2501,MATCH(MAX(COUNTIF($K$2:$K$2501,$K$2:$K$2501)),COUNTIF($K$2:$K$2501,$K$2:$K$2501),0)),K1585)</f>
        <v>B2C</v>
      </c>
    </row>
    <row r="1586" spans="1:17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 s="3">
        <f t="shared" si="120"/>
        <v>3828.7799999999997</v>
      </c>
      <c r="J1586" t="s">
        <v>22</v>
      </c>
      <c r="K1586" t="s">
        <v>16</v>
      </c>
      <c r="L1586" s="2">
        <f t="shared" si="121"/>
        <v>1276.26</v>
      </c>
      <c r="M1586" s="4">
        <f t="shared" si="122"/>
        <v>0.69</v>
      </c>
      <c r="N1586" s="1">
        <f t="shared" si="123"/>
        <v>45782</v>
      </c>
      <c r="O1586" s="3">
        <f>(Table13[[#This Row],[Units_Sold]]*Table13[[#This Row],[Unit_Price_Cleaned]]*(1-Table13[[#This Row],[Discount Cleaned]]))</f>
        <v>1186.9218000000001</v>
      </c>
      <c r="P1586" t="str">
        <f t="shared" si="124"/>
        <v>Profit</v>
      </c>
      <c r="Q1586" t="str" cm="1">
        <f t="array" ref="Q1586">IF(K1586="",INDEX($K$2:$K$2501,MATCH(MAX(COUNTIF($K$2:$K$2501,$K$2:$K$2501)),COUNTIF($K$2:$K$2501,$K$2:$K$2501),0)),K1586)</f>
        <v>B2C</v>
      </c>
    </row>
    <row r="1587" spans="1:17" x14ac:dyDescent="0.3">
      <c r="A1587">
        <v>2585</v>
      </c>
      <c r="B1587" t="s">
        <v>1621</v>
      </c>
      <c r="C1587" t="s">
        <v>38</v>
      </c>
      <c r="D1587" t="s">
        <v>39</v>
      </c>
      <c r="E1587">
        <v>2</v>
      </c>
      <c r="H1587" s="3">
        <f t="shared" si="120"/>
        <v>6016.7688888888888</v>
      </c>
      <c r="I1587" s="1">
        <v>45624</v>
      </c>
      <c r="J1587" t="s">
        <v>56</v>
      </c>
      <c r="K1587" t="s">
        <v>16</v>
      </c>
      <c r="L1587" s="2">
        <f t="shared" si="121"/>
        <v>3008.3844444444444</v>
      </c>
      <c r="M1587" s="4">
        <f t="shared" si="122"/>
        <v>0.6</v>
      </c>
      <c r="N1587" s="1">
        <f t="shared" si="123"/>
        <v>45624</v>
      </c>
      <c r="O1587" s="3">
        <f>(Table13[[#This Row],[Units_Sold]]*Table13[[#This Row],[Unit_Price_Cleaned]]*(1-Table13[[#This Row],[Discount Cleaned]]))</f>
        <v>2406.7075555555557</v>
      </c>
      <c r="P1587" t="str">
        <f t="shared" si="124"/>
        <v>Profit</v>
      </c>
      <c r="Q1587" t="str" cm="1">
        <f t="array" ref="Q1587">IF(K1587="",INDEX($K$2:$K$2501,MATCH(MAX(COUNTIF($K$2:$K$2501,$K$2:$K$2501)),COUNTIF($K$2:$K$2501,$K$2:$K$2501),0)),K1587)</f>
        <v>B2C</v>
      </c>
    </row>
    <row r="1588" spans="1:17" x14ac:dyDescent="0.3">
      <c r="A1588">
        <v>2586</v>
      </c>
      <c r="B1588" t="s">
        <v>1622</v>
      </c>
      <c r="C1588" t="s">
        <v>13</v>
      </c>
      <c r="D1588" t="s">
        <v>14</v>
      </c>
      <c r="E1588">
        <v>2</v>
      </c>
      <c r="F1588">
        <v>789.21</v>
      </c>
      <c r="H1588" s="3">
        <f t="shared" si="120"/>
        <v>1578.42</v>
      </c>
      <c r="I1588" s="1">
        <v>45672</v>
      </c>
      <c r="J1588" t="s">
        <v>18</v>
      </c>
      <c r="K1588" t="s">
        <v>16</v>
      </c>
      <c r="L1588" s="2">
        <f t="shared" si="121"/>
        <v>789.21</v>
      </c>
      <c r="M1588" s="4">
        <f t="shared" si="122"/>
        <v>0.6</v>
      </c>
      <c r="N1588" s="1">
        <f t="shared" si="123"/>
        <v>45672</v>
      </c>
      <c r="O1588" s="3">
        <f>(Table13[[#This Row],[Units_Sold]]*Table13[[#This Row],[Unit_Price_Cleaned]]*(1-Table13[[#This Row],[Discount Cleaned]]))</f>
        <v>631.36800000000005</v>
      </c>
      <c r="P1588" t="str">
        <f t="shared" si="124"/>
        <v>Profit</v>
      </c>
      <c r="Q1588" t="str" cm="1">
        <f t="array" ref="Q1588">IF(K1588="",INDEX($K$2:$K$2501,MATCH(MAX(COUNTIF($K$2:$K$2501,$K$2:$K$2501)),COUNTIF($K$2:$K$2501,$K$2:$K$2501),0)),K1588)</f>
        <v>B2C</v>
      </c>
    </row>
    <row r="1589" spans="1:17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 s="3">
        <f t="shared" si="120"/>
        <v>17316.849999999999</v>
      </c>
      <c r="J1589" t="s">
        <v>40</v>
      </c>
      <c r="K1589" t="s">
        <v>23</v>
      </c>
      <c r="L1589" s="2">
        <f t="shared" si="121"/>
        <v>3463.37</v>
      </c>
      <c r="M1589" s="4">
        <f t="shared" si="122"/>
        <v>0.1</v>
      </c>
      <c r="N1589" s="1">
        <f t="shared" si="123"/>
        <v>45782</v>
      </c>
      <c r="O1589" s="3">
        <f>(Table13[[#This Row],[Units_Sold]]*Table13[[#This Row],[Unit_Price_Cleaned]]*(1-Table13[[#This Row],[Discount Cleaned]]))</f>
        <v>15585.164999999999</v>
      </c>
      <c r="P1589" t="str">
        <f t="shared" si="124"/>
        <v>Profit</v>
      </c>
      <c r="Q1589" t="str" cm="1">
        <f t="array" ref="Q1589">IF(K1589="",INDEX($K$2:$K$2501,MATCH(MAX(COUNTIF($K$2:$K$2501,$K$2:$K$2501)),COUNTIF($K$2:$K$2501,$K$2:$K$2501),0)),K1589)</f>
        <v>B2B</v>
      </c>
    </row>
    <row r="1590" spans="1:17" x14ac:dyDescent="0.3">
      <c r="A1590">
        <v>2588</v>
      </c>
      <c r="B1590" t="s">
        <v>1624</v>
      </c>
      <c r="C1590" t="s">
        <v>29</v>
      </c>
      <c r="D1590" t="s">
        <v>42</v>
      </c>
      <c r="E1590">
        <v>2</v>
      </c>
      <c r="G1590">
        <v>1.07</v>
      </c>
      <c r="H1590" s="3">
        <f t="shared" si="120"/>
        <v>5119.3334615384629</v>
      </c>
      <c r="I1590" s="1">
        <v>45650</v>
      </c>
      <c r="J1590" t="s">
        <v>56</v>
      </c>
      <c r="L1590" s="2">
        <f t="shared" si="121"/>
        <v>2559.6667307692314</v>
      </c>
      <c r="M1590" s="4">
        <f t="shared" si="122"/>
        <v>1.07</v>
      </c>
      <c r="N1590" s="1">
        <f t="shared" si="123"/>
        <v>45650</v>
      </c>
      <c r="O1590" s="3">
        <f>(Table13[[#This Row],[Units_Sold]]*Table13[[#This Row],[Unit_Price_Cleaned]]*(1-Table13[[#This Row],[Discount Cleaned]]))</f>
        <v>-358.35334230769274</v>
      </c>
      <c r="P1590" t="str">
        <f t="shared" si="124"/>
        <v>Loss</v>
      </c>
      <c r="Q1590" t="str" cm="1">
        <f t="array" ref="Q1590">IF(K1590="",INDEX($K$2:$K$2501,MATCH(MAX(COUNTIF($K$2:$K$2501,$K$2:$K$2501)),COUNTIF($K$2:$K$2501,$K$2:$K$2501),0)),K1590)</f>
        <v>B2B</v>
      </c>
    </row>
    <row r="1591" spans="1:17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 s="3">
        <f t="shared" si="120"/>
        <v>0</v>
      </c>
      <c r="I1591" s="1">
        <v>45695</v>
      </c>
      <c r="J1591" t="s">
        <v>15</v>
      </c>
      <c r="L1591" s="2">
        <f t="shared" si="121"/>
        <v>3256.31</v>
      </c>
      <c r="M1591" s="4">
        <f t="shared" si="122"/>
        <v>0.6</v>
      </c>
      <c r="N1591" s="1">
        <f t="shared" si="123"/>
        <v>45695</v>
      </c>
      <c r="O1591" s="3">
        <f>(Table13[[#This Row],[Units_Sold]]*Table13[[#This Row],[Unit_Price_Cleaned]]*(1-Table13[[#This Row],[Discount Cleaned]]))</f>
        <v>0</v>
      </c>
      <c r="P1591" t="str">
        <f t="shared" si="124"/>
        <v>Loss</v>
      </c>
      <c r="Q1591" t="str" cm="1">
        <f t="array" ref="Q1591">IF(K1591="",INDEX($K$2:$K$2501,MATCH(MAX(COUNTIF($K$2:$K$2501,$K$2:$K$2501)),COUNTIF($K$2:$K$2501,$K$2:$K$2501),0)),K1591)</f>
        <v>B2B</v>
      </c>
    </row>
    <row r="1592" spans="1:17" x14ac:dyDescent="0.3">
      <c r="A1592">
        <v>2590</v>
      </c>
      <c r="B1592" t="s">
        <v>1626</v>
      </c>
      <c r="C1592" t="s">
        <v>25</v>
      </c>
      <c r="D1592" t="s">
        <v>66</v>
      </c>
      <c r="E1592">
        <v>2</v>
      </c>
      <c r="G1592">
        <v>0.54</v>
      </c>
      <c r="H1592" s="3">
        <f t="shared" si="120"/>
        <v>5145.5528000000013</v>
      </c>
      <c r="I1592" s="1">
        <v>45542</v>
      </c>
      <c r="J1592" t="s">
        <v>15</v>
      </c>
      <c r="K1592" t="s">
        <v>23</v>
      </c>
      <c r="L1592" s="2">
        <f t="shared" si="121"/>
        <v>2572.7764000000006</v>
      </c>
      <c r="M1592" s="4">
        <f t="shared" si="122"/>
        <v>0.54</v>
      </c>
      <c r="N1592" s="1">
        <f t="shared" si="123"/>
        <v>45542</v>
      </c>
      <c r="O1592" s="3">
        <f>(Table13[[#This Row],[Units_Sold]]*Table13[[#This Row],[Unit_Price_Cleaned]]*(1-Table13[[#This Row],[Discount Cleaned]]))</f>
        <v>2366.9542880000004</v>
      </c>
      <c r="P1592" t="str">
        <f t="shared" si="124"/>
        <v>Profit</v>
      </c>
      <c r="Q1592" t="str" cm="1">
        <f t="array" ref="Q1592">IF(K1592="",INDEX($K$2:$K$2501,MATCH(MAX(COUNTIF($K$2:$K$2501,$K$2:$K$2501)),COUNTIF($K$2:$K$2501,$K$2:$K$2501),0)),K1592)</f>
        <v>B2B</v>
      </c>
    </row>
    <row r="1593" spans="1:17" x14ac:dyDescent="0.3">
      <c r="A1593">
        <v>2591</v>
      </c>
      <c r="B1593" t="s">
        <v>1627</v>
      </c>
      <c r="C1593" t="s">
        <v>20</v>
      </c>
      <c r="D1593" t="s">
        <v>88</v>
      </c>
      <c r="E1593">
        <v>2</v>
      </c>
      <c r="F1593">
        <v>4784.03</v>
      </c>
      <c r="H1593" s="3">
        <f t="shared" si="120"/>
        <v>9568.06</v>
      </c>
      <c r="I1593" s="1">
        <v>45624</v>
      </c>
      <c r="J1593" t="s">
        <v>56</v>
      </c>
      <c r="K1593" t="s">
        <v>16</v>
      </c>
      <c r="L1593" s="2">
        <f t="shared" si="121"/>
        <v>4784.03</v>
      </c>
      <c r="M1593" s="4">
        <f t="shared" si="122"/>
        <v>0.6</v>
      </c>
      <c r="N1593" s="1">
        <f t="shared" si="123"/>
        <v>45624</v>
      </c>
      <c r="O1593" s="3">
        <f>(Table13[[#This Row],[Units_Sold]]*Table13[[#This Row],[Unit_Price_Cleaned]]*(1-Table13[[#This Row],[Discount Cleaned]]))</f>
        <v>3827.2240000000002</v>
      </c>
      <c r="P1593" t="str">
        <f t="shared" si="124"/>
        <v>Profit</v>
      </c>
      <c r="Q1593" t="str" cm="1">
        <f t="array" ref="Q1593">IF(K1593="",INDEX($K$2:$K$2501,MATCH(MAX(COUNTIF($K$2:$K$2501,$K$2:$K$2501)),COUNTIF($K$2:$K$2501,$K$2:$K$2501),0)),K1593)</f>
        <v>B2C</v>
      </c>
    </row>
    <row r="1594" spans="1:17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 s="3">
        <f t="shared" si="120"/>
        <v>9931.86</v>
      </c>
      <c r="J1594" t="s">
        <v>46</v>
      </c>
      <c r="K1594" t="s">
        <v>16</v>
      </c>
      <c r="L1594" s="2">
        <f t="shared" si="121"/>
        <v>4965.93</v>
      </c>
      <c r="M1594" s="4">
        <f t="shared" si="122"/>
        <v>0.6</v>
      </c>
      <c r="N1594" s="1">
        <f t="shared" si="123"/>
        <v>45782</v>
      </c>
      <c r="O1594" s="3">
        <f>(Table13[[#This Row],[Units_Sold]]*Table13[[#This Row],[Unit_Price_Cleaned]]*(1-Table13[[#This Row],[Discount Cleaned]]))</f>
        <v>3972.7440000000006</v>
      </c>
      <c r="P1594" t="str">
        <f t="shared" si="124"/>
        <v>Profit</v>
      </c>
      <c r="Q1594" t="str" cm="1">
        <f t="array" ref="Q1594">IF(K1594="",INDEX($K$2:$K$2501,MATCH(MAX(COUNTIF($K$2:$K$2501,$K$2:$K$2501)),COUNTIF($K$2:$K$2501,$K$2:$K$2501),0)),K1594)</f>
        <v>B2C</v>
      </c>
    </row>
    <row r="1595" spans="1:17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 s="3">
        <f t="shared" si="120"/>
        <v>2945.44</v>
      </c>
      <c r="J1595" t="s">
        <v>22</v>
      </c>
      <c r="L1595" s="2">
        <f t="shared" si="121"/>
        <v>736.36</v>
      </c>
      <c r="M1595" s="4">
        <f t="shared" si="122"/>
        <v>0.83</v>
      </c>
      <c r="N1595" s="1">
        <f t="shared" si="123"/>
        <v>45782</v>
      </c>
      <c r="O1595" s="3">
        <f>(Table13[[#This Row],[Units_Sold]]*Table13[[#This Row],[Unit_Price_Cleaned]]*(1-Table13[[#This Row],[Discount Cleaned]]))</f>
        <v>500.72480000000013</v>
      </c>
      <c r="P1595" t="str">
        <f t="shared" si="124"/>
        <v>Profit</v>
      </c>
      <c r="Q1595" t="str" cm="1">
        <f t="array" ref="Q1595">IF(K1595="",INDEX($K$2:$K$2501,MATCH(MAX(COUNTIF($K$2:$K$2501,$K$2:$K$2501)),COUNTIF($K$2:$K$2501,$K$2:$K$2501),0)),K1595)</f>
        <v>B2B</v>
      </c>
    </row>
    <row r="1596" spans="1:17" x14ac:dyDescent="0.3">
      <c r="A1596">
        <v>2594</v>
      </c>
      <c r="B1596" t="s">
        <v>1629</v>
      </c>
      <c r="C1596" t="s">
        <v>13</v>
      </c>
      <c r="D1596" t="s">
        <v>49</v>
      </c>
      <c r="E1596">
        <v>2</v>
      </c>
      <c r="G1596">
        <v>0.37</v>
      </c>
      <c r="H1596" s="3">
        <f t="shared" si="120"/>
        <v>5570.1755932203387</v>
      </c>
      <c r="J1596" t="s">
        <v>46</v>
      </c>
      <c r="K1596" t="s">
        <v>16</v>
      </c>
      <c r="L1596" s="2">
        <f t="shared" si="121"/>
        <v>2785.0877966101693</v>
      </c>
      <c r="M1596" s="4">
        <f t="shared" si="122"/>
        <v>0.37</v>
      </c>
      <c r="N1596" s="1">
        <f t="shared" si="123"/>
        <v>45782</v>
      </c>
      <c r="O1596" s="3">
        <f>(Table13[[#This Row],[Units_Sold]]*Table13[[#This Row],[Unit_Price_Cleaned]]*(1-Table13[[#This Row],[Discount Cleaned]]))</f>
        <v>3509.2106237288135</v>
      </c>
      <c r="P1596" t="str">
        <f t="shared" si="124"/>
        <v>Profit</v>
      </c>
      <c r="Q1596" t="str" cm="1">
        <f t="array" ref="Q1596">IF(K1596="",INDEX($K$2:$K$2501,MATCH(MAX(COUNTIF($K$2:$K$2501,$K$2:$K$2501)),COUNTIF($K$2:$K$2501,$K$2:$K$2501),0)),K1596)</f>
        <v>B2C</v>
      </c>
    </row>
    <row r="1597" spans="1:17" x14ac:dyDescent="0.3">
      <c r="A1597">
        <v>2595</v>
      </c>
      <c r="B1597" t="s">
        <v>1630</v>
      </c>
      <c r="C1597" t="s">
        <v>38</v>
      </c>
      <c r="D1597" t="s">
        <v>59</v>
      </c>
      <c r="E1597">
        <v>2</v>
      </c>
      <c r="F1597">
        <v>2469.67</v>
      </c>
      <c r="G1597">
        <v>1.07</v>
      </c>
      <c r="H1597" s="3">
        <f t="shared" si="120"/>
        <v>4939.34</v>
      </c>
      <c r="I1597" s="1">
        <v>45535</v>
      </c>
      <c r="J1597" t="s">
        <v>22</v>
      </c>
      <c r="K1597" t="s">
        <v>23</v>
      </c>
      <c r="L1597" s="2">
        <f t="shared" si="121"/>
        <v>2469.67</v>
      </c>
      <c r="M1597" s="4">
        <f t="shared" si="122"/>
        <v>1.07</v>
      </c>
      <c r="N1597" s="1">
        <f t="shared" si="123"/>
        <v>45535</v>
      </c>
      <c r="O1597" s="3">
        <f>(Table13[[#This Row],[Units_Sold]]*Table13[[#This Row],[Unit_Price_Cleaned]]*(1-Table13[[#This Row],[Discount Cleaned]]))</f>
        <v>-345.7538000000003</v>
      </c>
      <c r="P1597" t="str">
        <f t="shared" si="124"/>
        <v>Loss</v>
      </c>
      <c r="Q1597" t="str" cm="1">
        <f t="array" ref="Q1597">IF(K1597="",INDEX($K$2:$K$2501,MATCH(MAX(COUNTIF($K$2:$K$2501,$K$2:$K$2501)),COUNTIF($K$2:$K$2501,$K$2:$K$2501),0)),K1597)</f>
        <v>B2B</v>
      </c>
    </row>
    <row r="1598" spans="1:17" x14ac:dyDescent="0.3">
      <c r="A1598">
        <v>2596</v>
      </c>
      <c r="B1598" t="s">
        <v>1631</v>
      </c>
      <c r="C1598" t="s">
        <v>13</v>
      </c>
      <c r="D1598" t="s">
        <v>14</v>
      </c>
      <c r="E1598">
        <v>2</v>
      </c>
      <c r="F1598">
        <v>2538.5700000000002</v>
      </c>
      <c r="H1598" s="3">
        <f t="shared" si="120"/>
        <v>5077.1400000000003</v>
      </c>
      <c r="I1598" s="1">
        <v>45807</v>
      </c>
      <c r="J1598" t="s">
        <v>56</v>
      </c>
      <c r="K1598" t="s">
        <v>16</v>
      </c>
      <c r="L1598" s="2">
        <f t="shared" si="121"/>
        <v>2538.5700000000002</v>
      </c>
      <c r="M1598" s="4">
        <f t="shared" si="122"/>
        <v>0.6</v>
      </c>
      <c r="N1598" s="1">
        <f t="shared" si="123"/>
        <v>45807</v>
      </c>
      <c r="O1598" s="3">
        <f>(Table13[[#This Row],[Units_Sold]]*Table13[[#This Row],[Unit_Price_Cleaned]]*(1-Table13[[#This Row],[Discount Cleaned]]))</f>
        <v>2030.8560000000002</v>
      </c>
      <c r="P1598" t="str">
        <f t="shared" si="124"/>
        <v>Profit</v>
      </c>
      <c r="Q1598" t="str" cm="1">
        <f t="array" ref="Q1598">IF(K1598="",INDEX($K$2:$K$2501,MATCH(MAX(COUNTIF($K$2:$K$2501,$K$2:$K$2501)),COUNTIF($K$2:$K$2501,$K$2:$K$2501),0)),K1598)</f>
        <v>B2C</v>
      </c>
    </row>
    <row r="1599" spans="1:17" x14ac:dyDescent="0.3">
      <c r="A1599">
        <v>2597</v>
      </c>
      <c r="B1599" t="s">
        <v>1632</v>
      </c>
      <c r="C1599" t="s">
        <v>20</v>
      </c>
      <c r="D1599" t="s">
        <v>21</v>
      </c>
      <c r="E1599">
        <v>2</v>
      </c>
      <c r="H1599" s="3">
        <f t="shared" si="120"/>
        <v>5362.348727272727</v>
      </c>
      <c r="J1599" t="s">
        <v>40</v>
      </c>
      <c r="K1599" t="s">
        <v>23</v>
      </c>
      <c r="L1599" s="2">
        <f t="shared" si="121"/>
        <v>2681.1743636363635</v>
      </c>
      <c r="M1599" s="4">
        <f t="shared" si="122"/>
        <v>0.6</v>
      </c>
      <c r="N1599" s="1">
        <f t="shared" si="123"/>
        <v>45782</v>
      </c>
      <c r="O1599" s="3">
        <f>(Table13[[#This Row],[Units_Sold]]*Table13[[#This Row],[Unit_Price_Cleaned]]*(1-Table13[[#This Row],[Discount Cleaned]]))</f>
        <v>2144.9394909090911</v>
      </c>
      <c r="P1599" t="str">
        <f t="shared" si="124"/>
        <v>Profit</v>
      </c>
      <c r="Q1599" t="str" cm="1">
        <f t="array" ref="Q1599">IF(K1599="",INDEX($K$2:$K$2501,MATCH(MAX(COUNTIF($K$2:$K$2501,$K$2:$K$2501)),COUNTIF($K$2:$K$2501,$K$2:$K$2501),0)),K1599)</f>
        <v>B2B</v>
      </c>
    </row>
    <row r="1600" spans="1:17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 s="3">
        <f t="shared" si="120"/>
        <v>-8824.42</v>
      </c>
      <c r="J1600" t="s">
        <v>40</v>
      </c>
      <c r="K1600" t="s">
        <v>16</v>
      </c>
      <c r="L1600" s="2">
        <f t="shared" si="121"/>
        <v>4412.21</v>
      </c>
      <c r="M1600" s="4">
        <f t="shared" si="122"/>
        <v>0.6</v>
      </c>
      <c r="N1600" s="1">
        <f t="shared" si="123"/>
        <v>45782</v>
      </c>
      <c r="O1600" s="3">
        <f>(Table13[[#This Row],[Units_Sold]]*Table13[[#This Row],[Unit_Price_Cleaned]]*(1-Table13[[#This Row],[Discount Cleaned]]))</f>
        <v>-3529.768</v>
      </c>
      <c r="P1600" t="str">
        <f t="shared" si="124"/>
        <v>Loss</v>
      </c>
      <c r="Q1600" t="str" cm="1">
        <f t="array" ref="Q1600">IF(K1600="",INDEX($K$2:$K$2501,MATCH(MAX(COUNTIF($K$2:$K$2501,$K$2:$K$2501)),COUNTIF($K$2:$K$2501,$K$2:$K$2501),0)),K1600)</f>
        <v>B2C</v>
      </c>
    </row>
    <row r="1601" spans="1:17" x14ac:dyDescent="0.3">
      <c r="A1601">
        <v>2599</v>
      </c>
      <c r="B1601" t="s">
        <v>1634</v>
      </c>
      <c r="C1601" t="s">
        <v>25</v>
      </c>
      <c r="D1601" t="s">
        <v>54</v>
      </c>
      <c r="E1601">
        <v>2</v>
      </c>
      <c r="G1601">
        <v>0.23</v>
      </c>
      <c r="H1601" s="3">
        <f t="shared" si="120"/>
        <v>5060.7673076923093</v>
      </c>
      <c r="I1601" s="1">
        <v>45559</v>
      </c>
      <c r="J1601" t="s">
        <v>56</v>
      </c>
      <c r="L1601" s="2">
        <f t="shared" si="121"/>
        <v>2530.3836538461546</v>
      </c>
      <c r="M1601" s="4">
        <f t="shared" si="122"/>
        <v>0.23</v>
      </c>
      <c r="N1601" s="1">
        <f t="shared" si="123"/>
        <v>45559</v>
      </c>
      <c r="O1601" s="3">
        <f>(Table13[[#This Row],[Units_Sold]]*Table13[[#This Row],[Unit_Price_Cleaned]]*(1-Table13[[#This Row],[Discount Cleaned]]))</f>
        <v>3896.7908269230784</v>
      </c>
      <c r="P1601" t="str">
        <f t="shared" si="124"/>
        <v>Profit</v>
      </c>
      <c r="Q1601" t="str" cm="1">
        <f t="array" ref="Q1601">IF(K1601="",INDEX($K$2:$K$2501,MATCH(MAX(COUNTIF($K$2:$K$2501,$K$2:$K$2501)),COUNTIF($K$2:$K$2501,$K$2:$K$2501),0)),K1601)</f>
        <v>B2B</v>
      </c>
    </row>
    <row r="1602" spans="1:17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 s="3">
        <f t="shared" ref="H1602:H1665" si="125">(L1602*E1602)</f>
        <v>24160.799999999999</v>
      </c>
      <c r="I1602" s="1">
        <v>45555</v>
      </c>
      <c r="J1602" t="s">
        <v>46</v>
      </c>
      <c r="K1602" t="s">
        <v>23</v>
      </c>
      <c r="L1602" s="2">
        <f t="shared" ref="L1602:L1665" si="126">IF(F1602="",AVERAGEIF($D$2:$D$2501,D1602,$F$2:$F$2501),F1602)</f>
        <v>4832.16</v>
      </c>
      <c r="M1602" s="4">
        <f t="shared" ref="M1602:M1665" si="127">IF(G1602="",MEDIAN($G$2,$G$2501),G1602)</f>
        <v>0.6</v>
      </c>
      <c r="N1602" s="1">
        <f t="shared" ref="N1602:N1665" si="128">IF(I1602="",MODE($I$32:$I$2501),I1602)</f>
        <v>45555</v>
      </c>
      <c r="O1602" s="3">
        <f>(Table13[[#This Row],[Units_Sold]]*Table13[[#This Row],[Unit_Price_Cleaned]]*(1-Table13[[#This Row],[Discount Cleaned]]))</f>
        <v>9664.32</v>
      </c>
      <c r="P1602" t="str">
        <f t="shared" ref="P1602:P1665" si="129">IF(O1602&gt;500,"Profit","Loss")</f>
        <v>Profit</v>
      </c>
      <c r="Q1602" t="str" cm="1">
        <f t="array" ref="Q1602">IF(K1602="",INDEX($K$2:$K$2501,MATCH(MAX(COUNTIF($K$2:$K$2501,$K$2:$K$2501)),COUNTIF($K$2:$K$2501,$K$2:$K$2501),0)),K1602)</f>
        <v>B2B</v>
      </c>
    </row>
    <row r="1603" spans="1:17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 s="3">
        <f t="shared" si="125"/>
        <v>2576.3056896551716</v>
      </c>
      <c r="I1603" s="1">
        <v>45508</v>
      </c>
      <c r="J1603" t="s">
        <v>40</v>
      </c>
      <c r="K1603" t="s">
        <v>23</v>
      </c>
      <c r="L1603" s="2">
        <f t="shared" si="126"/>
        <v>2576.3056896551716</v>
      </c>
      <c r="M1603" s="4">
        <f t="shared" si="127"/>
        <v>0.28000000000000003</v>
      </c>
      <c r="N1603" s="1">
        <f t="shared" si="128"/>
        <v>45508</v>
      </c>
      <c r="O1603" s="3">
        <f>(Table13[[#This Row],[Units_Sold]]*Table13[[#This Row],[Unit_Price_Cleaned]]*(1-Table13[[#This Row],[Discount Cleaned]]))</f>
        <v>1854.9400965517234</v>
      </c>
      <c r="P1603" t="str">
        <f t="shared" si="129"/>
        <v>Profit</v>
      </c>
      <c r="Q1603" t="str" cm="1">
        <f t="array" ref="Q1603">IF(K1603="",INDEX($K$2:$K$2501,MATCH(MAX(COUNTIF($K$2:$K$2501,$K$2:$K$2501)),COUNTIF($K$2:$K$2501,$K$2:$K$2501),0)),K1603)</f>
        <v>B2B</v>
      </c>
    </row>
    <row r="1604" spans="1:17" x14ac:dyDescent="0.3">
      <c r="A1604">
        <v>1002</v>
      </c>
      <c r="B1604" t="s">
        <v>1637</v>
      </c>
      <c r="C1604" t="s">
        <v>29</v>
      </c>
      <c r="D1604" t="s">
        <v>120</v>
      </c>
      <c r="E1604">
        <v>2</v>
      </c>
      <c r="H1604" s="3">
        <f t="shared" si="125"/>
        <v>5660.2651428571462</v>
      </c>
      <c r="I1604" s="1">
        <v>45729</v>
      </c>
      <c r="J1604" t="s">
        <v>18</v>
      </c>
      <c r="L1604" s="2">
        <f t="shared" si="126"/>
        <v>2830.1325714285731</v>
      </c>
      <c r="M1604" s="4">
        <f t="shared" si="127"/>
        <v>0.6</v>
      </c>
      <c r="N1604" s="1">
        <f t="shared" si="128"/>
        <v>45729</v>
      </c>
      <c r="O1604" s="3">
        <f>(Table13[[#This Row],[Units_Sold]]*Table13[[#This Row],[Unit_Price_Cleaned]]*(1-Table13[[#This Row],[Discount Cleaned]]))</f>
        <v>2264.1060571428584</v>
      </c>
      <c r="P1604" t="str">
        <f t="shared" si="129"/>
        <v>Profit</v>
      </c>
      <c r="Q1604" t="str" cm="1">
        <f t="array" ref="Q1604">IF(K1604="",INDEX($K$2:$K$2501,MATCH(MAX(COUNTIF($K$2:$K$2501,$K$2:$K$2501)),COUNTIF($K$2:$K$2501,$K$2:$K$2501),0)),K1604)</f>
        <v>B2B</v>
      </c>
    </row>
    <row r="1605" spans="1:17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 s="3">
        <f t="shared" si="125"/>
        <v>22019.200000000001</v>
      </c>
      <c r="J1605" t="s">
        <v>22</v>
      </c>
      <c r="K1605" t="s">
        <v>16</v>
      </c>
      <c r="L1605" s="2">
        <f t="shared" si="126"/>
        <v>4403.84</v>
      </c>
      <c r="M1605" s="4">
        <f t="shared" si="127"/>
        <v>0.6</v>
      </c>
      <c r="N1605" s="1">
        <f t="shared" si="128"/>
        <v>45782</v>
      </c>
      <c r="O1605" s="3">
        <f>(Table13[[#This Row],[Units_Sold]]*Table13[[#This Row],[Unit_Price_Cleaned]]*(1-Table13[[#This Row],[Discount Cleaned]]))</f>
        <v>8807.68</v>
      </c>
      <c r="P1605" t="str">
        <f t="shared" si="129"/>
        <v>Profit</v>
      </c>
      <c r="Q1605" t="str" cm="1">
        <f t="array" ref="Q1605">IF(K1605="",INDEX($K$2:$K$2501,MATCH(MAX(COUNTIF($K$2:$K$2501,$K$2:$K$2501)),COUNTIF($K$2:$K$2501,$K$2:$K$2501),0)),K1605)</f>
        <v>B2C</v>
      </c>
    </row>
    <row r="1606" spans="1:17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 s="3">
        <f t="shared" si="125"/>
        <v>-2171.2199999999998</v>
      </c>
      <c r="I1606" s="1">
        <v>45806</v>
      </c>
      <c r="J1606" t="s">
        <v>40</v>
      </c>
      <c r="K1606" t="s">
        <v>23</v>
      </c>
      <c r="L1606" s="2">
        <f t="shared" si="126"/>
        <v>2171.2199999999998</v>
      </c>
      <c r="M1606" s="4">
        <f t="shared" si="127"/>
        <v>0.6</v>
      </c>
      <c r="N1606" s="1">
        <f t="shared" si="128"/>
        <v>45806</v>
      </c>
      <c r="O1606" s="3">
        <f>(Table13[[#This Row],[Units_Sold]]*Table13[[#This Row],[Unit_Price_Cleaned]]*(1-Table13[[#This Row],[Discount Cleaned]]))</f>
        <v>-868.48799999999994</v>
      </c>
      <c r="P1606" t="str">
        <f t="shared" si="129"/>
        <v>Loss</v>
      </c>
      <c r="Q1606" t="str" cm="1">
        <f t="array" ref="Q1606">IF(K1606="",INDEX($K$2:$K$2501,MATCH(MAX(COUNTIF($K$2:$K$2501,$K$2:$K$2501)),COUNTIF($K$2:$K$2501,$K$2:$K$2501),0)),K1606)</f>
        <v>B2B</v>
      </c>
    </row>
    <row r="1607" spans="1:17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 s="3">
        <f t="shared" si="125"/>
        <v>1636.26</v>
      </c>
      <c r="I1607" s="1">
        <v>45667</v>
      </c>
      <c r="J1607" t="s">
        <v>56</v>
      </c>
      <c r="L1607" s="2">
        <f t="shared" si="126"/>
        <v>1636.26</v>
      </c>
      <c r="M1607" s="4">
        <f t="shared" si="127"/>
        <v>0.94</v>
      </c>
      <c r="N1607" s="1">
        <f t="shared" si="128"/>
        <v>45667</v>
      </c>
      <c r="O1607" s="3">
        <f>(Table13[[#This Row],[Units_Sold]]*Table13[[#This Row],[Unit_Price_Cleaned]]*(1-Table13[[#This Row],[Discount Cleaned]]))</f>
        <v>98.175600000000088</v>
      </c>
      <c r="P1607" t="str">
        <f t="shared" si="129"/>
        <v>Loss</v>
      </c>
      <c r="Q1607" t="str" cm="1">
        <f t="array" ref="Q1607">IF(K1607="",INDEX($K$2:$K$2501,MATCH(MAX(COUNTIF($K$2:$K$2501,$K$2:$K$2501)),COUNTIF($K$2:$K$2501,$K$2:$K$2501),0)),K1607)</f>
        <v>B2B</v>
      </c>
    </row>
    <row r="1608" spans="1:17" x14ac:dyDescent="0.3">
      <c r="A1608">
        <v>2606</v>
      </c>
      <c r="B1608" t="s">
        <v>1641</v>
      </c>
      <c r="C1608" t="s">
        <v>13</v>
      </c>
      <c r="D1608" t="s">
        <v>49</v>
      </c>
      <c r="E1608">
        <v>2</v>
      </c>
      <c r="F1608">
        <v>806.81</v>
      </c>
      <c r="G1608">
        <v>0.11</v>
      </c>
      <c r="H1608" s="3">
        <f t="shared" si="125"/>
        <v>1613.62</v>
      </c>
      <c r="I1608" s="1">
        <v>45442</v>
      </c>
      <c r="J1608" t="s">
        <v>46</v>
      </c>
      <c r="L1608" s="2">
        <f t="shared" si="126"/>
        <v>806.81</v>
      </c>
      <c r="M1608" s="4">
        <f t="shared" si="127"/>
        <v>0.11</v>
      </c>
      <c r="N1608" s="1">
        <f t="shared" si="128"/>
        <v>45442</v>
      </c>
      <c r="O1608" s="3">
        <f>(Table13[[#This Row],[Units_Sold]]*Table13[[#This Row],[Unit_Price_Cleaned]]*(1-Table13[[#This Row],[Discount Cleaned]]))</f>
        <v>1436.1217999999999</v>
      </c>
      <c r="P1608" t="str">
        <f t="shared" si="129"/>
        <v>Profit</v>
      </c>
      <c r="Q1608" t="str" cm="1">
        <f t="array" ref="Q1608">IF(K1608="",INDEX($K$2:$K$2501,MATCH(MAX(COUNTIF($K$2:$K$2501,$K$2:$K$2501)),COUNTIF($K$2:$K$2501,$K$2:$K$2501),0)),K1608)</f>
        <v>B2B</v>
      </c>
    </row>
    <row r="1609" spans="1:17" x14ac:dyDescent="0.3">
      <c r="A1609">
        <v>2607</v>
      </c>
      <c r="B1609" t="s">
        <v>1642</v>
      </c>
      <c r="C1609" t="s">
        <v>20</v>
      </c>
      <c r="D1609" t="s">
        <v>21</v>
      </c>
      <c r="E1609">
        <v>2</v>
      </c>
      <c r="F1609">
        <v>2289.9299999999998</v>
      </c>
      <c r="G1609">
        <v>1.2</v>
      </c>
      <c r="H1609" s="3">
        <f t="shared" si="125"/>
        <v>4579.8599999999997</v>
      </c>
      <c r="I1609" s="1">
        <v>45593</v>
      </c>
      <c r="J1609" t="s">
        <v>40</v>
      </c>
      <c r="K1609" t="s">
        <v>23</v>
      </c>
      <c r="L1609" s="2">
        <f t="shared" si="126"/>
        <v>2289.9299999999998</v>
      </c>
      <c r="M1609" s="4">
        <f t="shared" si="127"/>
        <v>1.2</v>
      </c>
      <c r="N1609" s="1">
        <f t="shared" si="128"/>
        <v>45593</v>
      </c>
      <c r="O1609" s="3">
        <f>(Table13[[#This Row],[Units_Sold]]*Table13[[#This Row],[Unit_Price_Cleaned]]*(1-Table13[[#This Row],[Discount Cleaned]]))</f>
        <v>-915.97199999999975</v>
      </c>
      <c r="P1609" t="str">
        <f t="shared" si="129"/>
        <v>Loss</v>
      </c>
      <c r="Q1609" t="str" cm="1">
        <f t="array" ref="Q1609">IF(K1609="",INDEX($K$2:$K$2501,MATCH(MAX(COUNTIF($K$2:$K$2501,$K$2:$K$2501)),COUNTIF($K$2:$K$2501,$K$2:$K$2501),0)),K1609)</f>
        <v>B2B</v>
      </c>
    </row>
    <row r="1610" spans="1:17" x14ac:dyDescent="0.3">
      <c r="A1610">
        <v>2608</v>
      </c>
      <c r="B1610" t="s">
        <v>1643</v>
      </c>
      <c r="C1610" t="s">
        <v>20</v>
      </c>
      <c r="D1610" t="s">
        <v>21</v>
      </c>
      <c r="E1610">
        <v>2</v>
      </c>
      <c r="F1610">
        <v>3352.88</v>
      </c>
      <c r="H1610" s="3">
        <f t="shared" si="125"/>
        <v>6705.76</v>
      </c>
      <c r="I1610" s="1">
        <v>45464</v>
      </c>
      <c r="J1610" t="s">
        <v>22</v>
      </c>
      <c r="K1610" t="s">
        <v>23</v>
      </c>
      <c r="L1610" s="2">
        <f t="shared" si="126"/>
        <v>3352.88</v>
      </c>
      <c r="M1610" s="4">
        <f t="shared" si="127"/>
        <v>0.6</v>
      </c>
      <c r="N1610" s="1">
        <f t="shared" si="128"/>
        <v>45464</v>
      </c>
      <c r="O1610" s="3">
        <f>(Table13[[#This Row],[Units_Sold]]*Table13[[#This Row],[Unit_Price_Cleaned]]*(1-Table13[[#This Row],[Discount Cleaned]]))</f>
        <v>2682.3040000000001</v>
      </c>
      <c r="P1610" t="str">
        <f t="shared" si="129"/>
        <v>Profit</v>
      </c>
      <c r="Q1610" t="str" cm="1">
        <f t="array" ref="Q1610">IF(K1610="",INDEX($K$2:$K$2501,MATCH(MAX(COUNTIF($K$2:$K$2501,$K$2:$K$2501)),COUNTIF($K$2:$K$2501,$K$2:$K$2501),0)),K1610)</f>
        <v>B2B</v>
      </c>
    </row>
    <row r="1611" spans="1:17" x14ac:dyDescent="0.3">
      <c r="A1611">
        <v>2609</v>
      </c>
      <c r="B1611" t="s">
        <v>1644</v>
      </c>
      <c r="C1611" t="s">
        <v>20</v>
      </c>
      <c r="D1611" t="s">
        <v>21</v>
      </c>
      <c r="E1611">
        <v>2</v>
      </c>
      <c r="H1611" s="3">
        <f t="shared" si="125"/>
        <v>5362.348727272727</v>
      </c>
      <c r="J1611" t="s">
        <v>15</v>
      </c>
      <c r="K1611" t="s">
        <v>16</v>
      </c>
      <c r="L1611" s="2">
        <f t="shared" si="126"/>
        <v>2681.1743636363635</v>
      </c>
      <c r="M1611" s="4">
        <f t="shared" si="127"/>
        <v>0.6</v>
      </c>
      <c r="N1611" s="1">
        <f t="shared" si="128"/>
        <v>45782</v>
      </c>
      <c r="O1611" s="3">
        <f>(Table13[[#This Row],[Units_Sold]]*Table13[[#This Row],[Unit_Price_Cleaned]]*(1-Table13[[#This Row],[Discount Cleaned]]))</f>
        <v>2144.9394909090911</v>
      </c>
      <c r="P1611" t="str">
        <f t="shared" si="129"/>
        <v>Profit</v>
      </c>
      <c r="Q1611" t="str" cm="1">
        <f t="array" ref="Q1611">IF(K1611="",INDEX($K$2:$K$2501,MATCH(MAX(COUNTIF($K$2:$K$2501,$K$2:$K$2501)),COUNTIF($K$2:$K$2501,$K$2:$K$2501),0)),K1611)</f>
        <v>B2C</v>
      </c>
    </row>
    <row r="1612" spans="1:17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 s="3">
        <f t="shared" si="125"/>
        <v>8034.95</v>
      </c>
      <c r="I1612" s="1">
        <v>45283</v>
      </c>
      <c r="J1612" t="s">
        <v>18</v>
      </c>
      <c r="K1612" t="s">
        <v>16</v>
      </c>
      <c r="L1612" s="2">
        <f t="shared" si="126"/>
        <v>1606.99</v>
      </c>
      <c r="M1612" s="4">
        <f t="shared" si="127"/>
        <v>0.6</v>
      </c>
      <c r="N1612" s="1">
        <f t="shared" si="128"/>
        <v>45283</v>
      </c>
      <c r="O1612" s="3">
        <f>(Table13[[#This Row],[Units_Sold]]*Table13[[#This Row],[Unit_Price_Cleaned]]*(1-Table13[[#This Row],[Discount Cleaned]]))</f>
        <v>3213.98</v>
      </c>
      <c r="P1612" t="str">
        <f t="shared" si="129"/>
        <v>Profit</v>
      </c>
      <c r="Q1612" t="str" cm="1">
        <f t="array" ref="Q1612">IF(K1612="",INDEX($K$2:$K$2501,MATCH(MAX(COUNTIF($K$2:$K$2501,$K$2:$K$2501)),COUNTIF($K$2:$K$2501,$K$2:$K$2501),0)),K1612)</f>
        <v>B2C</v>
      </c>
    </row>
    <row r="1613" spans="1:17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 s="3">
        <f t="shared" si="125"/>
        <v>-5690.4839344262318</v>
      </c>
      <c r="I1613" s="1">
        <v>45665</v>
      </c>
      <c r="J1613" t="s">
        <v>46</v>
      </c>
      <c r="K1613" t="s">
        <v>23</v>
      </c>
      <c r="L1613" s="2">
        <f t="shared" si="126"/>
        <v>2845.2419672131159</v>
      </c>
      <c r="M1613" s="4">
        <f t="shared" si="127"/>
        <v>1.05</v>
      </c>
      <c r="N1613" s="1">
        <f t="shared" si="128"/>
        <v>45665</v>
      </c>
      <c r="O1613" s="3">
        <f>(Table13[[#This Row],[Units_Sold]]*Table13[[#This Row],[Unit_Price_Cleaned]]*(1-Table13[[#This Row],[Discount Cleaned]]))</f>
        <v>284.52419672131185</v>
      </c>
      <c r="P1613" t="str">
        <f t="shared" si="129"/>
        <v>Loss</v>
      </c>
      <c r="Q1613" t="str" cm="1">
        <f t="array" ref="Q1613">IF(K1613="",INDEX($K$2:$K$2501,MATCH(MAX(COUNTIF($K$2:$K$2501,$K$2:$K$2501)),COUNTIF($K$2:$K$2501,$K$2:$K$2501),0)),K1613)</f>
        <v>B2B</v>
      </c>
    </row>
    <row r="1614" spans="1:17" x14ac:dyDescent="0.3">
      <c r="A1614">
        <v>2612</v>
      </c>
      <c r="B1614" t="s">
        <v>1647</v>
      </c>
      <c r="C1614" t="s">
        <v>29</v>
      </c>
      <c r="D1614" t="s">
        <v>120</v>
      </c>
      <c r="E1614">
        <v>2</v>
      </c>
      <c r="F1614">
        <v>2672.64</v>
      </c>
      <c r="H1614" s="3">
        <f t="shared" si="125"/>
        <v>5345.28</v>
      </c>
      <c r="I1614" s="1">
        <v>45402</v>
      </c>
      <c r="J1614" t="s">
        <v>40</v>
      </c>
      <c r="K1614" t="s">
        <v>23</v>
      </c>
      <c r="L1614" s="2">
        <f t="shared" si="126"/>
        <v>2672.64</v>
      </c>
      <c r="M1614" s="4">
        <f t="shared" si="127"/>
        <v>0.6</v>
      </c>
      <c r="N1614" s="1">
        <f t="shared" si="128"/>
        <v>45402</v>
      </c>
      <c r="O1614" s="3">
        <f>(Table13[[#This Row],[Units_Sold]]*Table13[[#This Row],[Unit_Price_Cleaned]]*(1-Table13[[#This Row],[Discount Cleaned]]))</f>
        <v>2138.1120000000001</v>
      </c>
      <c r="P1614" t="str">
        <f t="shared" si="129"/>
        <v>Profit</v>
      </c>
      <c r="Q1614" t="str" cm="1">
        <f t="array" ref="Q1614">IF(K1614="",INDEX($K$2:$K$2501,MATCH(MAX(COUNTIF($K$2:$K$2501,$K$2:$K$2501)),COUNTIF($K$2:$K$2501,$K$2:$K$2501),0)),K1614)</f>
        <v>B2B</v>
      </c>
    </row>
    <row r="1615" spans="1:17" x14ac:dyDescent="0.3">
      <c r="A1615">
        <v>2613</v>
      </c>
      <c r="B1615" t="s">
        <v>1648</v>
      </c>
      <c r="C1615" t="s">
        <v>33</v>
      </c>
      <c r="D1615" t="s">
        <v>82</v>
      </c>
      <c r="E1615">
        <v>2</v>
      </c>
      <c r="F1615">
        <v>2438.16</v>
      </c>
      <c r="H1615" s="3">
        <f t="shared" si="125"/>
        <v>4876.32</v>
      </c>
      <c r="I1615" s="1">
        <v>45352</v>
      </c>
      <c r="J1615" t="s">
        <v>46</v>
      </c>
      <c r="K1615" t="s">
        <v>23</v>
      </c>
      <c r="L1615" s="2">
        <f t="shared" si="126"/>
        <v>2438.16</v>
      </c>
      <c r="M1615" s="4">
        <f t="shared" si="127"/>
        <v>0.6</v>
      </c>
      <c r="N1615" s="1">
        <f t="shared" si="128"/>
        <v>45352</v>
      </c>
      <c r="O1615" s="3">
        <f>(Table13[[#This Row],[Units_Sold]]*Table13[[#This Row],[Unit_Price_Cleaned]]*(1-Table13[[#This Row],[Discount Cleaned]]))</f>
        <v>1950.528</v>
      </c>
      <c r="P1615" t="str">
        <f t="shared" si="129"/>
        <v>Profit</v>
      </c>
      <c r="Q1615" t="str" cm="1">
        <f t="array" ref="Q1615">IF(K1615="",INDEX($K$2:$K$2501,MATCH(MAX(COUNTIF($K$2:$K$2501,$K$2:$K$2501)),COUNTIF($K$2:$K$2501,$K$2:$K$2501),0)),K1615)</f>
        <v>B2B</v>
      </c>
    </row>
    <row r="1616" spans="1:17" x14ac:dyDescent="0.3">
      <c r="A1616">
        <v>2614</v>
      </c>
      <c r="B1616" t="s">
        <v>1649</v>
      </c>
      <c r="C1616" t="s">
        <v>25</v>
      </c>
      <c r="D1616" t="s">
        <v>54</v>
      </c>
      <c r="E1616">
        <v>2</v>
      </c>
      <c r="F1616">
        <v>4530.28</v>
      </c>
      <c r="G1616">
        <v>0.67</v>
      </c>
      <c r="H1616" s="3">
        <f t="shared" si="125"/>
        <v>9060.56</v>
      </c>
      <c r="I1616" s="1">
        <v>45648</v>
      </c>
      <c r="J1616" t="s">
        <v>18</v>
      </c>
      <c r="K1616" t="s">
        <v>23</v>
      </c>
      <c r="L1616" s="2">
        <f t="shared" si="126"/>
        <v>4530.28</v>
      </c>
      <c r="M1616" s="4">
        <f t="shared" si="127"/>
        <v>0.67</v>
      </c>
      <c r="N1616" s="1">
        <f t="shared" si="128"/>
        <v>45648</v>
      </c>
      <c r="O1616" s="3">
        <f>(Table13[[#This Row],[Units_Sold]]*Table13[[#This Row],[Unit_Price_Cleaned]]*(1-Table13[[#This Row],[Discount Cleaned]]))</f>
        <v>2989.9847999999993</v>
      </c>
      <c r="P1616" t="str">
        <f t="shared" si="129"/>
        <v>Profit</v>
      </c>
      <c r="Q1616" t="str" cm="1">
        <f t="array" ref="Q1616">IF(K1616="",INDEX($K$2:$K$2501,MATCH(MAX(COUNTIF($K$2:$K$2501,$K$2:$K$2501)),COUNTIF($K$2:$K$2501,$K$2:$K$2501),0)),K1616)</f>
        <v>B2B</v>
      </c>
    </row>
    <row r="1617" spans="1:17" x14ac:dyDescent="0.3">
      <c r="A1617">
        <v>2615</v>
      </c>
      <c r="B1617" t="s">
        <v>1650</v>
      </c>
      <c r="C1617" t="s">
        <v>33</v>
      </c>
      <c r="D1617" t="s">
        <v>72</v>
      </c>
      <c r="E1617">
        <v>2</v>
      </c>
      <c r="H1617" s="3">
        <f t="shared" si="125"/>
        <v>5431.091698113205</v>
      </c>
      <c r="I1617" s="1">
        <v>45267</v>
      </c>
      <c r="J1617" t="s">
        <v>22</v>
      </c>
      <c r="K1617" t="s">
        <v>23</v>
      </c>
      <c r="L1617" s="2">
        <f t="shared" si="126"/>
        <v>2715.5458490566025</v>
      </c>
      <c r="M1617" s="4">
        <f t="shared" si="127"/>
        <v>0.6</v>
      </c>
      <c r="N1617" s="1">
        <f t="shared" si="128"/>
        <v>45267</v>
      </c>
      <c r="O1617" s="3">
        <f>(Table13[[#This Row],[Units_Sold]]*Table13[[#This Row],[Unit_Price_Cleaned]]*(1-Table13[[#This Row],[Discount Cleaned]]))</f>
        <v>2172.436679245282</v>
      </c>
      <c r="P1617" t="str">
        <f t="shared" si="129"/>
        <v>Profit</v>
      </c>
      <c r="Q1617" t="str" cm="1">
        <f t="array" ref="Q1617">IF(K1617="",INDEX($K$2:$K$2501,MATCH(MAX(COUNTIF($K$2:$K$2501,$K$2:$K$2501)),COUNTIF($K$2:$K$2501,$K$2:$K$2501),0)),K1617)</f>
        <v>B2B</v>
      </c>
    </row>
    <row r="1618" spans="1:17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 s="3">
        <f t="shared" si="125"/>
        <v>13881.101000000001</v>
      </c>
      <c r="I1618" s="1">
        <v>45795</v>
      </c>
      <c r="J1618" t="s">
        <v>46</v>
      </c>
      <c r="K1618" t="s">
        <v>23</v>
      </c>
      <c r="L1618" s="2">
        <f t="shared" si="126"/>
        <v>2776.2202000000002</v>
      </c>
      <c r="M1618" s="4">
        <f t="shared" si="127"/>
        <v>0.24</v>
      </c>
      <c r="N1618" s="1">
        <f t="shared" si="128"/>
        <v>45795</v>
      </c>
      <c r="O1618" s="3">
        <f>(Table13[[#This Row],[Units_Sold]]*Table13[[#This Row],[Unit_Price_Cleaned]]*(1-Table13[[#This Row],[Discount Cleaned]]))</f>
        <v>10549.636760000001</v>
      </c>
      <c r="P1618" t="str">
        <f t="shared" si="129"/>
        <v>Profit</v>
      </c>
      <c r="Q1618" t="str" cm="1">
        <f t="array" ref="Q1618">IF(K1618="",INDEX($K$2:$K$2501,MATCH(MAX(COUNTIF($K$2:$K$2501,$K$2:$K$2501)),COUNTIF($K$2:$K$2501,$K$2:$K$2501),0)),K1618)</f>
        <v>B2B</v>
      </c>
    </row>
    <row r="1619" spans="1:17" x14ac:dyDescent="0.3">
      <c r="A1619">
        <v>2617</v>
      </c>
      <c r="B1619" t="s">
        <v>1652</v>
      </c>
      <c r="C1619" t="s">
        <v>38</v>
      </c>
      <c r="D1619" t="s">
        <v>59</v>
      </c>
      <c r="E1619">
        <v>2</v>
      </c>
      <c r="H1619" s="3">
        <f t="shared" si="125"/>
        <v>5608.5303846153838</v>
      </c>
      <c r="I1619" s="1">
        <v>45746</v>
      </c>
      <c r="J1619" t="s">
        <v>22</v>
      </c>
      <c r="L1619" s="2">
        <f t="shared" si="126"/>
        <v>2804.2651923076919</v>
      </c>
      <c r="M1619" s="4">
        <f t="shared" si="127"/>
        <v>0.6</v>
      </c>
      <c r="N1619" s="1">
        <f t="shared" si="128"/>
        <v>45746</v>
      </c>
      <c r="O1619" s="3">
        <f>(Table13[[#This Row],[Units_Sold]]*Table13[[#This Row],[Unit_Price_Cleaned]]*(1-Table13[[#This Row],[Discount Cleaned]]))</f>
        <v>2243.4121538461536</v>
      </c>
      <c r="P1619" t="str">
        <f t="shared" si="129"/>
        <v>Profit</v>
      </c>
      <c r="Q1619" t="str" cm="1">
        <f t="array" ref="Q1619">IF(K1619="",INDEX($K$2:$K$2501,MATCH(MAX(COUNTIF($K$2:$K$2501,$K$2:$K$2501)),COUNTIF($K$2:$K$2501,$K$2:$K$2501),0)),K1619)</f>
        <v>B2B</v>
      </c>
    </row>
    <row r="1620" spans="1:17" x14ac:dyDescent="0.3">
      <c r="A1620">
        <v>2618</v>
      </c>
      <c r="B1620" t="s">
        <v>1653</v>
      </c>
      <c r="C1620" t="s">
        <v>25</v>
      </c>
      <c r="D1620" t="s">
        <v>86</v>
      </c>
      <c r="E1620">
        <v>2</v>
      </c>
      <c r="G1620">
        <v>0.95</v>
      </c>
      <c r="H1620" s="3">
        <f t="shared" si="125"/>
        <v>5003.0619999999999</v>
      </c>
      <c r="I1620" s="1">
        <v>45541</v>
      </c>
      <c r="J1620" t="s">
        <v>18</v>
      </c>
      <c r="L1620" s="2">
        <f t="shared" si="126"/>
        <v>2501.5309999999999</v>
      </c>
      <c r="M1620" s="4">
        <f t="shared" si="127"/>
        <v>0.95</v>
      </c>
      <c r="N1620" s="1">
        <f t="shared" si="128"/>
        <v>45541</v>
      </c>
      <c r="O1620" s="3">
        <f>(Table13[[#This Row],[Units_Sold]]*Table13[[#This Row],[Unit_Price_Cleaned]]*(1-Table13[[#This Row],[Discount Cleaned]]))</f>
        <v>250.15310000000022</v>
      </c>
      <c r="P1620" t="str">
        <f t="shared" si="129"/>
        <v>Loss</v>
      </c>
      <c r="Q1620" t="str" cm="1">
        <f t="array" ref="Q1620">IF(K1620="",INDEX($K$2:$K$2501,MATCH(MAX(COUNTIF($K$2:$K$2501,$K$2:$K$2501)),COUNTIF($K$2:$K$2501,$K$2:$K$2501),0)),K1620)</f>
        <v>B2B</v>
      </c>
    </row>
    <row r="1621" spans="1:17" x14ac:dyDescent="0.3">
      <c r="A1621">
        <v>2619</v>
      </c>
      <c r="B1621" t="s">
        <v>1654</v>
      </c>
      <c r="C1621" t="s">
        <v>13</v>
      </c>
      <c r="D1621" t="s">
        <v>49</v>
      </c>
      <c r="E1621">
        <v>2</v>
      </c>
      <c r="H1621" s="3">
        <f t="shared" si="125"/>
        <v>5570.1755932203387</v>
      </c>
      <c r="J1621" t="s">
        <v>18</v>
      </c>
      <c r="K1621" t="s">
        <v>16</v>
      </c>
      <c r="L1621" s="2">
        <f t="shared" si="126"/>
        <v>2785.0877966101693</v>
      </c>
      <c r="M1621" s="4">
        <f t="shared" si="127"/>
        <v>0.6</v>
      </c>
      <c r="N1621" s="1">
        <f t="shared" si="128"/>
        <v>45782</v>
      </c>
      <c r="O1621" s="3">
        <f>(Table13[[#This Row],[Units_Sold]]*Table13[[#This Row],[Unit_Price_Cleaned]]*(1-Table13[[#This Row],[Discount Cleaned]]))</f>
        <v>2228.0702372881356</v>
      </c>
      <c r="P1621" t="str">
        <f t="shared" si="129"/>
        <v>Profit</v>
      </c>
      <c r="Q1621" t="str" cm="1">
        <f t="array" ref="Q1621">IF(K1621="",INDEX($K$2:$K$2501,MATCH(MAX(COUNTIF($K$2:$K$2501,$K$2:$K$2501)),COUNTIF($K$2:$K$2501,$K$2:$K$2501),0)),K1621)</f>
        <v>B2C</v>
      </c>
    </row>
    <row r="1622" spans="1:17" x14ac:dyDescent="0.3">
      <c r="A1622">
        <v>2620</v>
      </c>
      <c r="B1622" t="s">
        <v>1655</v>
      </c>
      <c r="C1622" t="s">
        <v>25</v>
      </c>
      <c r="D1622" t="s">
        <v>26</v>
      </c>
      <c r="E1622">
        <v>2</v>
      </c>
      <c r="F1622">
        <v>3415.9</v>
      </c>
      <c r="H1622" s="3">
        <f t="shared" si="125"/>
        <v>6831.8</v>
      </c>
      <c r="I1622" s="1">
        <v>45526</v>
      </c>
      <c r="J1622" t="s">
        <v>22</v>
      </c>
      <c r="K1622" t="s">
        <v>16</v>
      </c>
      <c r="L1622" s="2">
        <f t="shared" si="126"/>
        <v>3415.9</v>
      </c>
      <c r="M1622" s="4">
        <f t="shared" si="127"/>
        <v>0.6</v>
      </c>
      <c r="N1622" s="1">
        <f t="shared" si="128"/>
        <v>45526</v>
      </c>
      <c r="O1622" s="3">
        <f>(Table13[[#This Row],[Units_Sold]]*Table13[[#This Row],[Unit_Price_Cleaned]]*(1-Table13[[#This Row],[Discount Cleaned]]))</f>
        <v>2732.7200000000003</v>
      </c>
      <c r="P1622" t="str">
        <f t="shared" si="129"/>
        <v>Profit</v>
      </c>
      <c r="Q1622" t="str" cm="1">
        <f t="array" ref="Q1622">IF(K1622="",INDEX($K$2:$K$2501,MATCH(MAX(COUNTIF($K$2:$K$2501,$K$2:$K$2501)),COUNTIF($K$2:$K$2501,$K$2:$K$2501),0)),K1622)</f>
        <v>B2C</v>
      </c>
    </row>
    <row r="1623" spans="1:17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 s="3">
        <f t="shared" si="125"/>
        <v>11555.485714285714</v>
      </c>
      <c r="I1623" s="1">
        <v>45283</v>
      </c>
      <c r="J1623" t="s">
        <v>15</v>
      </c>
      <c r="K1623" t="s">
        <v>23</v>
      </c>
      <c r="L1623" s="2">
        <f t="shared" si="126"/>
        <v>2888.8714285714286</v>
      </c>
      <c r="M1623" s="4">
        <f t="shared" si="127"/>
        <v>1.1399999999999999</v>
      </c>
      <c r="N1623" s="1">
        <f t="shared" si="128"/>
        <v>45283</v>
      </c>
      <c r="O1623" s="3">
        <f>(Table13[[#This Row],[Units_Sold]]*Table13[[#This Row],[Unit_Price_Cleaned]]*(1-Table13[[#This Row],[Discount Cleaned]]))</f>
        <v>-1617.7679999999989</v>
      </c>
      <c r="P1623" t="str">
        <f t="shared" si="129"/>
        <v>Loss</v>
      </c>
      <c r="Q1623" t="str" cm="1">
        <f t="array" ref="Q1623">IF(K1623="",INDEX($K$2:$K$2501,MATCH(MAX(COUNTIF($K$2:$K$2501,$K$2:$K$2501)),COUNTIF($K$2:$K$2501,$K$2:$K$2501),0)),K1623)</f>
        <v>B2B</v>
      </c>
    </row>
    <row r="1624" spans="1:17" x14ac:dyDescent="0.3">
      <c r="A1624">
        <v>2622</v>
      </c>
      <c r="B1624" t="s">
        <v>1295</v>
      </c>
      <c r="C1624" t="s">
        <v>33</v>
      </c>
      <c r="D1624" t="s">
        <v>44</v>
      </c>
      <c r="E1624">
        <v>2</v>
      </c>
      <c r="F1624">
        <v>2705.13</v>
      </c>
      <c r="H1624" s="3">
        <f t="shared" si="125"/>
        <v>5410.26</v>
      </c>
      <c r="I1624" s="1">
        <v>45537</v>
      </c>
      <c r="J1624" t="s">
        <v>15</v>
      </c>
      <c r="L1624" s="2">
        <f t="shared" si="126"/>
        <v>2705.13</v>
      </c>
      <c r="M1624" s="4">
        <f t="shared" si="127"/>
        <v>0.6</v>
      </c>
      <c r="N1624" s="1">
        <f t="shared" si="128"/>
        <v>45537</v>
      </c>
      <c r="O1624" s="3">
        <f>(Table13[[#This Row],[Units_Sold]]*Table13[[#This Row],[Unit_Price_Cleaned]]*(1-Table13[[#This Row],[Discount Cleaned]]))</f>
        <v>2164.1040000000003</v>
      </c>
      <c r="P1624" t="str">
        <f t="shared" si="129"/>
        <v>Profit</v>
      </c>
      <c r="Q1624" t="str" cm="1">
        <f t="array" ref="Q1624">IF(K1624="",INDEX($K$2:$K$2501,MATCH(MAX(COUNTIF($K$2:$K$2501,$K$2:$K$2501)),COUNTIF($K$2:$K$2501,$K$2:$K$2501),0)),K1624)</f>
        <v>B2B</v>
      </c>
    </row>
    <row r="1625" spans="1:17" x14ac:dyDescent="0.3">
      <c r="A1625">
        <v>1020</v>
      </c>
      <c r="B1625" t="s">
        <v>1657</v>
      </c>
      <c r="C1625" t="s">
        <v>38</v>
      </c>
      <c r="D1625" t="s">
        <v>91</v>
      </c>
      <c r="E1625">
        <v>2</v>
      </c>
      <c r="H1625" s="3">
        <f t="shared" si="125"/>
        <v>5737.5536363636356</v>
      </c>
      <c r="I1625" s="1">
        <v>45148</v>
      </c>
      <c r="J1625" t="s">
        <v>46</v>
      </c>
      <c r="L1625" s="2">
        <f t="shared" si="126"/>
        <v>2868.7768181818178</v>
      </c>
      <c r="M1625" s="4">
        <f t="shared" si="127"/>
        <v>0.6</v>
      </c>
      <c r="N1625" s="1">
        <f t="shared" si="128"/>
        <v>45148</v>
      </c>
      <c r="O1625" s="3">
        <f>(Table13[[#This Row],[Units_Sold]]*Table13[[#This Row],[Unit_Price_Cleaned]]*(1-Table13[[#This Row],[Discount Cleaned]]))</f>
        <v>2295.0214545454542</v>
      </c>
      <c r="P1625" t="str">
        <f t="shared" si="129"/>
        <v>Profit</v>
      </c>
      <c r="Q1625" t="str" cm="1">
        <f t="array" ref="Q1625">IF(K1625="",INDEX($K$2:$K$2501,MATCH(MAX(COUNTIF($K$2:$K$2501,$K$2:$K$2501)),COUNTIF($K$2:$K$2501,$K$2:$K$2501),0)),K1625)</f>
        <v>B2B</v>
      </c>
    </row>
    <row r="1626" spans="1:17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 s="3">
        <f t="shared" si="125"/>
        <v>-2462.79</v>
      </c>
      <c r="I1626" s="1">
        <v>45632</v>
      </c>
      <c r="J1626" t="s">
        <v>18</v>
      </c>
      <c r="L1626" s="2">
        <f t="shared" si="126"/>
        <v>2462.79</v>
      </c>
      <c r="M1626" s="4">
        <f t="shared" si="127"/>
        <v>0.99</v>
      </c>
      <c r="N1626" s="1">
        <f t="shared" si="128"/>
        <v>45632</v>
      </c>
      <c r="O1626" s="3">
        <f>(Table13[[#This Row],[Units_Sold]]*Table13[[#This Row],[Unit_Price_Cleaned]]*(1-Table13[[#This Row],[Discount Cleaned]]))</f>
        <v>-24.627900000000022</v>
      </c>
      <c r="P1626" t="str">
        <f t="shared" si="129"/>
        <v>Loss</v>
      </c>
      <c r="Q1626" t="str" cm="1">
        <f t="array" ref="Q1626">IF(K1626="",INDEX($K$2:$K$2501,MATCH(MAX(COUNTIF($K$2:$K$2501,$K$2:$K$2501)),COUNTIF($K$2:$K$2501,$K$2:$K$2501),0)),K1626)</f>
        <v>B2B</v>
      </c>
    </row>
    <row r="1627" spans="1:17" x14ac:dyDescent="0.3">
      <c r="A1627">
        <v>2625</v>
      </c>
      <c r="B1627" t="s">
        <v>1659</v>
      </c>
      <c r="C1627" t="s">
        <v>38</v>
      </c>
      <c r="D1627" t="s">
        <v>59</v>
      </c>
      <c r="E1627">
        <v>2</v>
      </c>
      <c r="H1627" s="3">
        <f t="shared" si="125"/>
        <v>5608.5303846153838</v>
      </c>
      <c r="I1627" s="1">
        <v>45210</v>
      </c>
      <c r="J1627" t="s">
        <v>22</v>
      </c>
      <c r="K1627" t="s">
        <v>23</v>
      </c>
      <c r="L1627" s="2">
        <f t="shared" si="126"/>
        <v>2804.2651923076919</v>
      </c>
      <c r="M1627" s="4">
        <f t="shared" si="127"/>
        <v>0.6</v>
      </c>
      <c r="N1627" s="1">
        <f t="shared" si="128"/>
        <v>45210</v>
      </c>
      <c r="O1627" s="3">
        <f>(Table13[[#This Row],[Units_Sold]]*Table13[[#This Row],[Unit_Price_Cleaned]]*(1-Table13[[#This Row],[Discount Cleaned]]))</f>
        <v>2243.4121538461536</v>
      </c>
      <c r="P1627" t="str">
        <f t="shared" si="129"/>
        <v>Profit</v>
      </c>
      <c r="Q1627" t="str" cm="1">
        <f t="array" ref="Q1627">IF(K1627="",INDEX($K$2:$K$2501,MATCH(MAX(COUNTIF($K$2:$K$2501,$K$2:$K$2501)),COUNTIF($K$2:$K$2501,$K$2:$K$2501),0)),K1627)</f>
        <v>B2B</v>
      </c>
    </row>
    <row r="1628" spans="1:17" x14ac:dyDescent="0.3">
      <c r="A1628">
        <v>2626</v>
      </c>
      <c r="B1628" t="s">
        <v>1660</v>
      </c>
      <c r="C1628" t="s">
        <v>33</v>
      </c>
      <c r="D1628" t="s">
        <v>34</v>
      </c>
      <c r="E1628">
        <v>2</v>
      </c>
      <c r="F1628">
        <v>4932.25</v>
      </c>
      <c r="H1628" s="3">
        <f t="shared" si="125"/>
        <v>9864.5</v>
      </c>
      <c r="I1628" s="1">
        <v>45793</v>
      </c>
      <c r="J1628" t="s">
        <v>40</v>
      </c>
      <c r="L1628" s="2">
        <f t="shared" si="126"/>
        <v>4932.25</v>
      </c>
      <c r="M1628" s="4">
        <f t="shared" si="127"/>
        <v>0.6</v>
      </c>
      <c r="N1628" s="1">
        <f t="shared" si="128"/>
        <v>45793</v>
      </c>
      <c r="O1628" s="3">
        <f>(Table13[[#This Row],[Units_Sold]]*Table13[[#This Row],[Unit_Price_Cleaned]]*(1-Table13[[#This Row],[Discount Cleaned]]))</f>
        <v>3945.8</v>
      </c>
      <c r="P1628" t="str">
        <f t="shared" si="129"/>
        <v>Profit</v>
      </c>
      <c r="Q1628" t="str" cm="1">
        <f t="array" ref="Q1628">IF(K1628="",INDEX($K$2:$K$2501,MATCH(MAX(COUNTIF($K$2:$K$2501,$K$2:$K$2501)),COUNTIF($K$2:$K$2501,$K$2:$K$2501),0)),K1628)</f>
        <v>B2B</v>
      </c>
    </row>
    <row r="1629" spans="1:17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 s="3">
        <f t="shared" si="125"/>
        <v>-5690.4839344262318</v>
      </c>
      <c r="I1629" s="1">
        <v>45604</v>
      </c>
      <c r="J1629" t="s">
        <v>22</v>
      </c>
      <c r="L1629" s="2">
        <f t="shared" si="126"/>
        <v>2845.2419672131159</v>
      </c>
      <c r="M1629" s="4">
        <f t="shared" si="127"/>
        <v>0.6</v>
      </c>
      <c r="N1629" s="1">
        <f t="shared" si="128"/>
        <v>45604</v>
      </c>
      <c r="O1629" s="3">
        <f>(Table13[[#This Row],[Units_Sold]]*Table13[[#This Row],[Unit_Price_Cleaned]]*(1-Table13[[#This Row],[Discount Cleaned]]))</f>
        <v>-2276.193573770493</v>
      </c>
      <c r="P1629" t="str">
        <f t="shared" si="129"/>
        <v>Loss</v>
      </c>
      <c r="Q1629" t="str" cm="1">
        <f t="array" ref="Q1629">IF(K1629="",INDEX($K$2:$K$2501,MATCH(MAX(COUNTIF($K$2:$K$2501,$K$2:$K$2501)),COUNTIF($K$2:$K$2501,$K$2:$K$2501),0)),K1629)</f>
        <v>B2B</v>
      </c>
    </row>
    <row r="1630" spans="1:17" x14ac:dyDescent="0.3">
      <c r="A1630">
        <v>2628</v>
      </c>
      <c r="B1630" t="s">
        <v>1662</v>
      </c>
      <c r="C1630" t="s">
        <v>13</v>
      </c>
      <c r="D1630" t="s">
        <v>49</v>
      </c>
      <c r="E1630">
        <v>2</v>
      </c>
      <c r="H1630" s="3">
        <f t="shared" si="125"/>
        <v>5570.1755932203387</v>
      </c>
      <c r="I1630" s="1">
        <v>45302</v>
      </c>
      <c r="J1630" t="s">
        <v>15</v>
      </c>
      <c r="K1630" t="s">
        <v>23</v>
      </c>
      <c r="L1630" s="2">
        <f t="shared" si="126"/>
        <v>2785.0877966101693</v>
      </c>
      <c r="M1630" s="4">
        <f t="shared" si="127"/>
        <v>0.6</v>
      </c>
      <c r="N1630" s="1">
        <f t="shared" si="128"/>
        <v>45302</v>
      </c>
      <c r="O1630" s="3">
        <f>(Table13[[#This Row],[Units_Sold]]*Table13[[#This Row],[Unit_Price_Cleaned]]*(1-Table13[[#This Row],[Discount Cleaned]]))</f>
        <v>2228.0702372881356</v>
      </c>
      <c r="P1630" t="str">
        <f t="shared" si="129"/>
        <v>Profit</v>
      </c>
      <c r="Q1630" t="str" cm="1">
        <f t="array" ref="Q1630">IF(K1630="",INDEX($K$2:$K$2501,MATCH(MAX(COUNTIF($K$2:$K$2501,$K$2:$K$2501)),COUNTIF($K$2:$K$2501,$K$2:$K$2501),0)),K1630)</f>
        <v>B2B</v>
      </c>
    </row>
    <row r="1631" spans="1:17" x14ac:dyDescent="0.3">
      <c r="A1631">
        <v>2629</v>
      </c>
      <c r="B1631" t="s">
        <v>1663</v>
      </c>
      <c r="C1631" t="s">
        <v>38</v>
      </c>
      <c r="D1631" t="s">
        <v>91</v>
      </c>
      <c r="E1631">
        <v>2</v>
      </c>
      <c r="H1631" s="3">
        <f t="shared" si="125"/>
        <v>5737.5536363636356</v>
      </c>
      <c r="I1631" s="1">
        <v>45721</v>
      </c>
      <c r="J1631" t="s">
        <v>56</v>
      </c>
      <c r="L1631" s="2">
        <f t="shared" si="126"/>
        <v>2868.7768181818178</v>
      </c>
      <c r="M1631" s="4">
        <f t="shared" si="127"/>
        <v>0.6</v>
      </c>
      <c r="N1631" s="1">
        <f t="shared" si="128"/>
        <v>45721</v>
      </c>
      <c r="O1631" s="3">
        <f>(Table13[[#This Row],[Units_Sold]]*Table13[[#This Row],[Unit_Price_Cleaned]]*(1-Table13[[#This Row],[Discount Cleaned]]))</f>
        <v>2295.0214545454542</v>
      </c>
      <c r="P1631" t="str">
        <f t="shared" si="129"/>
        <v>Profit</v>
      </c>
      <c r="Q1631" t="str" cm="1">
        <f t="array" ref="Q1631">IF(K1631="",INDEX($K$2:$K$2501,MATCH(MAX(COUNTIF($K$2:$K$2501,$K$2:$K$2501)),COUNTIF($K$2:$K$2501,$K$2:$K$2501),0)),K1631)</f>
        <v>B2B</v>
      </c>
    </row>
    <row r="1632" spans="1:17" x14ac:dyDescent="0.3">
      <c r="A1632">
        <v>2630</v>
      </c>
      <c r="B1632" t="s">
        <v>1664</v>
      </c>
      <c r="C1632" t="s">
        <v>25</v>
      </c>
      <c r="D1632" t="s">
        <v>26</v>
      </c>
      <c r="E1632">
        <v>2</v>
      </c>
      <c r="F1632">
        <v>856.83</v>
      </c>
      <c r="H1632" s="3">
        <f t="shared" si="125"/>
        <v>1713.66</v>
      </c>
      <c r="I1632" s="1">
        <v>45777</v>
      </c>
      <c r="J1632" t="s">
        <v>18</v>
      </c>
      <c r="K1632" t="s">
        <v>16</v>
      </c>
      <c r="L1632" s="2">
        <f t="shared" si="126"/>
        <v>856.83</v>
      </c>
      <c r="M1632" s="4">
        <f t="shared" si="127"/>
        <v>0.6</v>
      </c>
      <c r="N1632" s="1">
        <f t="shared" si="128"/>
        <v>45777</v>
      </c>
      <c r="O1632" s="3">
        <f>(Table13[[#This Row],[Units_Sold]]*Table13[[#This Row],[Unit_Price_Cleaned]]*(1-Table13[[#This Row],[Discount Cleaned]]))</f>
        <v>685.46400000000006</v>
      </c>
      <c r="P1632" t="str">
        <f t="shared" si="129"/>
        <v>Profit</v>
      </c>
      <c r="Q1632" t="str" cm="1">
        <f t="array" ref="Q1632">IF(K1632="",INDEX($K$2:$K$2501,MATCH(MAX(COUNTIF($K$2:$K$2501,$K$2:$K$2501)),COUNTIF($K$2:$K$2501,$K$2:$K$2501),0)),K1632)</f>
        <v>B2C</v>
      </c>
    </row>
    <row r="1633" spans="1:17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 s="3">
        <f t="shared" si="125"/>
        <v>3506.04</v>
      </c>
      <c r="I1633" s="1">
        <v>45677</v>
      </c>
      <c r="J1633" t="s">
        <v>46</v>
      </c>
      <c r="L1633" s="2">
        <f t="shared" si="126"/>
        <v>1753.02</v>
      </c>
      <c r="M1633" s="4">
        <f t="shared" si="127"/>
        <v>0.23</v>
      </c>
      <c r="N1633" s="1">
        <f t="shared" si="128"/>
        <v>45677</v>
      </c>
      <c r="O1633" s="3">
        <f>(Table13[[#This Row],[Units_Sold]]*Table13[[#This Row],[Unit_Price_Cleaned]]*(1-Table13[[#This Row],[Discount Cleaned]]))</f>
        <v>2699.6507999999999</v>
      </c>
      <c r="P1633" t="str">
        <f t="shared" si="129"/>
        <v>Profit</v>
      </c>
      <c r="Q1633" t="str" cm="1">
        <f t="array" ref="Q1633">IF(K1633="",INDEX($K$2:$K$2501,MATCH(MAX(COUNTIF($K$2:$K$2501,$K$2:$K$2501)),COUNTIF($K$2:$K$2501,$K$2:$K$2501),0)),K1633)</f>
        <v>B2B</v>
      </c>
    </row>
    <row r="1634" spans="1:17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 s="3">
        <f t="shared" si="125"/>
        <v>12381.96</v>
      </c>
      <c r="J1634" t="s">
        <v>46</v>
      </c>
      <c r="K1634" t="s">
        <v>23</v>
      </c>
      <c r="L1634" s="2">
        <f t="shared" si="126"/>
        <v>4127.32</v>
      </c>
      <c r="M1634" s="4">
        <f t="shared" si="127"/>
        <v>0.6</v>
      </c>
      <c r="N1634" s="1">
        <f t="shared" si="128"/>
        <v>45782</v>
      </c>
      <c r="O1634" s="3">
        <f>(Table13[[#This Row],[Units_Sold]]*Table13[[#This Row],[Unit_Price_Cleaned]]*(1-Table13[[#This Row],[Discount Cleaned]]))</f>
        <v>4952.7839999999997</v>
      </c>
      <c r="P1634" t="str">
        <f t="shared" si="129"/>
        <v>Profit</v>
      </c>
      <c r="Q1634" t="str" cm="1">
        <f t="array" ref="Q1634">IF(K1634="",INDEX($K$2:$K$2501,MATCH(MAX(COUNTIF($K$2:$K$2501,$K$2:$K$2501)),COUNTIF($K$2:$K$2501,$K$2:$K$2501),0)),K1634)</f>
        <v>B2B</v>
      </c>
    </row>
    <row r="1635" spans="1:17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 s="3">
        <f t="shared" si="125"/>
        <v>-2462.79</v>
      </c>
      <c r="I1635" s="1">
        <v>45221</v>
      </c>
      <c r="J1635" t="s">
        <v>46</v>
      </c>
      <c r="K1635" t="s">
        <v>23</v>
      </c>
      <c r="L1635" s="2">
        <f t="shared" si="126"/>
        <v>2462.79</v>
      </c>
      <c r="M1635" s="4">
        <f t="shared" si="127"/>
        <v>0.87</v>
      </c>
      <c r="N1635" s="1">
        <f t="shared" si="128"/>
        <v>45221</v>
      </c>
      <c r="O1635" s="3">
        <f>(Table13[[#This Row],[Units_Sold]]*Table13[[#This Row],[Unit_Price_Cleaned]]*(1-Table13[[#This Row],[Discount Cleaned]]))</f>
        <v>-320.16270000000003</v>
      </c>
      <c r="P1635" t="str">
        <f t="shared" si="129"/>
        <v>Loss</v>
      </c>
      <c r="Q1635" t="str" cm="1">
        <f t="array" ref="Q1635">IF(K1635="",INDEX($K$2:$K$2501,MATCH(MAX(COUNTIF($K$2:$K$2501,$K$2:$K$2501)),COUNTIF($K$2:$K$2501,$K$2:$K$2501),0)),K1635)</f>
        <v>B2B</v>
      </c>
    </row>
    <row r="1636" spans="1:17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 s="3">
        <f t="shared" si="125"/>
        <v>-5660.2651428571462</v>
      </c>
      <c r="J1636" t="s">
        <v>56</v>
      </c>
      <c r="K1636" t="s">
        <v>23</v>
      </c>
      <c r="L1636" s="2">
        <f t="shared" si="126"/>
        <v>2830.1325714285731</v>
      </c>
      <c r="M1636" s="4">
        <f t="shared" si="127"/>
        <v>0.96</v>
      </c>
      <c r="N1636" s="1">
        <f t="shared" si="128"/>
        <v>45782</v>
      </c>
      <c r="O1636" s="3">
        <f>(Table13[[#This Row],[Units_Sold]]*Table13[[#This Row],[Unit_Price_Cleaned]]*(1-Table13[[#This Row],[Discount Cleaned]]))</f>
        <v>-226.41060571428605</v>
      </c>
      <c r="P1636" t="str">
        <f t="shared" si="129"/>
        <v>Loss</v>
      </c>
      <c r="Q1636" t="str" cm="1">
        <f t="array" ref="Q1636">IF(K1636="",INDEX($K$2:$K$2501,MATCH(MAX(COUNTIF($K$2:$K$2501,$K$2:$K$2501)),COUNTIF($K$2:$K$2501,$K$2:$K$2501),0)),K1636)</f>
        <v>B2B</v>
      </c>
    </row>
    <row r="1637" spans="1:17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 s="3">
        <f t="shared" si="125"/>
        <v>5003.0619999999999</v>
      </c>
      <c r="I1637" s="1">
        <v>45691</v>
      </c>
      <c r="J1637" t="s">
        <v>46</v>
      </c>
      <c r="K1637" t="s">
        <v>16</v>
      </c>
      <c r="L1637" s="2">
        <f t="shared" si="126"/>
        <v>2501.5309999999999</v>
      </c>
      <c r="M1637" s="4">
        <f t="shared" si="127"/>
        <v>0.6</v>
      </c>
      <c r="N1637" s="1">
        <f t="shared" si="128"/>
        <v>45691</v>
      </c>
      <c r="O1637" s="3">
        <f>(Table13[[#This Row],[Units_Sold]]*Table13[[#This Row],[Unit_Price_Cleaned]]*(1-Table13[[#This Row],[Discount Cleaned]]))</f>
        <v>2001.2248</v>
      </c>
      <c r="P1637" t="str">
        <f t="shared" si="129"/>
        <v>Profit</v>
      </c>
      <c r="Q1637" t="str" cm="1">
        <f t="array" ref="Q1637">IF(K1637="",INDEX($K$2:$K$2501,MATCH(MAX(COUNTIF($K$2:$K$2501,$K$2:$K$2501)),COUNTIF($K$2:$K$2501,$K$2:$K$2501),0)),K1637)</f>
        <v>B2C</v>
      </c>
    </row>
    <row r="1638" spans="1:17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 s="3">
        <f t="shared" si="125"/>
        <v>3020.94</v>
      </c>
      <c r="I1638" s="1">
        <v>45151</v>
      </c>
      <c r="J1638" t="s">
        <v>22</v>
      </c>
      <c r="K1638" t="s">
        <v>23</v>
      </c>
      <c r="L1638" s="2">
        <f t="shared" si="126"/>
        <v>1006.98</v>
      </c>
      <c r="M1638" s="4">
        <f t="shared" si="127"/>
        <v>0.6</v>
      </c>
      <c r="N1638" s="1">
        <f t="shared" si="128"/>
        <v>45151</v>
      </c>
      <c r="O1638" s="3">
        <f>(Table13[[#This Row],[Units_Sold]]*Table13[[#This Row],[Unit_Price_Cleaned]]*(1-Table13[[#This Row],[Discount Cleaned]]))</f>
        <v>1208.376</v>
      </c>
      <c r="P1638" t="str">
        <f t="shared" si="129"/>
        <v>Profit</v>
      </c>
      <c r="Q1638" t="str" cm="1">
        <f t="array" ref="Q1638">IF(K1638="",INDEX($K$2:$K$2501,MATCH(MAX(COUNTIF($K$2:$K$2501,$K$2:$K$2501)),COUNTIF($K$2:$K$2501,$K$2:$K$2501),0)),K1638)</f>
        <v>B2B</v>
      </c>
    </row>
    <row r="1639" spans="1:17" x14ac:dyDescent="0.3">
      <c r="A1639">
        <v>2637</v>
      </c>
      <c r="B1639" t="s">
        <v>1671</v>
      </c>
      <c r="C1639" t="s">
        <v>20</v>
      </c>
      <c r="D1639" t="s">
        <v>122</v>
      </c>
      <c r="E1639">
        <v>2</v>
      </c>
      <c r="G1639">
        <v>0.72</v>
      </c>
      <c r="H1639" s="3">
        <f t="shared" si="125"/>
        <v>5400.2526086956505</v>
      </c>
      <c r="J1639" t="s">
        <v>15</v>
      </c>
      <c r="K1639" t="s">
        <v>23</v>
      </c>
      <c r="L1639" s="2">
        <f t="shared" si="126"/>
        <v>2700.1263043478252</v>
      </c>
      <c r="M1639" s="4">
        <f t="shared" si="127"/>
        <v>0.72</v>
      </c>
      <c r="N1639" s="1">
        <f t="shared" si="128"/>
        <v>45782</v>
      </c>
      <c r="O1639" s="3">
        <f>(Table13[[#This Row],[Units_Sold]]*Table13[[#This Row],[Unit_Price_Cleaned]]*(1-Table13[[#This Row],[Discount Cleaned]]))</f>
        <v>1512.0707304347823</v>
      </c>
      <c r="P1639" t="str">
        <f t="shared" si="129"/>
        <v>Profit</v>
      </c>
      <c r="Q1639" t="str" cm="1">
        <f t="array" ref="Q1639">IF(K1639="",INDEX($K$2:$K$2501,MATCH(MAX(COUNTIF($K$2:$K$2501,$K$2:$K$2501)),COUNTIF($K$2:$K$2501,$K$2:$K$2501),0)),K1639)</f>
        <v>B2B</v>
      </c>
    </row>
    <row r="1640" spans="1:17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 s="3">
        <f t="shared" si="125"/>
        <v>12072.84</v>
      </c>
      <c r="I1640" s="1">
        <v>45643</v>
      </c>
      <c r="J1640" t="s">
        <v>15</v>
      </c>
      <c r="K1640" t="s">
        <v>23</v>
      </c>
      <c r="L1640" s="2">
        <f t="shared" si="126"/>
        <v>2012.14</v>
      </c>
      <c r="M1640" s="4">
        <f t="shared" si="127"/>
        <v>0.6</v>
      </c>
      <c r="N1640" s="1">
        <f t="shared" si="128"/>
        <v>45643</v>
      </c>
      <c r="O1640" s="3">
        <f>(Table13[[#This Row],[Units_Sold]]*Table13[[#This Row],[Unit_Price_Cleaned]]*(1-Table13[[#This Row],[Discount Cleaned]]))</f>
        <v>4829.1360000000004</v>
      </c>
      <c r="P1640" t="str">
        <f t="shared" si="129"/>
        <v>Profit</v>
      </c>
      <c r="Q1640" t="str" cm="1">
        <f t="array" ref="Q1640">IF(K1640="",INDEX($K$2:$K$2501,MATCH(MAX(COUNTIF($K$2:$K$2501,$K$2:$K$2501)),COUNTIF($K$2:$K$2501,$K$2:$K$2501),0)),K1640)</f>
        <v>B2B</v>
      </c>
    </row>
    <row r="1641" spans="1:17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 s="3">
        <f t="shared" si="125"/>
        <v>-4947.96</v>
      </c>
      <c r="J1641" t="s">
        <v>46</v>
      </c>
      <c r="K1641" t="s">
        <v>16</v>
      </c>
      <c r="L1641" s="2">
        <f t="shared" si="126"/>
        <v>4947.96</v>
      </c>
      <c r="M1641" s="4">
        <f t="shared" si="127"/>
        <v>0.6</v>
      </c>
      <c r="N1641" s="1">
        <f t="shared" si="128"/>
        <v>45782</v>
      </c>
      <c r="O1641" s="3">
        <f>(Table13[[#This Row],[Units_Sold]]*Table13[[#This Row],[Unit_Price_Cleaned]]*(1-Table13[[#This Row],[Discount Cleaned]]))</f>
        <v>-1979.1840000000002</v>
      </c>
      <c r="P1641" t="str">
        <f t="shared" si="129"/>
        <v>Loss</v>
      </c>
      <c r="Q1641" t="str" cm="1">
        <f t="array" ref="Q1641">IF(K1641="",INDEX($K$2:$K$2501,MATCH(MAX(COUNTIF($K$2:$K$2501,$K$2:$K$2501)),COUNTIF($K$2:$K$2501,$K$2:$K$2501),0)),K1641)</f>
        <v>B2C</v>
      </c>
    </row>
    <row r="1642" spans="1:17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 s="3">
        <f t="shared" si="125"/>
        <v>28321.379999999997</v>
      </c>
      <c r="I1642" s="1">
        <v>45289</v>
      </c>
      <c r="J1642" t="s">
        <v>18</v>
      </c>
      <c r="K1642" t="s">
        <v>23</v>
      </c>
      <c r="L1642" s="2">
        <f t="shared" si="126"/>
        <v>4720.2299999999996</v>
      </c>
      <c r="M1642" s="4">
        <f t="shared" si="127"/>
        <v>0.69</v>
      </c>
      <c r="N1642" s="1">
        <f t="shared" si="128"/>
        <v>45289</v>
      </c>
      <c r="O1642" s="3">
        <f>(Table13[[#This Row],[Units_Sold]]*Table13[[#This Row],[Unit_Price_Cleaned]]*(1-Table13[[#This Row],[Discount Cleaned]]))</f>
        <v>8779.6278000000002</v>
      </c>
      <c r="P1642" t="str">
        <f t="shared" si="129"/>
        <v>Profit</v>
      </c>
      <c r="Q1642" t="str" cm="1">
        <f t="array" ref="Q1642">IF(K1642="",INDEX($K$2:$K$2501,MATCH(MAX(COUNTIF($K$2:$K$2501,$K$2:$K$2501)),COUNTIF($K$2:$K$2501,$K$2:$K$2501),0)),K1642)</f>
        <v>B2B</v>
      </c>
    </row>
    <row r="1643" spans="1:17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 s="3">
        <f t="shared" si="125"/>
        <v>17212.660909090908</v>
      </c>
      <c r="I1643" s="1">
        <v>45824</v>
      </c>
      <c r="J1643" t="s">
        <v>15</v>
      </c>
      <c r="K1643" t="s">
        <v>23</v>
      </c>
      <c r="L1643" s="2">
        <f t="shared" si="126"/>
        <v>2868.7768181818178</v>
      </c>
      <c r="M1643" s="4">
        <f t="shared" si="127"/>
        <v>0.6</v>
      </c>
      <c r="N1643" s="1">
        <f t="shared" si="128"/>
        <v>45824</v>
      </c>
      <c r="O1643" s="3">
        <f>(Table13[[#This Row],[Units_Sold]]*Table13[[#This Row],[Unit_Price_Cleaned]]*(1-Table13[[#This Row],[Discount Cleaned]]))</f>
        <v>6885.0643636363639</v>
      </c>
      <c r="P1643" t="str">
        <f t="shared" si="129"/>
        <v>Profit</v>
      </c>
      <c r="Q1643" t="str" cm="1">
        <f t="array" ref="Q1643">IF(K1643="",INDEX($K$2:$K$2501,MATCH(MAX(COUNTIF($K$2:$K$2501,$K$2:$K$2501)),COUNTIF($K$2:$K$2501,$K$2:$K$2501),0)),K1643)</f>
        <v>B2B</v>
      </c>
    </row>
    <row r="1644" spans="1:17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 s="3">
        <f t="shared" si="125"/>
        <v>-1043.58</v>
      </c>
      <c r="I1644" s="1">
        <v>45846</v>
      </c>
      <c r="J1644" t="s">
        <v>56</v>
      </c>
      <c r="K1644" t="s">
        <v>23</v>
      </c>
      <c r="L1644" s="2">
        <f t="shared" si="126"/>
        <v>1043.58</v>
      </c>
      <c r="M1644" s="4">
        <f t="shared" si="127"/>
        <v>0.6</v>
      </c>
      <c r="N1644" s="1">
        <f t="shared" si="128"/>
        <v>45846</v>
      </c>
      <c r="O1644" s="3">
        <f>(Table13[[#This Row],[Units_Sold]]*Table13[[#This Row],[Unit_Price_Cleaned]]*(1-Table13[[#This Row],[Discount Cleaned]]))</f>
        <v>-417.43200000000002</v>
      </c>
      <c r="P1644" t="str">
        <f t="shared" si="129"/>
        <v>Loss</v>
      </c>
      <c r="Q1644" t="str" cm="1">
        <f t="array" ref="Q1644">IF(K1644="",INDEX($K$2:$K$2501,MATCH(MAX(COUNTIF($K$2:$K$2501,$K$2:$K$2501)),COUNTIF($K$2:$K$2501,$K$2:$K$2501),0)),K1644)</f>
        <v>B2B</v>
      </c>
    </row>
    <row r="1645" spans="1:17" x14ac:dyDescent="0.3">
      <c r="A1645">
        <v>2643</v>
      </c>
      <c r="B1645" t="s">
        <v>1677</v>
      </c>
      <c r="C1645" t="s">
        <v>20</v>
      </c>
      <c r="D1645" t="s">
        <v>80</v>
      </c>
      <c r="E1645">
        <v>2</v>
      </c>
      <c r="G1645">
        <v>0.53</v>
      </c>
      <c r="H1645" s="3">
        <f t="shared" si="125"/>
        <v>4967.1688000000004</v>
      </c>
      <c r="I1645" s="1">
        <v>45517</v>
      </c>
      <c r="J1645" t="s">
        <v>40</v>
      </c>
      <c r="K1645" t="s">
        <v>23</v>
      </c>
      <c r="L1645" s="2">
        <f t="shared" si="126"/>
        <v>2483.5844000000002</v>
      </c>
      <c r="M1645" s="4">
        <f t="shared" si="127"/>
        <v>0.53</v>
      </c>
      <c r="N1645" s="1">
        <f t="shared" si="128"/>
        <v>45517</v>
      </c>
      <c r="O1645" s="3">
        <f>(Table13[[#This Row],[Units_Sold]]*Table13[[#This Row],[Unit_Price_Cleaned]]*(1-Table13[[#This Row],[Discount Cleaned]]))</f>
        <v>2334.569336</v>
      </c>
      <c r="P1645" t="str">
        <f t="shared" si="129"/>
        <v>Profit</v>
      </c>
      <c r="Q1645" t="str" cm="1">
        <f t="array" ref="Q1645">IF(K1645="",INDEX($K$2:$K$2501,MATCH(MAX(COUNTIF($K$2:$K$2501,$K$2:$K$2501)),COUNTIF($K$2:$K$2501,$K$2:$K$2501),0)),K1645)</f>
        <v>B2B</v>
      </c>
    </row>
    <row r="1646" spans="1:17" x14ac:dyDescent="0.3">
      <c r="A1646">
        <v>2644</v>
      </c>
      <c r="B1646" t="s">
        <v>1678</v>
      </c>
      <c r="C1646" t="s">
        <v>13</v>
      </c>
      <c r="D1646" t="s">
        <v>14</v>
      </c>
      <c r="E1646">
        <v>2</v>
      </c>
      <c r="H1646" s="3">
        <f t="shared" si="125"/>
        <v>4762.5355172413792</v>
      </c>
      <c r="I1646" s="1">
        <v>45325</v>
      </c>
      <c r="J1646" t="s">
        <v>22</v>
      </c>
      <c r="L1646" s="2">
        <f t="shared" si="126"/>
        <v>2381.2677586206896</v>
      </c>
      <c r="M1646" s="4">
        <f t="shared" si="127"/>
        <v>0.6</v>
      </c>
      <c r="N1646" s="1">
        <f t="shared" si="128"/>
        <v>45325</v>
      </c>
      <c r="O1646" s="3">
        <f>(Table13[[#This Row],[Units_Sold]]*Table13[[#This Row],[Unit_Price_Cleaned]]*(1-Table13[[#This Row],[Discount Cleaned]]))</f>
        <v>1905.0142068965517</v>
      </c>
      <c r="P1646" t="str">
        <f t="shared" si="129"/>
        <v>Profit</v>
      </c>
      <c r="Q1646" t="str" cm="1">
        <f t="array" ref="Q1646">IF(K1646="",INDEX($K$2:$K$2501,MATCH(MAX(COUNTIF($K$2:$K$2501,$K$2:$K$2501)),COUNTIF($K$2:$K$2501,$K$2:$K$2501),0)),K1646)</f>
        <v>B2B</v>
      </c>
    </row>
    <row r="1647" spans="1:17" x14ac:dyDescent="0.3">
      <c r="A1647">
        <v>2645</v>
      </c>
      <c r="B1647" t="s">
        <v>1679</v>
      </c>
      <c r="C1647" t="s">
        <v>29</v>
      </c>
      <c r="D1647" t="s">
        <v>42</v>
      </c>
      <c r="E1647">
        <v>2</v>
      </c>
      <c r="G1647">
        <v>0.98</v>
      </c>
      <c r="H1647" s="3">
        <f t="shared" si="125"/>
        <v>5119.3334615384629</v>
      </c>
      <c r="I1647" s="1">
        <v>45761</v>
      </c>
      <c r="J1647" t="s">
        <v>18</v>
      </c>
      <c r="K1647" t="s">
        <v>23</v>
      </c>
      <c r="L1647" s="2">
        <f t="shared" si="126"/>
        <v>2559.6667307692314</v>
      </c>
      <c r="M1647" s="4">
        <f t="shared" si="127"/>
        <v>0.98</v>
      </c>
      <c r="N1647" s="1">
        <f t="shared" si="128"/>
        <v>45761</v>
      </c>
      <c r="O1647" s="3">
        <f>(Table13[[#This Row],[Units_Sold]]*Table13[[#This Row],[Unit_Price_Cleaned]]*(1-Table13[[#This Row],[Discount Cleaned]]))</f>
        <v>102.38666923076934</v>
      </c>
      <c r="P1647" t="str">
        <f t="shared" si="129"/>
        <v>Loss</v>
      </c>
      <c r="Q1647" t="str" cm="1">
        <f t="array" ref="Q1647">IF(K1647="",INDEX($K$2:$K$2501,MATCH(MAX(COUNTIF($K$2:$K$2501,$K$2:$K$2501)),COUNTIF($K$2:$K$2501,$K$2:$K$2501),0)),K1647)</f>
        <v>B2B</v>
      </c>
    </row>
    <row r="1648" spans="1:17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 s="3">
        <f t="shared" si="125"/>
        <v>17295.027931034481</v>
      </c>
      <c r="I1648" s="1">
        <v>45661</v>
      </c>
      <c r="J1648" t="s">
        <v>15</v>
      </c>
      <c r="L1648" s="2">
        <f t="shared" si="126"/>
        <v>2882.5046551724135</v>
      </c>
      <c r="M1648" s="4">
        <f t="shared" si="127"/>
        <v>0.6</v>
      </c>
      <c r="N1648" s="1">
        <f t="shared" si="128"/>
        <v>45661</v>
      </c>
      <c r="O1648" s="3">
        <f>(Table13[[#This Row],[Units_Sold]]*Table13[[#This Row],[Unit_Price_Cleaned]]*(1-Table13[[#This Row],[Discount Cleaned]]))</f>
        <v>6918.0111724137932</v>
      </c>
      <c r="P1648" t="str">
        <f t="shared" si="129"/>
        <v>Profit</v>
      </c>
      <c r="Q1648" t="str" cm="1">
        <f t="array" ref="Q1648">IF(K1648="",INDEX($K$2:$K$2501,MATCH(MAX(COUNTIF($K$2:$K$2501,$K$2:$K$2501)),COUNTIF($K$2:$K$2501,$K$2:$K$2501),0)),K1648)</f>
        <v>B2B</v>
      </c>
    </row>
    <row r="1649" spans="1:17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 s="3">
        <f t="shared" si="125"/>
        <v>13088.195192307694</v>
      </c>
      <c r="I1649" s="1">
        <v>45497</v>
      </c>
      <c r="J1649" t="s">
        <v>56</v>
      </c>
      <c r="K1649" t="s">
        <v>23</v>
      </c>
      <c r="L1649" s="2">
        <f t="shared" si="126"/>
        <v>2617.6390384615388</v>
      </c>
      <c r="M1649" s="4">
        <f t="shared" si="127"/>
        <v>0.6</v>
      </c>
      <c r="N1649" s="1">
        <f t="shared" si="128"/>
        <v>45497</v>
      </c>
      <c r="O1649" s="3">
        <f>(Table13[[#This Row],[Units_Sold]]*Table13[[#This Row],[Unit_Price_Cleaned]]*(1-Table13[[#This Row],[Discount Cleaned]]))</f>
        <v>5235.2780769230776</v>
      </c>
      <c r="P1649" t="str">
        <f t="shared" si="129"/>
        <v>Profit</v>
      </c>
      <c r="Q1649" t="str" cm="1">
        <f t="array" ref="Q1649">IF(K1649="",INDEX($K$2:$K$2501,MATCH(MAX(COUNTIF($K$2:$K$2501,$K$2:$K$2501)),COUNTIF($K$2:$K$2501,$K$2:$K$2501),0)),K1649)</f>
        <v>B2B</v>
      </c>
    </row>
    <row r="1650" spans="1:17" x14ac:dyDescent="0.3">
      <c r="A1650">
        <v>2648</v>
      </c>
      <c r="B1650" t="s">
        <v>1682</v>
      </c>
      <c r="C1650" t="s">
        <v>13</v>
      </c>
      <c r="D1650" t="s">
        <v>49</v>
      </c>
      <c r="E1650">
        <v>2</v>
      </c>
      <c r="F1650">
        <v>4899.84</v>
      </c>
      <c r="H1650" s="3">
        <f t="shared" si="125"/>
        <v>9799.68</v>
      </c>
      <c r="I1650" s="1">
        <v>45671</v>
      </c>
      <c r="J1650" t="s">
        <v>18</v>
      </c>
      <c r="K1650" t="s">
        <v>16</v>
      </c>
      <c r="L1650" s="2">
        <f t="shared" si="126"/>
        <v>4899.84</v>
      </c>
      <c r="M1650" s="4">
        <f t="shared" si="127"/>
        <v>0.6</v>
      </c>
      <c r="N1650" s="1">
        <f t="shared" si="128"/>
        <v>45671</v>
      </c>
      <c r="O1650" s="3">
        <f>(Table13[[#This Row],[Units_Sold]]*Table13[[#This Row],[Unit_Price_Cleaned]]*(1-Table13[[#This Row],[Discount Cleaned]]))</f>
        <v>3919.8720000000003</v>
      </c>
      <c r="P1650" t="str">
        <f t="shared" si="129"/>
        <v>Profit</v>
      </c>
      <c r="Q1650" t="str" cm="1">
        <f t="array" ref="Q1650">IF(K1650="",INDEX($K$2:$K$2501,MATCH(MAX(COUNTIF($K$2:$K$2501,$K$2:$K$2501)),COUNTIF($K$2:$K$2501,$K$2:$K$2501),0)),K1650)</f>
        <v>B2C</v>
      </c>
    </row>
    <row r="1651" spans="1:17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 s="3">
        <f t="shared" si="125"/>
        <v>11515.650000000001</v>
      </c>
      <c r="I1651" s="1">
        <v>45504</v>
      </c>
      <c r="J1651" t="s">
        <v>46</v>
      </c>
      <c r="K1651" t="s">
        <v>16</v>
      </c>
      <c r="L1651" s="2">
        <f t="shared" si="126"/>
        <v>3838.55</v>
      </c>
      <c r="M1651" s="4">
        <f t="shared" si="127"/>
        <v>0.91</v>
      </c>
      <c r="N1651" s="1">
        <f t="shared" si="128"/>
        <v>45504</v>
      </c>
      <c r="O1651" s="3">
        <f>(Table13[[#This Row],[Units_Sold]]*Table13[[#This Row],[Unit_Price_Cleaned]]*(1-Table13[[#This Row],[Discount Cleaned]]))</f>
        <v>1036.4084999999998</v>
      </c>
      <c r="P1651" t="str">
        <f t="shared" si="129"/>
        <v>Profit</v>
      </c>
      <c r="Q1651" t="str" cm="1">
        <f t="array" ref="Q1651">IF(K1651="",INDEX($K$2:$K$2501,MATCH(MAX(COUNTIF($K$2:$K$2501,$K$2:$K$2501)),COUNTIF($K$2:$K$2501,$K$2:$K$2501),0)),K1651)</f>
        <v>B2C</v>
      </c>
    </row>
    <row r="1652" spans="1:17" x14ac:dyDescent="0.3">
      <c r="A1652">
        <v>2650</v>
      </c>
      <c r="B1652" t="s">
        <v>1684</v>
      </c>
      <c r="C1652" t="s">
        <v>25</v>
      </c>
      <c r="D1652" t="s">
        <v>66</v>
      </c>
      <c r="E1652">
        <v>2</v>
      </c>
      <c r="H1652" s="3">
        <f t="shared" si="125"/>
        <v>5145.5528000000013</v>
      </c>
      <c r="I1652" s="1">
        <v>45700</v>
      </c>
      <c r="J1652" t="s">
        <v>40</v>
      </c>
      <c r="K1652" t="s">
        <v>16</v>
      </c>
      <c r="L1652" s="2">
        <f t="shared" si="126"/>
        <v>2572.7764000000006</v>
      </c>
      <c r="M1652" s="4">
        <f t="shared" si="127"/>
        <v>0.6</v>
      </c>
      <c r="N1652" s="1">
        <f t="shared" si="128"/>
        <v>45700</v>
      </c>
      <c r="O1652" s="3">
        <f>(Table13[[#This Row],[Units_Sold]]*Table13[[#This Row],[Unit_Price_Cleaned]]*(1-Table13[[#This Row],[Discount Cleaned]]))</f>
        <v>2058.2211200000006</v>
      </c>
      <c r="P1652" t="str">
        <f t="shared" si="129"/>
        <v>Profit</v>
      </c>
      <c r="Q1652" t="str" cm="1">
        <f t="array" ref="Q1652">IF(K1652="",INDEX($K$2:$K$2501,MATCH(MAX(COUNTIF($K$2:$K$2501,$K$2:$K$2501)),COUNTIF($K$2:$K$2501,$K$2:$K$2501),0)),K1652)</f>
        <v>B2C</v>
      </c>
    </row>
    <row r="1653" spans="1:17" x14ac:dyDescent="0.3">
      <c r="A1653">
        <v>1040</v>
      </c>
      <c r="B1653" t="s">
        <v>1685</v>
      </c>
      <c r="C1653" t="s">
        <v>20</v>
      </c>
      <c r="D1653" t="s">
        <v>21</v>
      </c>
      <c r="E1653">
        <v>2</v>
      </c>
      <c r="F1653">
        <v>1640.04</v>
      </c>
      <c r="H1653" s="3">
        <f t="shared" si="125"/>
        <v>3280.08</v>
      </c>
      <c r="I1653" s="1">
        <v>45747</v>
      </c>
      <c r="J1653" t="s">
        <v>40</v>
      </c>
      <c r="K1653" t="s">
        <v>16</v>
      </c>
      <c r="L1653" s="2">
        <f t="shared" si="126"/>
        <v>1640.04</v>
      </c>
      <c r="M1653" s="4">
        <f t="shared" si="127"/>
        <v>0.6</v>
      </c>
      <c r="N1653" s="1">
        <f t="shared" si="128"/>
        <v>45747</v>
      </c>
      <c r="O1653" s="3">
        <f>(Table13[[#This Row],[Units_Sold]]*Table13[[#This Row],[Unit_Price_Cleaned]]*(1-Table13[[#This Row],[Discount Cleaned]]))</f>
        <v>1312.0320000000002</v>
      </c>
      <c r="P1653" t="str">
        <f t="shared" si="129"/>
        <v>Profit</v>
      </c>
      <c r="Q1653" t="str" cm="1">
        <f t="array" ref="Q1653">IF(K1653="",INDEX($K$2:$K$2501,MATCH(MAX(COUNTIF($K$2:$K$2501,$K$2:$K$2501)),COUNTIF($K$2:$K$2501,$K$2:$K$2501),0)),K1653)</f>
        <v>B2C</v>
      </c>
    </row>
    <row r="1654" spans="1:17" x14ac:dyDescent="0.3">
      <c r="A1654">
        <v>2652</v>
      </c>
      <c r="B1654" t="s">
        <v>1686</v>
      </c>
      <c r="C1654" t="s">
        <v>13</v>
      </c>
      <c r="D1654" t="s">
        <v>36</v>
      </c>
      <c r="E1654">
        <v>2</v>
      </c>
      <c r="H1654" s="3">
        <f t="shared" si="125"/>
        <v>5765.0093103448271</v>
      </c>
      <c r="J1654" t="s">
        <v>18</v>
      </c>
      <c r="K1654" t="s">
        <v>16</v>
      </c>
      <c r="L1654" s="2">
        <f t="shared" si="126"/>
        <v>2882.5046551724135</v>
      </c>
      <c r="M1654" s="4">
        <f t="shared" si="127"/>
        <v>0.6</v>
      </c>
      <c r="N1654" s="1">
        <f t="shared" si="128"/>
        <v>45782</v>
      </c>
      <c r="O1654" s="3">
        <f>(Table13[[#This Row],[Units_Sold]]*Table13[[#This Row],[Unit_Price_Cleaned]]*(1-Table13[[#This Row],[Discount Cleaned]]))</f>
        <v>2306.0037241379309</v>
      </c>
      <c r="P1654" t="str">
        <f t="shared" si="129"/>
        <v>Profit</v>
      </c>
      <c r="Q1654" t="str" cm="1">
        <f t="array" ref="Q1654">IF(K1654="",INDEX($K$2:$K$2501,MATCH(MAX(COUNTIF($K$2:$K$2501,$K$2:$K$2501)),COUNTIF($K$2:$K$2501,$K$2:$K$2501),0)),K1654)</f>
        <v>B2C</v>
      </c>
    </row>
    <row r="1655" spans="1:17" x14ac:dyDescent="0.3">
      <c r="A1655">
        <v>2653</v>
      </c>
      <c r="B1655" t="s">
        <v>1687</v>
      </c>
      <c r="C1655" t="s">
        <v>33</v>
      </c>
      <c r="D1655" t="s">
        <v>44</v>
      </c>
      <c r="E1655">
        <v>2</v>
      </c>
      <c r="G1655">
        <v>0.03</v>
      </c>
      <c r="H1655" s="3">
        <f t="shared" si="125"/>
        <v>5683.5261224489814</v>
      </c>
      <c r="I1655" s="1">
        <v>45529</v>
      </c>
      <c r="J1655" t="s">
        <v>46</v>
      </c>
      <c r="K1655" t="s">
        <v>23</v>
      </c>
      <c r="L1655" s="2">
        <f t="shared" si="126"/>
        <v>2841.7630612244907</v>
      </c>
      <c r="M1655" s="4">
        <f t="shared" si="127"/>
        <v>0.03</v>
      </c>
      <c r="N1655" s="1">
        <f t="shared" si="128"/>
        <v>45529</v>
      </c>
      <c r="O1655" s="3">
        <f>(Table13[[#This Row],[Units_Sold]]*Table13[[#This Row],[Unit_Price_Cleaned]]*(1-Table13[[#This Row],[Discount Cleaned]]))</f>
        <v>5513.0203387755118</v>
      </c>
      <c r="P1655" t="str">
        <f t="shared" si="129"/>
        <v>Profit</v>
      </c>
      <c r="Q1655" t="str" cm="1">
        <f t="array" ref="Q1655">IF(K1655="",INDEX($K$2:$K$2501,MATCH(MAX(COUNTIF($K$2:$K$2501,$K$2:$K$2501)),COUNTIF($K$2:$K$2501,$K$2:$K$2501),0)),K1655)</f>
        <v>B2B</v>
      </c>
    </row>
    <row r="1656" spans="1:17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 s="3">
        <f t="shared" si="125"/>
        <v>15436.658400000004</v>
      </c>
      <c r="I1656" s="1">
        <v>45692</v>
      </c>
      <c r="J1656" t="s">
        <v>56</v>
      </c>
      <c r="K1656" t="s">
        <v>23</v>
      </c>
      <c r="L1656" s="2">
        <f t="shared" si="126"/>
        <v>2572.7764000000006</v>
      </c>
      <c r="M1656" s="4">
        <f t="shared" si="127"/>
        <v>0.31</v>
      </c>
      <c r="N1656" s="1">
        <f t="shared" si="128"/>
        <v>45692</v>
      </c>
      <c r="O1656" s="3">
        <f>(Table13[[#This Row],[Units_Sold]]*Table13[[#This Row],[Unit_Price_Cleaned]]*(1-Table13[[#This Row],[Discount Cleaned]]))</f>
        <v>10651.294296000002</v>
      </c>
      <c r="P1656" t="str">
        <f t="shared" si="129"/>
        <v>Profit</v>
      </c>
      <c r="Q1656" t="str" cm="1">
        <f t="array" ref="Q1656">IF(K1656="",INDEX($K$2:$K$2501,MATCH(MAX(COUNTIF($K$2:$K$2501,$K$2:$K$2501)),COUNTIF($K$2:$K$2501,$K$2:$K$2501),0)),K1656)</f>
        <v>B2B</v>
      </c>
    </row>
    <row r="1657" spans="1:17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 s="3">
        <f t="shared" si="125"/>
        <v>9851.16</v>
      </c>
      <c r="J1657" t="s">
        <v>15</v>
      </c>
      <c r="L1657" s="2">
        <f t="shared" si="126"/>
        <v>2462.79</v>
      </c>
      <c r="M1657" s="4">
        <f t="shared" si="127"/>
        <v>0.6</v>
      </c>
      <c r="N1657" s="1">
        <f t="shared" si="128"/>
        <v>45782</v>
      </c>
      <c r="O1657" s="3">
        <f>(Table13[[#This Row],[Units_Sold]]*Table13[[#This Row],[Unit_Price_Cleaned]]*(1-Table13[[#This Row],[Discount Cleaned]]))</f>
        <v>3940.4639999999999</v>
      </c>
      <c r="P1657" t="str">
        <f t="shared" si="129"/>
        <v>Profit</v>
      </c>
      <c r="Q1657" t="str" cm="1">
        <f t="array" ref="Q1657">IF(K1657="",INDEX($K$2:$K$2501,MATCH(MAX(COUNTIF($K$2:$K$2501,$K$2:$K$2501)),COUNTIF($K$2:$K$2501,$K$2:$K$2501),0)),K1657)</f>
        <v>B2B</v>
      </c>
    </row>
    <row r="1658" spans="1:17" x14ac:dyDescent="0.3">
      <c r="A1658">
        <v>2656</v>
      </c>
      <c r="B1658" t="s">
        <v>1690</v>
      </c>
      <c r="C1658" t="s">
        <v>25</v>
      </c>
      <c r="D1658" t="s">
        <v>54</v>
      </c>
      <c r="E1658">
        <v>2</v>
      </c>
      <c r="H1658" s="3">
        <f t="shared" si="125"/>
        <v>5060.7673076923093</v>
      </c>
      <c r="I1658" s="1">
        <v>45757</v>
      </c>
      <c r="J1658" t="s">
        <v>18</v>
      </c>
      <c r="L1658" s="2">
        <f t="shared" si="126"/>
        <v>2530.3836538461546</v>
      </c>
      <c r="M1658" s="4">
        <f t="shared" si="127"/>
        <v>0.6</v>
      </c>
      <c r="N1658" s="1">
        <f t="shared" si="128"/>
        <v>45757</v>
      </c>
      <c r="O1658" s="3">
        <f>(Table13[[#This Row],[Units_Sold]]*Table13[[#This Row],[Unit_Price_Cleaned]]*(1-Table13[[#This Row],[Discount Cleaned]]))</f>
        <v>2024.3069230769238</v>
      </c>
      <c r="P1658" t="str">
        <f t="shared" si="129"/>
        <v>Profit</v>
      </c>
      <c r="Q1658" t="str" cm="1">
        <f t="array" ref="Q1658">IF(K1658="",INDEX($K$2:$K$2501,MATCH(MAX(COUNTIF($K$2:$K$2501,$K$2:$K$2501)),COUNTIF($K$2:$K$2501,$K$2:$K$2501),0)),K1658)</f>
        <v>B2B</v>
      </c>
    </row>
    <row r="1659" spans="1:17" x14ac:dyDescent="0.3">
      <c r="A1659">
        <v>1033</v>
      </c>
      <c r="B1659" t="s">
        <v>1691</v>
      </c>
      <c r="C1659" t="s">
        <v>38</v>
      </c>
      <c r="D1659" t="s">
        <v>39</v>
      </c>
      <c r="E1659">
        <v>2</v>
      </c>
      <c r="F1659">
        <v>3863.95</v>
      </c>
      <c r="G1659">
        <v>0.9</v>
      </c>
      <c r="H1659" s="3">
        <f t="shared" si="125"/>
        <v>7727.9</v>
      </c>
      <c r="J1659" t="s">
        <v>46</v>
      </c>
      <c r="L1659" s="2">
        <f t="shared" si="126"/>
        <v>3863.95</v>
      </c>
      <c r="M1659" s="4">
        <f t="shared" si="127"/>
        <v>0.9</v>
      </c>
      <c r="N1659" s="1">
        <f t="shared" si="128"/>
        <v>45782</v>
      </c>
      <c r="O1659" s="3">
        <f>(Table13[[#This Row],[Units_Sold]]*Table13[[#This Row],[Unit_Price_Cleaned]]*(1-Table13[[#This Row],[Discount Cleaned]]))</f>
        <v>772.78999999999974</v>
      </c>
      <c r="P1659" t="str">
        <f t="shared" si="129"/>
        <v>Profit</v>
      </c>
      <c r="Q1659" t="str" cm="1">
        <f t="array" ref="Q1659">IF(K1659="",INDEX($K$2:$K$2501,MATCH(MAX(COUNTIF($K$2:$K$2501,$K$2:$K$2501)),COUNTIF($K$2:$K$2501,$K$2:$K$2501),0)),K1659)</f>
        <v>B2B</v>
      </c>
    </row>
    <row r="1660" spans="1:17" x14ac:dyDescent="0.3">
      <c r="A1660">
        <v>2658</v>
      </c>
      <c r="B1660" t="s">
        <v>1692</v>
      </c>
      <c r="C1660" t="s">
        <v>13</v>
      </c>
      <c r="D1660" t="s">
        <v>102</v>
      </c>
      <c r="E1660">
        <v>2</v>
      </c>
      <c r="F1660">
        <v>3726.31</v>
      </c>
      <c r="H1660" s="3">
        <f t="shared" si="125"/>
        <v>7452.62</v>
      </c>
      <c r="J1660" t="s">
        <v>22</v>
      </c>
      <c r="K1660" t="s">
        <v>16</v>
      </c>
      <c r="L1660" s="2">
        <f t="shared" si="126"/>
        <v>3726.31</v>
      </c>
      <c r="M1660" s="4">
        <f t="shared" si="127"/>
        <v>0.6</v>
      </c>
      <c r="N1660" s="1">
        <f t="shared" si="128"/>
        <v>45782</v>
      </c>
      <c r="O1660" s="3">
        <f>(Table13[[#This Row],[Units_Sold]]*Table13[[#This Row],[Unit_Price_Cleaned]]*(1-Table13[[#This Row],[Discount Cleaned]]))</f>
        <v>2981.0480000000002</v>
      </c>
      <c r="P1660" t="str">
        <f t="shared" si="129"/>
        <v>Profit</v>
      </c>
      <c r="Q1660" t="str" cm="1">
        <f t="array" ref="Q1660">IF(K1660="",INDEX($K$2:$K$2501,MATCH(MAX(COUNTIF($K$2:$K$2501,$K$2:$K$2501)),COUNTIF($K$2:$K$2501,$K$2:$K$2501),0)),K1660)</f>
        <v>B2C</v>
      </c>
    </row>
    <row r="1661" spans="1:17" x14ac:dyDescent="0.3">
      <c r="A1661">
        <v>2659</v>
      </c>
      <c r="B1661" t="s">
        <v>1693</v>
      </c>
      <c r="C1661" t="s">
        <v>33</v>
      </c>
      <c r="D1661" t="s">
        <v>72</v>
      </c>
      <c r="E1661">
        <v>2</v>
      </c>
      <c r="F1661">
        <v>1059.0899999999999</v>
      </c>
      <c r="G1661">
        <v>1.24</v>
      </c>
      <c r="H1661" s="3">
        <f t="shared" si="125"/>
        <v>2118.1799999999998</v>
      </c>
      <c r="I1661" s="1">
        <v>45856</v>
      </c>
      <c r="J1661" t="s">
        <v>15</v>
      </c>
      <c r="K1661" t="s">
        <v>16</v>
      </c>
      <c r="L1661" s="2">
        <f t="shared" si="126"/>
        <v>1059.0899999999999</v>
      </c>
      <c r="M1661" s="4">
        <f t="shared" si="127"/>
        <v>1.24</v>
      </c>
      <c r="N1661" s="1">
        <f t="shared" si="128"/>
        <v>45856</v>
      </c>
      <c r="O1661" s="3">
        <f>(Table13[[#This Row],[Units_Sold]]*Table13[[#This Row],[Unit_Price_Cleaned]]*(1-Table13[[#This Row],[Discount Cleaned]]))</f>
        <v>-508.36319999999995</v>
      </c>
      <c r="P1661" t="str">
        <f t="shared" si="129"/>
        <v>Loss</v>
      </c>
      <c r="Q1661" t="str" cm="1">
        <f t="array" ref="Q1661">IF(K1661="",INDEX($K$2:$K$2501,MATCH(MAX(COUNTIF($K$2:$K$2501,$K$2:$K$2501)),COUNTIF($K$2:$K$2501,$K$2:$K$2501),0)),K1661)</f>
        <v>B2C</v>
      </c>
    </row>
    <row r="1662" spans="1:17" x14ac:dyDescent="0.3">
      <c r="A1662">
        <v>2660</v>
      </c>
      <c r="B1662" t="s">
        <v>1694</v>
      </c>
      <c r="C1662" t="s">
        <v>33</v>
      </c>
      <c r="D1662" t="s">
        <v>82</v>
      </c>
      <c r="E1662">
        <v>2</v>
      </c>
      <c r="H1662" s="3">
        <f t="shared" si="125"/>
        <v>5552.4404000000004</v>
      </c>
      <c r="J1662" t="s">
        <v>56</v>
      </c>
      <c r="L1662" s="2">
        <f t="shared" si="126"/>
        <v>2776.2202000000002</v>
      </c>
      <c r="M1662" s="4">
        <f t="shared" si="127"/>
        <v>0.6</v>
      </c>
      <c r="N1662" s="1">
        <f t="shared" si="128"/>
        <v>45782</v>
      </c>
      <c r="O1662" s="3">
        <f>(Table13[[#This Row],[Units_Sold]]*Table13[[#This Row],[Unit_Price_Cleaned]]*(1-Table13[[#This Row],[Discount Cleaned]]))</f>
        <v>2220.9761600000002</v>
      </c>
      <c r="P1662" t="str">
        <f t="shared" si="129"/>
        <v>Profit</v>
      </c>
      <c r="Q1662" t="str" cm="1">
        <f t="array" ref="Q1662">IF(K1662="",INDEX($K$2:$K$2501,MATCH(MAX(COUNTIF($K$2:$K$2501,$K$2:$K$2501)),COUNTIF($K$2:$K$2501,$K$2:$K$2501),0)),K1662)</f>
        <v>B2B</v>
      </c>
    </row>
    <row r="1663" spans="1:17" x14ac:dyDescent="0.3">
      <c r="A1663">
        <v>2661</v>
      </c>
      <c r="B1663" t="s">
        <v>1695</v>
      </c>
      <c r="C1663" t="s">
        <v>38</v>
      </c>
      <c r="D1663" t="s">
        <v>39</v>
      </c>
      <c r="E1663">
        <v>2</v>
      </c>
      <c r="H1663" s="3">
        <f t="shared" si="125"/>
        <v>6016.7688888888888</v>
      </c>
      <c r="I1663" s="1">
        <v>45765</v>
      </c>
      <c r="J1663" t="s">
        <v>18</v>
      </c>
      <c r="K1663" t="s">
        <v>23</v>
      </c>
      <c r="L1663" s="2">
        <f t="shared" si="126"/>
        <v>3008.3844444444444</v>
      </c>
      <c r="M1663" s="4">
        <f t="shared" si="127"/>
        <v>0.6</v>
      </c>
      <c r="N1663" s="1">
        <f t="shared" si="128"/>
        <v>45765</v>
      </c>
      <c r="O1663" s="3">
        <f>(Table13[[#This Row],[Units_Sold]]*Table13[[#This Row],[Unit_Price_Cleaned]]*(1-Table13[[#This Row],[Discount Cleaned]]))</f>
        <v>2406.7075555555557</v>
      </c>
      <c r="P1663" t="str">
        <f t="shared" si="129"/>
        <v>Profit</v>
      </c>
      <c r="Q1663" t="str" cm="1">
        <f t="array" ref="Q1663">IF(K1663="",INDEX($K$2:$K$2501,MATCH(MAX(COUNTIF($K$2:$K$2501,$K$2:$K$2501)),COUNTIF($K$2:$K$2501,$K$2:$K$2501),0)),K1663)</f>
        <v>B2B</v>
      </c>
    </row>
    <row r="1664" spans="1:17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 s="3">
        <f t="shared" si="125"/>
        <v>-2718.51</v>
      </c>
      <c r="I1664" s="1">
        <v>45841</v>
      </c>
      <c r="J1664" t="s">
        <v>46</v>
      </c>
      <c r="K1664" t="s">
        <v>16</v>
      </c>
      <c r="L1664" s="2">
        <f t="shared" si="126"/>
        <v>2718.51</v>
      </c>
      <c r="M1664" s="4">
        <f t="shared" si="127"/>
        <v>0.6</v>
      </c>
      <c r="N1664" s="1">
        <f t="shared" si="128"/>
        <v>45841</v>
      </c>
      <c r="O1664" s="3">
        <f>(Table13[[#This Row],[Units_Sold]]*Table13[[#This Row],[Unit_Price_Cleaned]]*(1-Table13[[#This Row],[Discount Cleaned]]))</f>
        <v>-1087.4040000000002</v>
      </c>
      <c r="P1664" t="str">
        <f t="shared" si="129"/>
        <v>Loss</v>
      </c>
      <c r="Q1664" t="str" cm="1">
        <f t="array" ref="Q1664">IF(K1664="",INDEX($K$2:$K$2501,MATCH(MAX(COUNTIF($K$2:$K$2501,$K$2:$K$2501)),COUNTIF($K$2:$K$2501,$K$2:$K$2501),0)),K1664)</f>
        <v>B2C</v>
      </c>
    </row>
    <row r="1665" spans="1:17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 s="3">
        <f t="shared" si="125"/>
        <v>-4424.5</v>
      </c>
      <c r="I1665" s="1">
        <v>45602</v>
      </c>
      <c r="J1665" t="s">
        <v>22</v>
      </c>
      <c r="K1665" t="s">
        <v>16</v>
      </c>
      <c r="L1665" s="2">
        <f t="shared" si="126"/>
        <v>2212.25</v>
      </c>
      <c r="M1665" s="4">
        <f t="shared" si="127"/>
        <v>0.35</v>
      </c>
      <c r="N1665" s="1">
        <f t="shared" si="128"/>
        <v>45602</v>
      </c>
      <c r="O1665" s="3">
        <f>(Table13[[#This Row],[Units_Sold]]*Table13[[#This Row],[Unit_Price_Cleaned]]*(1-Table13[[#This Row],[Discount Cleaned]]))</f>
        <v>-2875.9250000000002</v>
      </c>
      <c r="P1665" t="str">
        <f t="shared" si="129"/>
        <v>Loss</v>
      </c>
      <c r="Q1665" t="str" cm="1">
        <f t="array" ref="Q1665">IF(K1665="",INDEX($K$2:$K$2501,MATCH(MAX(COUNTIF($K$2:$K$2501,$K$2:$K$2501)),COUNTIF($K$2:$K$2501,$K$2:$K$2501),0)),K1665)</f>
        <v>B2C</v>
      </c>
    </row>
    <row r="1666" spans="1:17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 s="3">
        <f t="shared" ref="H1666:H1729" si="130">(L1666*E1666)</f>
        <v>5003.0619999999999</v>
      </c>
      <c r="I1666" s="1">
        <v>45382</v>
      </c>
      <c r="J1666" t="s">
        <v>56</v>
      </c>
      <c r="K1666" t="s">
        <v>16</v>
      </c>
      <c r="L1666" s="2">
        <f t="shared" ref="L1666:L1729" si="131">IF(F1666="",AVERAGEIF($D$2:$D$2501,D1666,$F$2:$F$2501),F1666)</f>
        <v>2501.5309999999999</v>
      </c>
      <c r="M1666" s="4">
        <f t="shared" ref="M1666:M1729" si="132">IF(G1666="",MEDIAN($G$2,$G$2501),G1666)</f>
        <v>0.6</v>
      </c>
      <c r="N1666" s="1">
        <f t="shared" ref="N1666:N1729" si="133">IF(I1666="",MODE($I$32:$I$2501),I1666)</f>
        <v>45382</v>
      </c>
      <c r="O1666" s="3">
        <f>(Table13[[#This Row],[Units_Sold]]*Table13[[#This Row],[Unit_Price_Cleaned]]*(1-Table13[[#This Row],[Discount Cleaned]]))</f>
        <v>2001.2248</v>
      </c>
      <c r="P1666" t="str">
        <f t="shared" ref="P1666:P1729" si="134">IF(O1666&gt;500,"Profit","Loss")</f>
        <v>Profit</v>
      </c>
      <c r="Q1666" t="str" cm="1">
        <f t="array" ref="Q1666">IF(K1666="",INDEX($K$2:$K$2501,MATCH(MAX(COUNTIF($K$2:$K$2501,$K$2:$K$2501)),COUNTIF($K$2:$K$2501,$K$2:$K$2501),0)),K1666)</f>
        <v>B2C</v>
      </c>
    </row>
    <row r="1667" spans="1:17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 s="3">
        <f t="shared" si="130"/>
        <v>8177.5671428571441</v>
      </c>
      <c r="I1667" s="1">
        <v>45827</v>
      </c>
      <c r="J1667" t="s">
        <v>46</v>
      </c>
      <c r="K1667" t="s">
        <v>16</v>
      </c>
      <c r="L1667" s="2">
        <f t="shared" si="131"/>
        <v>2725.8557142857148</v>
      </c>
      <c r="M1667" s="4">
        <f t="shared" si="132"/>
        <v>0.6</v>
      </c>
      <c r="N1667" s="1">
        <f t="shared" si="133"/>
        <v>45827</v>
      </c>
      <c r="O1667" s="3">
        <f>(Table13[[#This Row],[Units_Sold]]*Table13[[#This Row],[Unit_Price_Cleaned]]*(1-Table13[[#This Row],[Discount Cleaned]]))</f>
        <v>3271.0268571428578</v>
      </c>
      <c r="P1667" t="str">
        <f t="shared" si="134"/>
        <v>Profit</v>
      </c>
      <c r="Q1667" t="str" cm="1">
        <f t="array" ref="Q1667">IF(K1667="",INDEX($K$2:$K$2501,MATCH(MAX(COUNTIF($K$2:$K$2501,$K$2:$K$2501)),COUNTIF($K$2:$K$2501,$K$2:$K$2501),0)),K1667)</f>
        <v>B2C</v>
      </c>
    </row>
    <row r="1668" spans="1:17" x14ac:dyDescent="0.3">
      <c r="A1668">
        <v>2666</v>
      </c>
      <c r="B1668" t="s">
        <v>1700</v>
      </c>
      <c r="C1668" t="s">
        <v>38</v>
      </c>
      <c r="D1668" t="s">
        <v>63</v>
      </c>
      <c r="E1668">
        <v>2</v>
      </c>
      <c r="H1668" s="3">
        <f t="shared" si="130"/>
        <v>5690.4839344262318</v>
      </c>
      <c r="J1668" t="s">
        <v>46</v>
      </c>
      <c r="K1668" t="s">
        <v>23</v>
      </c>
      <c r="L1668" s="2">
        <f t="shared" si="131"/>
        <v>2845.2419672131159</v>
      </c>
      <c r="M1668" s="4">
        <f t="shared" si="132"/>
        <v>0.6</v>
      </c>
      <c r="N1668" s="1">
        <f t="shared" si="133"/>
        <v>45782</v>
      </c>
      <c r="O1668" s="3">
        <f>(Table13[[#This Row],[Units_Sold]]*Table13[[#This Row],[Unit_Price_Cleaned]]*(1-Table13[[#This Row],[Discount Cleaned]]))</f>
        <v>2276.193573770493</v>
      </c>
      <c r="P1668" t="str">
        <f t="shared" si="134"/>
        <v>Profit</v>
      </c>
      <c r="Q1668" t="str" cm="1">
        <f t="array" ref="Q1668">IF(K1668="",INDEX($K$2:$K$2501,MATCH(MAX(COUNTIF($K$2:$K$2501,$K$2:$K$2501)),COUNTIF($K$2:$K$2501,$K$2:$K$2501),0)),K1668)</f>
        <v>B2B</v>
      </c>
    </row>
    <row r="1669" spans="1:17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 s="3">
        <f t="shared" si="130"/>
        <v>4710.7700000000004</v>
      </c>
      <c r="J1669" t="s">
        <v>18</v>
      </c>
      <c r="K1669" t="s">
        <v>23</v>
      </c>
      <c r="L1669" s="2">
        <f t="shared" si="131"/>
        <v>4710.7700000000004</v>
      </c>
      <c r="M1669" s="4">
        <f t="shared" si="132"/>
        <v>0.6</v>
      </c>
      <c r="N1669" s="1">
        <f t="shared" si="133"/>
        <v>45782</v>
      </c>
      <c r="O1669" s="3">
        <f>(Table13[[#This Row],[Units_Sold]]*Table13[[#This Row],[Unit_Price_Cleaned]]*(1-Table13[[#This Row],[Discount Cleaned]]))</f>
        <v>1884.3080000000002</v>
      </c>
      <c r="P1669" t="str">
        <f t="shared" si="134"/>
        <v>Profit</v>
      </c>
      <c r="Q1669" t="str" cm="1">
        <f t="array" ref="Q1669">IF(K1669="",INDEX($K$2:$K$2501,MATCH(MAX(COUNTIF($K$2:$K$2501,$K$2:$K$2501)),COUNTIF($K$2:$K$2501,$K$2:$K$2501),0)),K1669)</f>
        <v>B2B</v>
      </c>
    </row>
    <row r="1670" spans="1:17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 s="3">
        <f t="shared" si="130"/>
        <v>2715.5458490566025</v>
      </c>
      <c r="I1670" s="1">
        <v>45282</v>
      </c>
      <c r="J1670" t="s">
        <v>18</v>
      </c>
      <c r="K1670" t="s">
        <v>16</v>
      </c>
      <c r="L1670" s="2">
        <f t="shared" si="131"/>
        <v>2715.5458490566025</v>
      </c>
      <c r="M1670" s="4">
        <f t="shared" si="132"/>
        <v>0.64</v>
      </c>
      <c r="N1670" s="1">
        <f t="shared" si="133"/>
        <v>45282</v>
      </c>
      <c r="O1670" s="3">
        <f>(Table13[[#This Row],[Units_Sold]]*Table13[[#This Row],[Unit_Price_Cleaned]]*(1-Table13[[#This Row],[Discount Cleaned]]))</f>
        <v>977.59650566037681</v>
      </c>
      <c r="P1670" t="str">
        <f t="shared" si="134"/>
        <v>Profit</v>
      </c>
      <c r="Q1670" t="str" cm="1">
        <f t="array" ref="Q1670">IF(K1670="",INDEX($K$2:$K$2501,MATCH(MAX(COUNTIF($K$2:$K$2501,$K$2:$K$2501)),COUNTIF($K$2:$K$2501,$K$2:$K$2501),0)),K1670)</f>
        <v>B2C</v>
      </c>
    </row>
    <row r="1671" spans="1:17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 s="3">
        <f t="shared" si="130"/>
        <v>-2776.2202000000002</v>
      </c>
      <c r="I1671" s="1">
        <v>45749</v>
      </c>
      <c r="J1671" t="s">
        <v>46</v>
      </c>
      <c r="L1671" s="2">
        <f t="shared" si="131"/>
        <v>2776.2202000000002</v>
      </c>
      <c r="M1671" s="4">
        <f t="shared" si="132"/>
        <v>0.6</v>
      </c>
      <c r="N1671" s="1">
        <f t="shared" si="133"/>
        <v>45749</v>
      </c>
      <c r="O1671" s="3">
        <f>(Table13[[#This Row],[Units_Sold]]*Table13[[#This Row],[Unit_Price_Cleaned]]*(1-Table13[[#This Row],[Discount Cleaned]]))</f>
        <v>-1110.4880800000001</v>
      </c>
      <c r="P1671" t="str">
        <f t="shared" si="134"/>
        <v>Loss</v>
      </c>
      <c r="Q1671" t="str" cm="1">
        <f t="array" ref="Q1671">IF(K1671="",INDEX($K$2:$K$2501,MATCH(MAX(COUNTIF($K$2:$K$2501,$K$2:$K$2501)),COUNTIF($K$2:$K$2501,$K$2:$K$2501),0)),K1671)</f>
        <v>B2B</v>
      </c>
    </row>
    <row r="1672" spans="1:17" x14ac:dyDescent="0.3">
      <c r="A1672">
        <v>2670</v>
      </c>
      <c r="B1672" t="s">
        <v>1704</v>
      </c>
      <c r="C1672" t="s">
        <v>33</v>
      </c>
      <c r="D1672" t="s">
        <v>82</v>
      </c>
      <c r="E1672">
        <v>2</v>
      </c>
      <c r="H1672" s="3">
        <f t="shared" si="130"/>
        <v>5552.4404000000004</v>
      </c>
      <c r="I1672" s="1">
        <v>45561</v>
      </c>
      <c r="J1672" t="s">
        <v>46</v>
      </c>
      <c r="K1672" t="s">
        <v>16</v>
      </c>
      <c r="L1672" s="2">
        <f t="shared" si="131"/>
        <v>2776.2202000000002</v>
      </c>
      <c r="M1672" s="4">
        <f t="shared" si="132"/>
        <v>0.6</v>
      </c>
      <c r="N1672" s="1">
        <f t="shared" si="133"/>
        <v>45561</v>
      </c>
      <c r="O1672" s="3">
        <f>(Table13[[#This Row],[Units_Sold]]*Table13[[#This Row],[Unit_Price_Cleaned]]*(1-Table13[[#This Row],[Discount Cleaned]]))</f>
        <v>2220.9761600000002</v>
      </c>
      <c r="P1672" t="str">
        <f t="shared" si="134"/>
        <v>Profit</v>
      </c>
      <c r="Q1672" t="str" cm="1">
        <f t="array" ref="Q1672">IF(K1672="",INDEX($K$2:$K$2501,MATCH(MAX(COUNTIF($K$2:$K$2501,$K$2:$K$2501)),COUNTIF($K$2:$K$2501,$K$2:$K$2501),0)),K1672)</f>
        <v>B2C</v>
      </c>
    </row>
    <row r="1673" spans="1:17" x14ac:dyDescent="0.3">
      <c r="A1673">
        <v>2671</v>
      </c>
      <c r="B1673" t="s">
        <v>1705</v>
      </c>
      <c r="C1673" t="s">
        <v>29</v>
      </c>
      <c r="D1673" t="s">
        <v>141</v>
      </c>
      <c r="E1673">
        <v>2</v>
      </c>
      <c r="F1673">
        <v>2377.81</v>
      </c>
      <c r="G1673">
        <v>0.56999999999999995</v>
      </c>
      <c r="H1673" s="3">
        <f t="shared" si="130"/>
        <v>4755.62</v>
      </c>
      <c r="J1673" t="s">
        <v>22</v>
      </c>
      <c r="K1673" t="s">
        <v>23</v>
      </c>
      <c r="L1673" s="2">
        <f t="shared" si="131"/>
        <v>2377.81</v>
      </c>
      <c r="M1673" s="4">
        <f t="shared" si="132"/>
        <v>0.56999999999999995</v>
      </c>
      <c r="N1673" s="1">
        <f t="shared" si="133"/>
        <v>45782</v>
      </c>
      <c r="O1673" s="3">
        <f>(Table13[[#This Row],[Units_Sold]]*Table13[[#This Row],[Unit_Price_Cleaned]]*(1-Table13[[#This Row],[Discount Cleaned]]))</f>
        <v>2044.9166000000002</v>
      </c>
      <c r="P1673" t="str">
        <f t="shared" si="134"/>
        <v>Profit</v>
      </c>
      <c r="Q1673" t="str" cm="1">
        <f t="array" ref="Q1673">IF(K1673="",INDEX($K$2:$K$2501,MATCH(MAX(COUNTIF($K$2:$K$2501,$K$2:$K$2501)),COUNTIF($K$2:$K$2501,$K$2:$K$2501),0)),K1673)</f>
        <v>B2B</v>
      </c>
    </row>
    <row r="1674" spans="1:17" x14ac:dyDescent="0.3">
      <c r="A1674">
        <v>1026</v>
      </c>
      <c r="B1674" t="s">
        <v>1706</v>
      </c>
      <c r="C1674" t="s">
        <v>38</v>
      </c>
      <c r="D1674" t="s">
        <v>59</v>
      </c>
      <c r="E1674">
        <v>2</v>
      </c>
      <c r="H1674" s="3">
        <f t="shared" si="130"/>
        <v>5608.5303846153838</v>
      </c>
      <c r="I1674" s="1">
        <v>45457</v>
      </c>
      <c r="J1674" t="s">
        <v>18</v>
      </c>
      <c r="L1674" s="2">
        <f t="shared" si="131"/>
        <v>2804.2651923076919</v>
      </c>
      <c r="M1674" s="4">
        <f t="shared" si="132"/>
        <v>0.6</v>
      </c>
      <c r="N1674" s="1">
        <f t="shared" si="133"/>
        <v>45457</v>
      </c>
      <c r="O1674" s="3">
        <f>(Table13[[#This Row],[Units_Sold]]*Table13[[#This Row],[Unit_Price_Cleaned]]*(1-Table13[[#This Row],[Discount Cleaned]]))</f>
        <v>2243.4121538461536</v>
      </c>
      <c r="P1674" t="str">
        <f t="shared" si="134"/>
        <v>Profit</v>
      </c>
      <c r="Q1674" t="str" cm="1">
        <f t="array" ref="Q1674">IF(K1674="",INDEX($K$2:$K$2501,MATCH(MAX(COUNTIF($K$2:$K$2501,$K$2:$K$2501)),COUNTIF($K$2:$K$2501,$K$2:$K$2501),0)),K1674)</f>
        <v>B2B</v>
      </c>
    </row>
    <row r="1675" spans="1:17" x14ac:dyDescent="0.3">
      <c r="A1675">
        <v>2673</v>
      </c>
      <c r="B1675" t="s">
        <v>1707</v>
      </c>
      <c r="C1675" t="s">
        <v>29</v>
      </c>
      <c r="D1675" t="s">
        <v>30</v>
      </c>
      <c r="E1675">
        <v>2</v>
      </c>
      <c r="H1675" s="3">
        <f t="shared" si="130"/>
        <v>5235.2780769230776</v>
      </c>
      <c r="J1675" t="s">
        <v>40</v>
      </c>
      <c r="K1675" t="s">
        <v>23</v>
      </c>
      <c r="L1675" s="2">
        <f t="shared" si="131"/>
        <v>2617.6390384615388</v>
      </c>
      <c r="M1675" s="4">
        <f t="shared" si="132"/>
        <v>0.6</v>
      </c>
      <c r="N1675" s="1">
        <f t="shared" si="133"/>
        <v>45782</v>
      </c>
      <c r="O1675" s="3">
        <f>(Table13[[#This Row],[Units_Sold]]*Table13[[#This Row],[Unit_Price_Cleaned]]*(1-Table13[[#This Row],[Discount Cleaned]]))</f>
        <v>2094.111230769231</v>
      </c>
      <c r="P1675" t="str">
        <f t="shared" si="134"/>
        <v>Profit</v>
      </c>
      <c r="Q1675" t="str" cm="1">
        <f t="array" ref="Q1675">IF(K1675="",INDEX($K$2:$K$2501,MATCH(MAX(COUNTIF($K$2:$K$2501,$K$2:$K$2501)),COUNTIF($K$2:$K$2501,$K$2:$K$2501),0)),K1675)</f>
        <v>B2B</v>
      </c>
    </row>
    <row r="1676" spans="1:17" x14ac:dyDescent="0.3">
      <c r="A1676">
        <v>2674</v>
      </c>
      <c r="B1676" t="s">
        <v>1708</v>
      </c>
      <c r="C1676" t="s">
        <v>33</v>
      </c>
      <c r="D1676" t="s">
        <v>72</v>
      </c>
      <c r="E1676">
        <v>2</v>
      </c>
      <c r="F1676">
        <v>1261.5899999999999</v>
      </c>
      <c r="H1676" s="3">
        <f t="shared" si="130"/>
        <v>2523.1799999999998</v>
      </c>
      <c r="I1676" s="1">
        <v>45542</v>
      </c>
      <c r="J1676" t="s">
        <v>22</v>
      </c>
      <c r="K1676" t="s">
        <v>23</v>
      </c>
      <c r="L1676" s="2">
        <f t="shared" si="131"/>
        <v>1261.5899999999999</v>
      </c>
      <c r="M1676" s="4">
        <f t="shared" si="132"/>
        <v>0.6</v>
      </c>
      <c r="N1676" s="1">
        <f t="shared" si="133"/>
        <v>45542</v>
      </c>
      <c r="O1676" s="3">
        <f>(Table13[[#This Row],[Units_Sold]]*Table13[[#This Row],[Unit_Price_Cleaned]]*(1-Table13[[#This Row],[Discount Cleaned]]))</f>
        <v>1009.2719999999999</v>
      </c>
      <c r="P1676" t="str">
        <f t="shared" si="134"/>
        <v>Profit</v>
      </c>
      <c r="Q1676" t="str" cm="1">
        <f t="array" ref="Q1676">IF(K1676="",INDEX($K$2:$K$2501,MATCH(MAX(COUNTIF($K$2:$K$2501,$K$2:$K$2501)),COUNTIF($K$2:$K$2501,$K$2:$K$2501),0)),K1676)</f>
        <v>B2B</v>
      </c>
    </row>
    <row r="1677" spans="1:17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 s="3">
        <f t="shared" si="130"/>
        <v>2888.8714285714286</v>
      </c>
      <c r="I1677" s="1">
        <v>45504</v>
      </c>
      <c r="J1677" t="s">
        <v>22</v>
      </c>
      <c r="K1677" t="s">
        <v>16</v>
      </c>
      <c r="L1677" s="2">
        <f t="shared" si="131"/>
        <v>2888.8714285714286</v>
      </c>
      <c r="M1677" s="4">
        <f t="shared" si="132"/>
        <v>0.83</v>
      </c>
      <c r="N1677" s="1">
        <f t="shared" si="133"/>
        <v>45504</v>
      </c>
      <c r="O1677" s="3">
        <f>(Table13[[#This Row],[Units_Sold]]*Table13[[#This Row],[Unit_Price_Cleaned]]*(1-Table13[[#This Row],[Discount Cleaned]]))</f>
        <v>491.10814285714298</v>
      </c>
      <c r="P1677" t="str">
        <f t="shared" si="134"/>
        <v>Loss</v>
      </c>
      <c r="Q1677" t="str" cm="1">
        <f t="array" ref="Q1677">IF(K1677="",INDEX($K$2:$K$2501,MATCH(MAX(COUNTIF($K$2:$K$2501,$K$2:$K$2501)),COUNTIF($K$2:$K$2501,$K$2:$K$2501),0)),K1677)</f>
        <v>B2C</v>
      </c>
    </row>
    <row r="1678" spans="1:17" x14ac:dyDescent="0.3">
      <c r="A1678">
        <v>1014</v>
      </c>
      <c r="B1678" t="s">
        <v>1710</v>
      </c>
      <c r="C1678" t="s">
        <v>13</v>
      </c>
      <c r="D1678" t="s">
        <v>36</v>
      </c>
      <c r="E1678">
        <v>2</v>
      </c>
      <c r="H1678" s="3">
        <f t="shared" si="130"/>
        <v>5765.0093103448271</v>
      </c>
      <c r="I1678" s="1">
        <v>45704</v>
      </c>
      <c r="J1678" t="s">
        <v>15</v>
      </c>
      <c r="K1678" t="s">
        <v>23</v>
      </c>
      <c r="L1678" s="2">
        <f t="shared" si="131"/>
        <v>2882.5046551724135</v>
      </c>
      <c r="M1678" s="4">
        <f t="shared" si="132"/>
        <v>0.6</v>
      </c>
      <c r="N1678" s="1">
        <f t="shared" si="133"/>
        <v>45704</v>
      </c>
      <c r="O1678" s="3">
        <f>(Table13[[#This Row],[Units_Sold]]*Table13[[#This Row],[Unit_Price_Cleaned]]*(1-Table13[[#This Row],[Discount Cleaned]]))</f>
        <v>2306.0037241379309</v>
      </c>
      <c r="P1678" t="str">
        <f t="shared" si="134"/>
        <v>Profit</v>
      </c>
      <c r="Q1678" t="str" cm="1">
        <f t="array" ref="Q1678">IF(K1678="",INDEX($K$2:$K$2501,MATCH(MAX(COUNTIF($K$2:$K$2501,$K$2:$K$2501)),COUNTIF($K$2:$K$2501,$K$2:$K$2501),0)),K1678)</f>
        <v>B2B</v>
      </c>
    </row>
    <row r="1679" spans="1:17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 s="3">
        <f t="shared" si="130"/>
        <v>8638.3000000000011</v>
      </c>
      <c r="I1679" s="1">
        <v>45776</v>
      </c>
      <c r="J1679" t="s">
        <v>46</v>
      </c>
      <c r="K1679" t="s">
        <v>23</v>
      </c>
      <c r="L1679" s="2">
        <f t="shared" si="131"/>
        <v>1727.66</v>
      </c>
      <c r="M1679" s="4">
        <f t="shared" si="132"/>
        <v>1.24</v>
      </c>
      <c r="N1679" s="1">
        <f t="shared" si="133"/>
        <v>45776</v>
      </c>
      <c r="O1679" s="3">
        <f>(Table13[[#This Row],[Units_Sold]]*Table13[[#This Row],[Unit_Price_Cleaned]]*(1-Table13[[#This Row],[Discount Cleaned]]))</f>
        <v>-2073.192</v>
      </c>
      <c r="P1679" t="str">
        <f t="shared" si="134"/>
        <v>Loss</v>
      </c>
      <c r="Q1679" t="str" cm="1">
        <f t="array" ref="Q1679">IF(K1679="",INDEX($K$2:$K$2501,MATCH(MAX(COUNTIF($K$2:$K$2501,$K$2:$K$2501)),COUNTIF($K$2:$K$2501,$K$2:$K$2501),0)),K1679)</f>
        <v>B2B</v>
      </c>
    </row>
    <row r="1680" spans="1:17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 s="3">
        <f t="shared" si="130"/>
        <v>-5690.4839344262318</v>
      </c>
      <c r="I1680" s="1">
        <v>45741</v>
      </c>
      <c r="J1680" t="s">
        <v>56</v>
      </c>
      <c r="K1680" t="s">
        <v>16</v>
      </c>
      <c r="L1680" s="2">
        <f t="shared" si="131"/>
        <v>2845.2419672131159</v>
      </c>
      <c r="M1680" s="4">
        <f t="shared" si="132"/>
        <v>0.51</v>
      </c>
      <c r="N1680" s="1">
        <f t="shared" si="133"/>
        <v>45741</v>
      </c>
      <c r="O1680" s="3">
        <f>(Table13[[#This Row],[Units_Sold]]*Table13[[#This Row],[Unit_Price_Cleaned]]*(1-Table13[[#This Row],[Discount Cleaned]]))</f>
        <v>-2788.3371278688537</v>
      </c>
      <c r="P1680" t="str">
        <f t="shared" si="134"/>
        <v>Loss</v>
      </c>
      <c r="Q1680" t="str" cm="1">
        <f t="array" ref="Q1680">IF(K1680="",INDEX($K$2:$K$2501,MATCH(MAX(COUNTIF($K$2:$K$2501,$K$2:$K$2501)),COUNTIF($K$2:$K$2501,$K$2:$K$2501),0)),K1680)</f>
        <v>B2C</v>
      </c>
    </row>
    <row r="1681" spans="1:17" x14ac:dyDescent="0.3">
      <c r="A1681">
        <v>2679</v>
      </c>
      <c r="B1681" t="s">
        <v>1713</v>
      </c>
      <c r="C1681" t="s">
        <v>29</v>
      </c>
      <c r="D1681" t="s">
        <v>120</v>
      </c>
      <c r="E1681">
        <v>2</v>
      </c>
      <c r="F1681">
        <v>2514.6999999999998</v>
      </c>
      <c r="H1681" s="3">
        <f t="shared" si="130"/>
        <v>5029.3999999999996</v>
      </c>
      <c r="I1681" s="1">
        <v>45564</v>
      </c>
      <c r="J1681" t="s">
        <v>56</v>
      </c>
      <c r="L1681" s="2">
        <f t="shared" si="131"/>
        <v>2514.6999999999998</v>
      </c>
      <c r="M1681" s="4">
        <f t="shared" si="132"/>
        <v>0.6</v>
      </c>
      <c r="N1681" s="1">
        <f t="shared" si="133"/>
        <v>45564</v>
      </c>
      <c r="O1681" s="3">
        <f>(Table13[[#This Row],[Units_Sold]]*Table13[[#This Row],[Unit_Price_Cleaned]]*(1-Table13[[#This Row],[Discount Cleaned]]))</f>
        <v>2011.76</v>
      </c>
      <c r="P1681" t="str">
        <f t="shared" si="134"/>
        <v>Profit</v>
      </c>
      <c r="Q1681" t="str" cm="1">
        <f t="array" ref="Q1681">IF(K1681="",INDEX($K$2:$K$2501,MATCH(MAX(COUNTIF($K$2:$K$2501,$K$2:$K$2501)),COUNTIF($K$2:$K$2501,$K$2:$K$2501),0)),K1681)</f>
        <v>B2B</v>
      </c>
    </row>
    <row r="1682" spans="1:17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 s="3">
        <f t="shared" si="130"/>
        <v>15436.658400000004</v>
      </c>
      <c r="J1682" t="s">
        <v>15</v>
      </c>
      <c r="L1682" s="2">
        <f t="shared" si="131"/>
        <v>2572.7764000000006</v>
      </c>
      <c r="M1682" s="4">
        <f t="shared" si="132"/>
        <v>0.6</v>
      </c>
      <c r="N1682" s="1">
        <f t="shared" si="133"/>
        <v>45782</v>
      </c>
      <c r="O1682" s="3">
        <f>(Table13[[#This Row],[Units_Sold]]*Table13[[#This Row],[Unit_Price_Cleaned]]*(1-Table13[[#This Row],[Discount Cleaned]]))</f>
        <v>6174.6633600000023</v>
      </c>
      <c r="P1682" t="str">
        <f t="shared" si="134"/>
        <v>Profit</v>
      </c>
      <c r="Q1682" t="str" cm="1">
        <f t="array" ref="Q1682">IF(K1682="",INDEX($K$2:$K$2501,MATCH(MAX(COUNTIF($K$2:$K$2501,$K$2:$K$2501)),COUNTIF($K$2:$K$2501,$K$2:$K$2501),0)),K1682)</f>
        <v>B2B</v>
      </c>
    </row>
    <row r="1683" spans="1:17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 s="3">
        <f t="shared" si="130"/>
        <v>-4770.92</v>
      </c>
      <c r="I1683" s="1">
        <v>45223</v>
      </c>
      <c r="J1683" t="s">
        <v>46</v>
      </c>
      <c r="K1683" t="s">
        <v>23</v>
      </c>
      <c r="L1683" s="2">
        <f t="shared" si="131"/>
        <v>4770.92</v>
      </c>
      <c r="M1683" s="4">
        <f t="shared" si="132"/>
        <v>0.6</v>
      </c>
      <c r="N1683" s="1">
        <f t="shared" si="133"/>
        <v>45223</v>
      </c>
      <c r="O1683" s="3">
        <f>(Table13[[#This Row],[Units_Sold]]*Table13[[#This Row],[Unit_Price_Cleaned]]*(1-Table13[[#This Row],[Discount Cleaned]]))</f>
        <v>-1908.3680000000002</v>
      </c>
      <c r="P1683" t="str">
        <f t="shared" si="134"/>
        <v>Loss</v>
      </c>
      <c r="Q1683" t="str" cm="1">
        <f t="array" ref="Q1683">IF(K1683="",INDEX($K$2:$K$2501,MATCH(MAX(COUNTIF($K$2:$K$2501,$K$2:$K$2501)),COUNTIF($K$2:$K$2501,$K$2:$K$2501),0)),K1683)</f>
        <v>B2B</v>
      </c>
    </row>
    <row r="1684" spans="1:17" x14ac:dyDescent="0.3">
      <c r="A1684">
        <v>2682</v>
      </c>
      <c r="B1684" t="s">
        <v>1716</v>
      </c>
      <c r="C1684" t="s">
        <v>33</v>
      </c>
      <c r="D1684" t="s">
        <v>82</v>
      </c>
      <c r="E1684">
        <v>2</v>
      </c>
      <c r="F1684">
        <v>4784.55</v>
      </c>
      <c r="H1684" s="3">
        <f t="shared" si="130"/>
        <v>9569.1</v>
      </c>
      <c r="I1684" s="1">
        <v>45622</v>
      </c>
      <c r="J1684" t="s">
        <v>40</v>
      </c>
      <c r="L1684" s="2">
        <f t="shared" si="131"/>
        <v>4784.55</v>
      </c>
      <c r="M1684" s="4">
        <f t="shared" si="132"/>
        <v>0.6</v>
      </c>
      <c r="N1684" s="1">
        <f t="shared" si="133"/>
        <v>45622</v>
      </c>
      <c r="O1684" s="3">
        <f>(Table13[[#This Row],[Units_Sold]]*Table13[[#This Row],[Unit_Price_Cleaned]]*(1-Table13[[#This Row],[Discount Cleaned]]))</f>
        <v>3827.6400000000003</v>
      </c>
      <c r="P1684" t="str">
        <f t="shared" si="134"/>
        <v>Profit</v>
      </c>
      <c r="Q1684" t="str" cm="1">
        <f t="array" ref="Q1684">IF(K1684="",INDEX($K$2:$K$2501,MATCH(MAX(COUNTIF($K$2:$K$2501,$K$2:$K$2501)),COUNTIF($K$2:$K$2501,$K$2:$K$2501),0)),K1684)</f>
        <v>B2B</v>
      </c>
    </row>
    <row r="1685" spans="1:17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 s="3">
        <f t="shared" si="130"/>
        <v>15819.849999999999</v>
      </c>
      <c r="J1685" t="s">
        <v>15</v>
      </c>
      <c r="K1685" t="s">
        <v>23</v>
      </c>
      <c r="L1685" s="2">
        <f t="shared" si="131"/>
        <v>3163.97</v>
      </c>
      <c r="M1685" s="4">
        <f t="shared" si="132"/>
        <v>0.6</v>
      </c>
      <c r="N1685" s="1">
        <f t="shared" si="133"/>
        <v>45782</v>
      </c>
      <c r="O1685" s="3">
        <f>(Table13[[#This Row],[Units_Sold]]*Table13[[#This Row],[Unit_Price_Cleaned]]*(1-Table13[[#This Row],[Discount Cleaned]]))</f>
        <v>6327.94</v>
      </c>
      <c r="P1685" t="str">
        <f t="shared" si="134"/>
        <v>Profit</v>
      </c>
      <c r="Q1685" t="str" cm="1">
        <f t="array" ref="Q1685">IF(K1685="",INDEX($K$2:$K$2501,MATCH(MAX(COUNTIF($K$2:$K$2501,$K$2:$K$2501)),COUNTIF($K$2:$K$2501,$K$2:$K$2501),0)),K1685)</f>
        <v>B2B</v>
      </c>
    </row>
    <row r="1686" spans="1:17" x14ac:dyDescent="0.3">
      <c r="A1686">
        <v>2684</v>
      </c>
      <c r="B1686" t="s">
        <v>1718</v>
      </c>
      <c r="C1686" t="s">
        <v>25</v>
      </c>
      <c r="D1686" t="s">
        <v>86</v>
      </c>
      <c r="E1686">
        <v>2</v>
      </c>
      <c r="F1686">
        <v>794.81</v>
      </c>
      <c r="G1686">
        <v>1.1200000000000001</v>
      </c>
      <c r="H1686" s="3">
        <f t="shared" si="130"/>
        <v>1589.62</v>
      </c>
      <c r="I1686" s="1">
        <v>45483</v>
      </c>
      <c r="J1686" t="s">
        <v>40</v>
      </c>
      <c r="K1686" t="s">
        <v>23</v>
      </c>
      <c r="L1686" s="2">
        <f t="shared" si="131"/>
        <v>794.81</v>
      </c>
      <c r="M1686" s="4">
        <f t="shared" si="132"/>
        <v>1.1200000000000001</v>
      </c>
      <c r="N1686" s="1">
        <f t="shared" si="133"/>
        <v>45483</v>
      </c>
      <c r="O1686" s="3">
        <f>(Table13[[#This Row],[Units_Sold]]*Table13[[#This Row],[Unit_Price_Cleaned]]*(1-Table13[[#This Row],[Discount Cleaned]]))</f>
        <v>-190.75440000000015</v>
      </c>
      <c r="P1686" t="str">
        <f t="shared" si="134"/>
        <v>Loss</v>
      </c>
      <c r="Q1686" t="str" cm="1">
        <f t="array" ref="Q1686">IF(K1686="",INDEX($K$2:$K$2501,MATCH(MAX(COUNTIF($K$2:$K$2501,$K$2:$K$2501)),COUNTIF($K$2:$K$2501,$K$2:$K$2501),0)),K1686)</f>
        <v>B2B</v>
      </c>
    </row>
    <row r="1687" spans="1:17" x14ac:dyDescent="0.3">
      <c r="A1687">
        <v>2685</v>
      </c>
      <c r="B1687" t="s">
        <v>1719</v>
      </c>
      <c r="C1687" t="s">
        <v>25</v>
      </c>
      <c r="D1687" t="s">
        <v>54</v>
      </c>
      <c r="E1687">
        <v>2</v>
      </c>
      <c r="F1687">
        <v>1804.59</v>
      </c>
      <c r="H1687" s="3">
        <f t="shared" si="130"/>
        <v>3609.18</v>
      </c>
      <c r="I1687" s="1">
        <v>45839</v>
      </c>
      <c r="J1687" t="s">
        <v>18</v>
      </c>
      <c r="K1687" t="s">
        <v>23</v>
      </c>
      <c r="L1687" s="2">
        <f t="shared" si="131"/>
        <v>1804.59</v>
      </c>
      <c r="M1687" s="4">
        <f t="shared" si="132"/>
        <v>0.6</v>
      </c>
      <c r="N1687" s="1">
        <f t="shared" si="133"/>
        <v>45839</v>
      </c>
      <c r="O1687" s="3">
        <f>(Table13[[#This Row],[Units_Sold]]*Table13[[#This Row],[Unit_Price_Cleaned]]*(1-Table13[[#This Row],[Discount Cleaned]]))</f>
        <v>1443.672</v>
      </c>
      <c r="P1687" t="str">
        <f t="shared" si="134"/>
        <v>Profit</v>
      </c>
      <c r="Q1687" t="str" cm="1">
        <f t="array" ref="Q1687">IF(K1687="",INDEX($K$2:$K$2501,MATCH(MAX(COUNTIF($K$2:$K$2501,$K$2:$K$2501)),COUNTIF($K$2:$K$2501,$K$2:$K$2501),0)),K1687)</f>
        <v>B2B</v>
      </c>
    </row>
    <row r="1688" spans="1:17" x14ac:dyDescent="0.3">
      <c r="A1688">
        <v>2686</v>
      </c>
      <c r="B1688" t="s">
        <v>1720</v>
      </c>
      <c r="C1688" t="s">
        <v>29</v>
      </c>
      <c r="D1688" t="s">
        <v>141</v>
      </c>
      <c r="E1688">
        <v>2</v>
      </c>
      <c r="G1688">
        <v>0.49</v>
      </c>
      <c r="H1688" s="3">
        <f t="shared" si="130"/>
        <v>4925.58</v>
      </c>
      <c r="J1688" t="s">
        <v>46</v>
      </c>
      <c r="L1688" s="2">
        <f t="shared" si="131"/>
        <v>2462.79</v>
      </c>
      <c r="M1688" s="4">
        <f t="shared" si="132"/>
        <v>0.49</v>
      </c>
      <c r="N1688" s="1">
        <f t="shared" si="133"/>
        <v>45782</v>
      </c>
      <c r="O1688" s="3">
        <f>(Table13[[#This Row],[Units_Sold]]*Table13[[#This Row],[Unit_Price_Cleaned]]*(1-Table13[[#This Row],[Discount Cleaned]]))</f>
        <v>2512.0457999999999</v>
      </c>
      <c r="P1688" t="str">
        <f t="shared" si="134"/>
        <v>Profit</v>
      </c>
      <c r="Q1688" t="str" cm="1">
        <f t="array" ref="Q1688">IF(K1688="",INDEX($K$2:$K$2501,MATCH(MAX(COUNTIF($K$2:$K$2501,$K$2:$K$2501)),COUNTIF($K$2:$K$2501,$K$2:$K$2501),0)),K1688)</f>
        <v>B2B</v>
      </c>
    </row>
    <row r="1689" spans="1:17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 s="3">
        <f t="shared" si="130"/>
        <v>0</v>
      </c>
      <c r="I1689" s="1">
        <v>45521</v>
      </c>
      <c r="J1689" t="s">
        <v>22</v>
      </c>
      <c r="K1689" t="s">
        <v>16</v>
      </c>
      <c r="L1689" s="2">
        <f t="shared" si="131"/>
        <v>2530.3836538461546</v>
      </c>
      <c r="M1689" s="4">
        <f t="shared" si="132"/>
        <v>0.6</v>
      </c>
      <c r="N1689" s="1">
        <f t="shared" si="133"/>
        <v>45521</v>
      </c>
      <c r="O1689" s="3">
        <f>(Table13[[#This Row],[Units_Sold]]*Table13[[#This Row],[Unit_Price_Cleaned]]*(1-Table13[[#This Row],[Discount Cleaned]]))</f>
        <v>0</v>
      </c>
      <c r="P1689" t="str">
        <f t="shared" si="134"/>
        <v>Loss</v>
      </c>
      <c r="Q1689" t="str" cm="1">
        <f t="array" ref="Q1689">IF(K1689="",INDEX($K$2:$K$2501,MATCH(MAX(COUNTIF($K$2:$K$2501,$K$2:$K$2501)),COUNTIF($K$2:$K$2501,$K$2:$K$2501),0)),K1689)</f>
        <v>B2C</v>
      </c>
    </row>
    <row r="1690" spans="1:17" x14ac:dyDescent="0.3">
      <c r="A1690">
        <v>2688</v>
      </c>
      <c r="B1690" t="s">
        <v>1722</v>
      </c>
      <c r="C1690" t="s">
        <v>33</v>
      </c>
      <c r="D1690" t="s">
        <v>34</v>
      </c>
      <c r="E1690">
        <v>2</v>
      </c>
      <c r="G1690">
        <v>0.11</v>
      </c>
      <c r="H1690" s="3">
        <f t="shared" si="130"/>
        <v>4974.07923076923</v>
      </c>
      <c r="J1690" t="s">
        <v>56</v>
      </c>
      <c r="K1690" t="s">
        <v>16</v>
      </c>
      <c r="L1690" s="2">
        <f t="shared" si="131"/>
        <v>2487.039615384615</v>
      </c>
      <c r="M1690" s="4">
        <f t="shared" si="132"/>
        <v>0.11</v>
      </c>
      <c r="N1690" s="1">
        <f t="shared" si="133"/>
        <v>45782</v>
      </c>
      <c r="O1690" s="3">
        <f>(Table13[[#This Row],[Units_Sold]]*Table13[[#This Row],[Unit_Price_Cleaned]]*(1-Table13[[#This Row],[Discount Cleaned]]))</f>
        <v>4426.9305153846144</v>
      </c>
      <c r="P1690" t="str">
        <f t="shared" si="134"/>
        <v>Profit</v>
      </c>
      <c r="Q1690" t="str" cm="1">
        <f t="array" ref="Q1690">IF(K1690="",INDEX($K$2:$K$2501,MATCH(MAX(COUNTIF($K$2:$K$2501,$K$2:$K$2501)),COUNTIF($K$2:$K$2501,$K$2:$K$2501),0)),K1690)</f>
        <v>B2C</v>
      </c>
    </row>
    <row r="1691" spans="1:17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 s="3">
        <f t="shared" si="130"/>
        <v>19110.04</v>
      </c>
      <c r="I1691" s="1">
        <v>45609</v>
      </c>
      <c r="J1691" t="s">
        <v>56</v>
      </c>
      <c r="L1691" s="2">
        <f t="shared" si="131"/>
        <v>4777.51</v>
      </c>
      <c r="M1691" s="4">
        <f t="shared" si="132"/>
        <v>0.6</v>
      </c>
      <c r="N1691" s="1">
        <f t="shared" si="133"/>
        <v>45609</v>
      </c>
      <c r="O1691" s="3">
        <f>(Table13[[#This Row],[Units_Sold]]*Table13[[#This Row],[Unit_Price_Cleaned]]*(1-Table13[[#This Row],[Discount Cleaned]]))</f>
        <v>7644.0160000000005</v>
      </c>
      <c r="P1691" t="str">
        <f t="shared" si="134"/>
        <v>Profit</v>
      </c>
      <c r="Q1691" t="str" cm="1">
        <f t="array" ref="Q1691">IF(K1691="",INDEX($K$2:$K$2501,MATCH(MAX(COUNTIF($K$2:$K$2501,$K$2:$K$2501)),COUNTIF($K$2:$K$2501,$K$2:$K$2501),0)),K1691)</f>
        <v>B2B</v>
      </c>
    </row>
    <row r="1692" spans="1:17" x14ac:dyDescent="0.3">
      <c r="A1692">
        <v>2690</v>
      </c>
      <c r="B1692" t="s">
        <v>1724</v>
      </c>
      <c r="C1692" t="s">
        <v>13</v>
      </c>
      <c r="D1692" t="s">
        <v>102</v>
      </c>
      <c r="E1692">
        <v>2</v>
      </c>
      <c r="F1692">
        <v>2862.03</v>
      </c>
      <c r="H1692" s="3">
        <f t="shared" si="130"/>
        <v>5724.06</v>
      </c>
      <c r="I1692" s="1">
        <v>45277</v>
      </c>
      <c r="J1692" t="s">
        <v>22</v>
      </c>
      <c r="L1692" s="2">
        <f t="shared" si="131"/>
        <v>2862.03</v>
      </c>
      <c r="M1692" s="4">
        <f t="shared" si="132"/>
        <v>0.6</v>
      </c>
      <c r="N1692" s="1">
        <f t="shared" si="133"/>
        <v>45277</v>
      </c>
      <c r="O1692" s="3">
        <f>(Table13[[#This Row],[Units_Sold]]*Table13[[#This Row],[Unit_Price_Cleaned]]*(1-Table13[[#This Row],[Discount Cleaned]]))</f>
        <v>2289.6240000000003</v>
      </c>
      <c r="P1692" t="str">
        <f t="shared" si="134"/>
        <v>Profit</v>
      </c>
      <c r="Q1692" t="str" cm="1">
        <f t="array" ref="Q1692">IF(K1692="",INDEX($K$2:$K$2501,MATCH(MAX(COUNTIF($K$2:$K$2501,$K$2:$K$2501)),COUNTIF($K$2:$K$2501,$K$2:$K$2501),0)),K1692)</f>
        <v>B2B</v>
      </c>
    </row>
    <row r="1693" spans="1:17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 s="3">
        <f t="shared" si="130"/>
        <v>2487.039615384615</v>
      </c>
      <c r="I1693" s="1">
        <v>45411</v>
      </c>
      <c r="J1693" t="s">
        <v>40</v>
      </c>
      <c r="L1693" s="2">
        <f t="shared" si="131"/>
        <v>2487.039615384615</v>
      </c>
      <c r="M1693" s="4">
        <f t="shared" si="132"/>
        <v>0.5</v>
      </c>
      <c r="N1693" s="1">
        <f t="shared" si="133"/>
        <v>45411</v>
      </c>
      <c r="O1693" s="3">
        <f>(Table13[[#This Row],[Units_Sold]]*Table13[[#This Row],[Unit_Price_Cleaned]]*(1-Table13[[#This Row],[Discount Cleaned]]))</f>
        <v>1243.5198076923075</v>
      </c>
      <c r="P1693" t="str">
        <f t="shared" si="134"/>
        <v>Profit</v>
      </c>
      <c r="Q1693" t="str" cm="1">
        <f t="array" ref="Q1693">IF(K1693="",INDEX($K$2:$K$2501,MATCH(MAX(COUNTIF($K$2:$K$2501,$K$2:$K$2501)),COUNTIF($K$2:$K$2501,$K$2:$K$2501),0)),K1693)</f>
        <v>B2B</v>
      </c>
    </row>
    <row r="1694" spans="1:17" x14ac:dyDescent="0.3">
      <c r="A1694">
        <v>2692</v>
      </c>
      <c r="B1694" t="s">
        <v>1726</v>
      </c>
      <c r="C1694" t="s">
        <v>38</v>
      </c>
      <c r="D1694" t="s">
        <v>91</v>
      </c>
      <c r="E1694">
        <v>2</v>
      </c>
      <c r="H1694" s="3">
        <f t="shared" si="130"/>
        <v>5737.5536363636356</v>
      </c>
      <c r="I1694" s="1">
        <v>45762</v>
      </c>
      <c r="J1694" t="s">
        <v>22</v>
      </c>
      <c r="L1694" s="2">
        <f t="shared" si="131"/>
        <v>2868.7768181818178</v>
      </c>
      <c r="M1694" s="4">
        <f t="shared" si="132"/>
        <v>0.6</v>
      </c>
      <c r="N1694" s="1">
        <f t="shared" si="133"/>
        <v>45762</v>
      </c>
      <c r="O1694" s="3">
        <f>(Table13[[#This Row],[Units_Sold]]*Table13[[#This Row],[Unit_Price_Cleaned]]*(1-Table13[[#This Row],[Discount Cleaned]]))</f>
        <v>2295.0214545454542</v>
      </c>
      <c r="P1694" t="str">
        <f t="shared" si="134"/>
        <v>Profit</v>
      </c>
      <c r="Q1694" t="str" cm="1">
        <f t="array" ref="Q1694">IF(K1694="",INDEX($K$2:$K$2501,MATCH(MAX(COUNTIF($K$2:$K$2501,$K$2:$K$2501)),COUNTIF($K$2:$K$2501,$K$2:$K$2501),0)),K1694)</f>
        <v>B2B</v>
      </c>
    </row>
    <row r="1695" spans="1:17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 s="3">
        <f t="shared" si="130"/>
        <v>17465.599999999999</v>
      </c>
      <c r="J1695" t="s">
        <v>56</v>
      </c>
      <c r="L1695" s="2">
        <f t="shared" si="131"/>
        <v>4366.3999999999996</v>
      </c>
      <c r="M1695" s="4">
        <f t="shared" si="132"/>
        <v>0.6</v>
      </c>
      <c r="N1695" s="1">
        <f t="shared" si="133"/>
        <v>45782</v>
      </c>
      <c r="O1695" s="3">
        <f>(Table13[[#This Row],[Units_Sold]]*Table13[[#This Row],[Unit_Price_Cleaned]]*(1-Table13[[#This Row],[Discount Cleaned]]))</f>
        <v>6986.24</v>
      </c>
      <c r="P1695" t="str">
        <f t="shared" si="134"/>
        <v>Profit</v>
      </c>
      <c r="Q1695" t="str" cm="1">
        <f t="array" ref="Q1695">IF(K1695="",INDEX($K$2:$K$2501,MATCH(MAX(COUNTIF($K$2:$K$2501,$K$2:$K$2501)),COUNTIF($K$2:$K$2501,$K$2:$K$2501),0)),K1695)</f>
        <v>B2B</v>
      </c>
    </row>
    <row r="1696" spans="1:17" x14ac:dyDescent="0.3">
      <c r="A1696">
        <v>2694</v>
      </c>
      <c r="B1696" t="s">
        <v>1728</v>
      </c>
      <c r="C1696" t="s">
        <v>25</v>
      </c>
      <c r="D1696" t="s">
        <v>66</v>
      </c>
      <c r="E1696">
        <v>2</v>
      </c>
      <c r="F1696">
        <v>1617.83</v>
      </c>
      <c r="G1696">
        <v>1.18</v>
      </c>
      <c r="H1696" s="3">
        <f t="shared" si="130"/>
        <v>3235.66</v>
      </c>
      <c r="I1696" s="1">
        <v>45834</v>
      </c>
      <c r="J1696" t="s">
        <v>15</v>
      </c>
      <c r="L1696" s="2">
        <f t="shared" si="131"/>
        <v>1617.83</v>
      </c>
      <c r="M1696" s="4">
        <f t="shared" si="132"/>
        <v>1.18</v>
      </c>
      <c r="N1696" s="1">
        <f t="shared" si="133"/>
        <v>45834</v>
      </c>
      <c r="O1696" s="3">
        <f>(Table13[[#This Row],[Units_Sold]]*Table13[[#This Row],[Unit_Price_Cleaned]]*(1-Table13[[#This Row],[Discount Cleaned]]))</f>
        <v>-582.41879999999981</v>
      </c>
      <c r="P1696" t="str">
        <f t="shared" si="134"/>
        <v>Loss</v>
      </c>
      <c r="Q1696" t="str" cm="1">
        <f t="array" ref="Q1696">IF(K1696="",INDEX($K$2:$K$2501,MATCH(MAX(COUNTIF($K$2:$K$2501,$K$2:$K$2501)),COUNTIF($K$2:$K$2501,$K$2:$K$2501),0)),K1696)</f>
        <v>B2B</v>
      </c>
    </row>
    <row r="1697" spans="1:17" x14ac:dyDescent="0.3">
      <c r="A1697">
        <v>2695</v>
      </c>
      <c r="B1697" t="s">
        <v>1729</v>
      </c>
      <c r="C1697" t="s">
        <v>13</v>
      </c>
      <c r="D1697" t="s">
        <v>36</v>
      </c>
      <c r="E1697">
        <v>2</v>
      </c>
      <c r="F1697">
        <v>4834.87</v>
      </c>
      <c r="H1697" s="3">
        <f t="shared" si="130"/>
        <v>9669.74</v>
      </c>
      <c r="J1697" t="s">
        <v>40</v>
      </c>
      <c r="K1697" t="s">
        <v>23</v>
      </c>
      <c r="L1697" s="2">
        <f t="shared" si="131"/>
        <v>4834.87</v>
      </c>
      <c r="M1697" s="4">
        <f t="shared" si="132"/>
        <v>0.6</v>
      </c>
      <c r="N1697" s="1">
        <f t="shared" si="133"/>
        <v>45782</v>
      </c>
      <c r="O1697" s="3">
        <f>(Table13[[#This Row],[Units_Sold]]*Table13[[#This Row],[Unit_Price_Cleaned]]*(1-Table13[[#This Row],[Discount Cleaned]]))</f>
        <v>3867.8960000000002</v>
      </c>
      <c r="P1697" t="str">
        <f t="shared" si="134"/>
        <v>Profit</v>
      </c>
      <c r="Q1697" t="str" cm="1">
        <f t="array" ref="Q1697">IF(K1697="",INDEX($K$2:$K$2501,MATCH(MAX(COUNTIF($K$2:$K$2501,$K$2:$K$2501)),COUNTIF($K$2:$K$2501,$K$2:$K$2501),0)),K1697)</f>
        <v>B2B</v>
      </c>
    </row>
    <row r="1698" spans="1:17" x14ac:dyDescent="0.3">
      <c r="A1698">
        <v>2696</v>
      </c>
      <c r="B1698" t="s">
        <v>1730</v>
      </c>
      <c r="C1698" t="s">
        <v>20</v>
      </c>
      <c r="D1698" t="s">
        <v>21</v>
      </c>
      <c r="E1698">
        <v>2</v>
      </c>
      <c r="F1698">
        <v>2579.8000000000002</v>
      </c>
      <c r="G1698">
        <v>1.26</v>
      </c>
      <c r="H1698" s="3">
        <f t="shared" si="130"/>
        <v>5159.6000000000004</v>
      </c>
      <c r="I1698" s="1">
        <v>45797</v>
      </c>
      <c r="J1698" t="s">
        <v>18</v>
      </c>
      <c r="K1698" t="s">
        <v>23</v>
      </c>
      <c r="L1698" s="2">
        <f t="shared" si="131"/>
        <v>2579.8000000000002</v>
      </c>
      <c r="M1698" s="4">
        <f t="shared" si="132"/>
        <v>1.26</v>
      </c>
      <c r="N1698" s="1">
        <f t="shared" si="133"/>
        <v>45797</v>
      </c>
      <c r="O1698" s="3">
        <f>(Table13[[#This Row],[Units_Sold]]*Table13[[#This Row],[Unit_Price_Cleaned]]*(1-Table13[[#This Row],[Discount Cleaned]]))</f>
        <v>-1341.4960000000001</v>
      </c>
      <c r="P1698" t="str">
        <f t="shared" si="134"/>
        <v>Loss</v>
      </c>
      <c r="Q1698" t="str" cm="1">
        <f t="array" ref="Q1698">IF(K1698="",INDEX($K$2:$K$2501,MATCH(MAX(COUNTIF($K$2:$K$2501,$K$2:$K$2501)),COUNTIF($K$2:$K$2501,$K$2:$K$2501),0)),K1698)</f>
        <v>B2B</v>
      </c>
    </row>
    <row r="1699" spans="1:17" x14ac:dyDescent="0.3">
      <c r="A1699">
        <v>2697</v>
      </c>
      <c r="B1699" t="s">
        <v>1731</v>
      </c>
      <c r="C1699" t="s">
        <v>38</v>
      </c>
      <c r="D1699" t="s">
        <v>63</v>
      </c>
      <c r="E1699">
        <v>2</v>
      </c>
      <c r="F1699">
        <v>3300.82</v>
      </c>
      <c r="H1699" s="3">
        <f t="shared" si="130"/>
        <v>6601.64</v>
      </c>
      <c r="I1699" s="1">
        <v>45796</v>
      </c>
      <c r="J1699" t="s">
        <v>18</v>
      </c>
      <c r="K1699" t="s">
        <v>23</v>
      </c>
      <c r="L1699" s="2">
        <f t="shared" si="131"/>
        <v>3300.82</v>
      </c>
      <c r="M1699" s="4">
        <f t="shared" si="132"/>
        <v>0.6</v>
      </c>
      <c r="N1699" s="1">
        <f t="shared" si="133"/>
        <v>45796</v>
      </c>
      <c r="O1699" s="3">
        <f>(Table13[[#This Row],[Units_Sold]]*Table13[[#This Row],[Unit_Price_Cleaned]]*(1-Table13[[#This Row],[Discount Cleaned]]))</f>
        <v>2640.6560000000004</v>
      </c>
      <c r="P1699" t="str">
        <f t="shared" si="134"/>
        <v>Profit</v>
      </c>
      <c r="Q1699" t="str" cm="1">
        <f t="array" ref="Q1699">IF(K1699="",INDEX($K$2:$K$2501,MATCH(MAX(COUNTIF($K$2:$K$2501,$K$2:$K$2501)),COUNTIF($K$2:$K$2501,$K$2:$K$2501),0)),K1699)</f>
        <v>B2B</v>
      </c>
    </row>
    <row r="1700" spans="1:17" x14ac:dyDescent="0.3">
      <c r="A1700">
        <v>2698</v>
      </c>
      <c r="B1700" t="s">
        <v>1732</v>
      </c>
      <c r="C1700" t="s">
        <v>20</v>
      </c>
      <c r="D1700" t="s">
        <v>80</v>
      </c>
      <c r="E1700">
        <v>2</v>
      </c>
      <c r="F1700">
        <v>1810.81</v>
      </c>
      <c r="G1700">
        <v>0.5</v>
      </c>
      <c r="H1700" s="3">
        <f t="shared" si="130"/>
        <v>3621.62</v>
      </c>
      <c r="J1700" t="s">
        <v>46</v>
      </c>
      <c r="K1700" t="s">
        <v>16</v>
      </c>
      <c r="L1700" s="2">
        <f t="shared" si="131"/>
        <v>1810.81</v>
      </c>
      <c r="M1700" s="4">
        <f t="shared" si="132"/>
        <v>0.5</v>
      </c>
      <c r="N1700" s="1">
        <f t="shared" si="133"/>
        <v>45782</v>
      </c>
      <c r="O1700" s="3">
        <f>(Table13[[#This Row],[Units_Sold]]*Table13[[#This Row],[Unit_Price_Cleaned]]*(1-Table13[[#This Row],[Discount Cleaned]]))</f>
        <v>1810.81</v>
      </c>
      <c r="P1700" t="str">
        <f t="shared" si="134"/>
        <v>Profit</v>
      </c>
      <c r="Q1700" t="str" cm="1">
        <f t="array" ref="Q1700">IF(K1700="",INDEX($K$2:$K$2501,MATCH(MAX(COUNTIF($K$2:$K$2501,$K$2:$K$2501)),COUNTIF($K$2:$K$2501,$K$2:$K$2501),0)),K1700)</f>
        <v>B2C</v>
      </c>
    </row>
    <row r="1701" spans="1:17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 s="3">
        <f t="shared" si="130"/>
        <v>16710.526779661017</v>
      </c>
      <c r="I1701" s="1">
        <v>45802</v>
      </c>
      <c r="J1701" t="s">
        <v>15</v>
      </c>
      <c r="K1701" t="s">
        <v>16</v>
      </c>
      <c r="L1701" s="2">
        <f t="shared" si="131"/>
        <v>2785.0877966101693</v>
      </c>
      <c r="M1701" s="4">
        <f t="shared" si="132"/>
        <v>0.6</v>
      </c>
      <c r="N1701" s="1">
        <f t="shared" si="133"/>
        <v>45802</v>
      </c>
      <c r="O1701" s="3">
        <f>(Table13[[#This Row],[Units_Sold]]*Table13[[#This Row],[Unit_Price_Cleaned]]*(1-Table13[[#This Row],[Discount Cleaned]]))</f>
        <v>6684.2107118644071</v>
      </c>
      <c r="P1701" t="str">
        <f t="shared" si="134"/>
        <v>Profit</v>
      </c>
      <c r="Q1701" t="str" cm="1">
        <f t="array" ref="Q1701">IF(K1701="",INDEX($K$2:$K$2501,MATCH(MAX(COUNTIF($K$2:$K$2501,$K$2:$K$2501)),COUNTIF($K$2:$K$2501,$K$2:$K$2501),0)),K1701)</f>
        <v>B2C</v>
      </c>
    </row>
    <row r="1702" spans="1:17" x14ac:dyDescent="0.3">
      <c r="A1702">
        <v>2700</v>
      </c>
      <c r="B1702" t="s">
        <v>1734</v>
      </c>
      <c r="C1702" t="s">
        <v>25</v>
      </c>
      <c r="D1702" t="s">
        <v>86</v>
      </c>
      <c r="E1702">
        <v>2</v>
      </c>
      <c r="H1702" s="3">
        <f t="shared" si="130"/>
        <v>5003.0619999999999</v>
      </c>
      <c r="J1702" t="s">
        <v>22</v>
      </c>
      <c r="L1702" s="2">
        <f t="shared" si="131"/>
        <v>2501.5309999999999</v>
      </c>
      <c r="M1702" s="4">
        <f t="shared" si="132"/>
        <v>0.6</v>
      </c>
      <c r="N1702" s="1">
        <f t="shared" si="133"/>
        <v>45782</v>
      </c>
      <c r="O1702" s="3">
        <f>(Table13[[#This Row],[Units_Sold]]*Table13[[#This Row],[Unit_Price_Cleaned]]*(1-Table13[[#This Row],[Discount Cleaned]]))</f>
        <v>2001.2248</v>
      </c>
      <c r="P1702" t="str">
        <f t="shared" si="134"/>
        <v>Profit</v>
      </c>
      <c r="Q1702" t="str" cm="1">
        <f t="array" ref="Q1702">IF(K1702="",INDEX($K$2:$K$2501,MATCH(MAX(COUNTIF($K$2:$K$2501,$K$2:$K$2501)),COUNTIF($K$2:$K$2501,$K$2:$K$2501),0)),K1702)</f>
        <v>B2B</v>
      </c>
    </row>
    <row r="1703" spans="1:17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 s="3">
        <f t="shared" si="130"/>
        <v>-2085.92</v>
      </c>
      <c r="I1703" s="1">
        <v>45669</v>
      </c>
      <c r="J1703" t="s">
        <v>40</v>
      </c>
      <c r="K1703" t="s">
        <v>16</v>
      </c>
      <c r="L1703" s="2">
        <f t="shared" si="131"/>
        <v>2085.92</v>
      </c>
      <c r="M1703" s="4">
        <f t="shared" si="132"/>
        <v>0.6</v>
      </c>
      <c r="N1703" s="1">
        <f t="shared" si="133"/>
        <v>45669</v>
      </c>
      <c r="O1703" s="3">
        <f>(Table13[[#This Row],[Units_Sold]]*Table13[[#This Row],[Unit_Price_Cleaned]]*(1-Table13[[#This Row],[Discount Cleaned]]))</f>
        <v>-834.36800000000005</v>
      </c>
      <c r="P1703" t="str">
        <f t="shared" si="134"/>
        <v>Loss</v>
      </c>
      <c r="Q1703" t="str" cm="1">
        <f t="array" ref="Q1703">IF(K1703="",INDEX($K$2:$K$2501,MATCH(MAX(COUNTIF($K$2:$K$2501,$K$2:$K$2501)),COUNTIF($K$2:$K$2501,$K$2:$K$2501),0)),K1703)</f>
        <v>B2C</v>
      </c>
    </row>
    <row r="1704" spans="1:17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 s="3">
        <f t="shared" si="130"/>
        <v>-5552.4404000000004</v>
      </c>
      <c r="I1704" s="1">
        <v>45537</v>
      </c>
      <c r="J1704" t="s">
        <v>56</v>
      </c>
      <c r="L1704" s="2">
        <f t="shared" si="131"/>
        <v>2776.2202000000002</v>
      </c>
      <c r="M1704" s="4">
        <f t="shared" si="132"/>
        <v>0.6</v>
      </c>
      <c r="N1704" s="1">
        <f t="shared" si="133"/>
        <v>45537</v>
      </c>
      <c r="O1704" s="3">
        <f>(Table13[[#This Row],[Units_Sold]]*Table13[[#This Row],[Unit_Price_Cleaned]]*(1-Table13[[#This Row],[Discount Cleaned]]))</f>
        <v>-2220.9761600000002</v>
      </c>
      <c r="P1704" t="str">
        <f t="shared" si="134"/>
        <v>Loss</v>
      </c>
      <c r="Q1704" t="str" cm="1">
        <f t="array" ref="Q1704">IF(K1704="",INDEX($K$2:$K$2501,MATCH(MAX(COUNTIF($K$2:$K$2501,$K$2:$K$2501)),COUNTIF($K$2:$K$2501,$K$2:$K$2501),0)),K1704)</f>
        <v>B2B</v>
      </c>
    </row>
    <row r="1705" spans="1:17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 s="3">
        <f t="shared" si="130"/>
        <v>-5235.2780769230776</v>
      </c>
      <c r="I1705" s="1">
        <v>45784</v>
      </c>
      <c r="J1705" t="s">
        <v>56</v>
      </c>
      <c r="K1705" t="s">
        <v>16</v>
      </c>
      <c r="L1705" s="2">
        <f t="shared" si="131"/>
        <v>2617.6390384615388</v>
      </c>
      <c r="M1705" s="4">
        <f t="shared" si="132"/>
        <v>0.6</v>
      </c>
      <c r="N1705" s="1">
        <f t="shared" si="133"/>
        <v>45784</v>
      </c>
      <c r="O1705" s="3">
        <f>(Table13[[#This Row],[Units_Sold]]*Table13[[#This Row],[Unit_Price_Cleaned]]*(1-Table13[[#This Row],[Discount Cleaned]]))</f>
        <v>-2094.111230769231</v>
      </c>
      <c r="P1705" t="str">
        <f t="shared" si="134"/>
        <v>Loss</v>
      </c>
      <c r="Q1705" t="str" cm="1">
        <f t="array" ref="Q1705">IF(K1705="",INDEX($K$2:$K$2501,MATCH(MAX(COUNTIF($K$2:$K$2501,$K$2:$K$2501)),COUNTIF($K$2:$K$2501,$K$2:$K$2501),0)),K1705)</f>
        <v>B2C</v>
      </c>
    </row>
    <row r="1706" spans="1:17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 s="3">
        <f t="shared" si="130"/>
        <v>2483.5844000000002</v>
      </c>
      <c r="I1706" s="1">
        <v>45506</v>
      </c>
      <c r="J1706" t="s">
        <v>22</v>
      </c>
      <c r="K1706" t="s">
        <v>16</v>
      </c>
      <c r="L1706" s="2">
        <f t="shared" si="131"/>
        <v>2483.5844000000002</v>
      </c>
      <c r="M1706" s="4">
        <f t="shared" si="132"/>
        <v>0.6</v>
      </c>
      <c r="N1706" s="1">
        <f t="shared" si="133"/>
        <v>45506</v>
      </c>
      <c r="O1706" s="3">
        <f>(Table13[[#This Row],[Units_Sold]]*Table13[[#This Row],[Unit_Price_Cleaned]]*(1-Table13[[#This Row],[Discount Cleaned]]))</f>
        <v>993.43376000000012</v>
      </c>
      <c r="P1706" t="str">
        <f t="shared" si="134"/>
        <v>Profit</v>
      </c>
      <c r="Q1706" t="str" cm="1">
        <f t="array" ref="Q1706">IF(K1706="",INDEX($K$2:$K$2501,MATCH(MAX(COUNTIF($K$2:$K$2501,$K$2:$K$2501)),COUNTIF($K$2:$K$2501,$K$2:$K$2501),0)),K1706)</f>
        <v>B2C</v>
      </c>
    </row>
    <row r="1707" spans="1:17" x14ac:dyDescent="0.3">
      <c r="A1707">
        <v>2705</v>
      </c>
      <c r="B1707" t="s">
        <v>1739</v>
      </c>
      <c r="C1707" t="s">
        <v>38</v>
      </c>
      <c r="D1707" t="s">
        <v>39</v>
      </c>
      <c r="E1707">
        <v>2</v>
      </c>
      <c r="F1707">
        <v>4870.82</v>
      </c>
      <c r="H1707" s="3">
        <f t="shared" si="130"/>
        <v>9741.64</v>
      </c>
      <c r="I1707" s="1">
        <v>45846</v>
      </c>
      <c r="J1707" t="s">
        <v>15</v>
      </c>
      <c r="K1707" t="s">
        <v>23</v>
      </c>
      <c r="L1707" s="2">
        <f t="shared" si="131"/>
        <v>4870.82</v>
      </c>
      <c r="M1707" s="4">
        <f t="shared" si="132"/>
        <v>0.6</v>
      </c>
      <c r="N1707" s="1">
        <f t="shared" si="133"/>
        <v>45846</v>
      </c>
      <c r="O1707" s="3">
        <f>(Table13[[#This Row],[Units_Sold]]*Table13[[#This Row],[Unit_Price_Cleaned]]*(1-Table13[[#This Row],[Discount Cleaned]]))</f>
        <v>3896.6559999999999</v>
      </c>
      <c r="P1707" t="str">
        <f t="shared" si="134"/>
        <v>Profit</v>
      </c>
      <c r="Q1707" t="str" cm="1">
        <f t="array" ref="Q1707">IF(K1707="",INDEX($K$2:$K$2501,MATCH(MAX(COUNTIF($K$2:$K$2501,$K$2:$K$2501)),COUNTIF($K$2:$K$2501,$K$2:$K$2501),0)),K1707)</f>
        <v>B2B</v>
      </c>
    </row>
    <row r="1708" spans="1:17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 s="3">
        <f t="shared" si="130"/>
        <v>16293.275094339615</v>
      </c>
      <c r="I1708" s="1">
        <v>45595</v>
      </c>
      <c r="J1708" t="s">
        <v>46</v>
      </c>
      <c r="L1708" s="2">
        <f t="shared" si="131"/>
        <v>2715.5458490566025</v>
      </c>
      <c r="M1708" s="4">
        <f t="shared" si="132"/>
        <v>0.6</v>
      </c>
      <c r="N1708" s="1">
        <f t="shared" si="133"/>
        <v>45595</v>
      </c>
      <c r="O1708" s="3">
        <f>(Table13[[#This Row],[Units_Sold]]*Table13[[#This Row],[Unit_Price_Cleaned]]*(1-Table13[[#This Row],[Discount Cleaned]]))</f>
        <v>6517.310037735846</v>
      </c>
      <c r="P1708" t="str">
        <f t="shared" si="134"/>
        <v>Profit</v>
      </c>
      <c r="Q1708" t="str" cm="1">
        <f t="array" ref="Q1708">IF(K1708="",INDEX($K$2:$K$2501,MATCH(MAX(COUNTIF($K$2:$K$2501,$K$2:$K$2501)),COUNTIF($K$2:$K$2501,$K$2:$K$2501),0)),K1708)</f>
        <v>B2B</v>
      </c>
    </row>
    <row r="1709" spans="1:17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 s="3">
        <f t="shared" si="130"/>
        <v>13405.871818181819</v>
      </c>
      <c r="I1709" s="1">
        <v>45542</v>
      </c>
      <c r="J1709" t="s">
        <v>22</v>
      </c>
      <c r="K1709" t="s">
        <v>23</v>
      </c>
      <c r="L1709" s="2">
        <f t="shared" si="131"/>
        <v>2681.1743636363635</v>
      </c>
      <c r="M1709" s="4">
        <f t="shared" si="132"/>
        <v>0.6</v>
      </c>
      <c r="N1709" s="1">
        <f t="shared" si="133"/>
        <v>45542</v>
      </c>
      <c r="O1709" s="3">
        <f>(Table13[[#This Row],[Units_Sold]]*Table13[[#This Row],[Unit_Price_Cleaned]]*(1-Table13[[#This Row],[Discount Cleaned]]))</f>
        <v>5362.348727272728</v>
      </c>
      <c r="P1709" t="str">
        <f t="shared" si="134"/>
        <v>Profit</v>
      </c>
      <c r="Q1709" t="str" cm="1">
        <f t="array" ref="Q1709">IF(K1709="",INDEX($K$2:$K$2501,MATCH(MAX(COUNTIF($K$2:$K$2501,$K$2:$K$2501)),COUNTIF($K$2:$K$2501,$K$2:$K$2501),0)),K1709)</f>
        <v>B2B</v>
      </c>
    </row>
    <row r="1710" spans="1:17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 s="3">
        <f t="shared" si="130"/>
        <v>19530.759999999998</v>
      </c>
      <c r="I1710" s="1">
        <v>45656</v>
      </c>
      <c r="J1710" t="s">
        <v>22</v>
      </c>
      <c r="K1710" t="s">
        <v>23</v>
      </c>
      <c r="L1710" s="2">
        <f t="shared" si="131"/>
        <v>4882.6899999999996</v>
      </c>
      <c r="M1710" s="4">
        <f t="shared" si="132"/>
        <v>0.6</v>
      </c>
      <c r="N1710" s="1">
        <f t="shared" si="133"/>
        <v>45656</v>
      </c>
      <c r="O1710" s="3">
        <f>(Table13[[#This Row],[Units_Sold]]*Table13[[#This Row],[Unit_Price_Cleaned]]*(1-Table13[[#This Row],[Discount Cleaned]]))</f>
        <v>7812.3040000000001</v>
      </c>
      <c r="P1710" t="str">
        <f t="shared" si="134"/>
        <v>Profit</v>
      </c>
      <c r="Q1710" t="str" cm="1">
        <f t="array" ref="Q1710">IF(K1710="",INDEX($K$2:$K$2501,MATCH(MAX(COUNTIF($K$2:$K$2501,$K$2:$K$2501)),COUNTIF($K$2:$K$2501,$K$2:$K$2501),0)),K1710)</f>
        <v>B2B</v>
      </c>
    </row>
    <row r="1711" spans="1:17" x14ac:dyDescent="0.3">
      <c r="A1711">
        <v>2709</v>
      </c>
      <c r="B1711" t="s">
        <v>1743</v>
      </c>
      <c r="C1711" t="s">
        <v>20</v>
      </c>
      <c r="D1711" t="s">
        <v>80</v>
      </c>
      <c r="E1711">
        <v>2</v>
      </c>
      <c r="G1711">
        <v>0.3</v>
      </c>
      <c r="H1711" s="3">
        <f t="shared" si="130"/>
        <v>4967.1688000000004</v>
      </c>
      <c r="I1711" s="1">
        <v>45696</v>
      </c>
      <c r="J1711" t="s">
        <v>56</v>
      </c>
      <c r="L1711" s="2">
        <f t="shared" si="131"/>
        <v>2483.5844000000002</v>
      </c>
      <c r="M1711" s="4">
        <f t="shared" si="132"/>
        <v>0.3</v>
      </c>
      <c r="N1711" s="1">
        <f t="shared" si="133"/>
        <v>45696</v>
      </c>
      <c r="O1711" s="3">
        <f>(Table13[[#This Row],[Units_Sold]]*Table13[[#This Row],[Unit_Price_Cleaned]]*(1-Table13[[#This Row],[Discount Cleaned]]))</f>
        <v>3477.0181600000001</v>
      </c>
      <c r="P1711" t="str">
        <f t="shared" si="134"/>
        <v>Profit</v>
      </c>
      <c r="Q1711" t="str" cm="1">
        <f t="array" ref="Q1711">IF(K1711="",INDEX($K$2:$K$2501,MATCH(MAX(COUNTIF($K$2:$K$2501,$K$2:$K$2501)),COUNTIF($K$2:$K$2501,$K$2:$K$2501),0)),K1711)</f>
        <v>B2B</v>
      </c>
    </row>
    <row r="1712" spans="1:17" x14ac:dyDescent="0.3">
      <c r="A1712">
        <v>2710</v>
      </c>
      <c r="B1712" t="s">
        <v>1744</v>
      </c>
      <c r="C1712" t="s">
        <v>38</v>
      </c>
      <c r="D1712" t="s">
        <v>91</v>
      </c>
      <c r="E1712">
        <v>2</v>
      </c>
      <c r="F1712">
        <v>2565.5500000000002</v>
      </c>
      <c r="H1712" s="3">
        <f t="shared" si="130"/>
        <v>5131.1000000000004</v>
      </c>
      <c r="I1712" s="1">
        <v>45547</v>
      </c>
      <c r="J1712" t="s">
        <v>40</v>
      </c>
      <c r="L1712" s="2">
        <f t="shared" si="131"/>
        <v>2565.5500000000002</v>
      </c>
      <c r="M1712" s="4">
        <f t="shared" si="132"/>
        <v>0.6</v>
      </c>
      <c r="N1712" s="1">
        <f t="shared" si="133"/>
        <v>45547</v>
      </c>
      <c r="O1712" s="3">
        <f>(Table13[[#This Row],[Units_Sold]]*Table13[[#This Row],[Unit_Price_Cleaned]]*(1-Table13[[#This Row],[Discount Cleaned]]))</f>
        <v>2052.44</v>
      </c>
      <c r="P1712" t="str">
        <f t="shared" si="134"/>
        <v>Profit</v>
      </c>
      <c r="Q1712" t="str" cm="1">
        <f t="array" ref="Q1712">IF(K1712="",INDEX($K$2:$K$2501,MATCH(MAX(COUNTIF($K$2:$K$2501,$K$2:$K$2501)),COUNTIF($K$2:$K$2501,$K$2:$K$2501),0)),K1712)</f>
        <v>B2B</v>
      </c>
    </row>
    <row r="1713" spans="1:17" x14ac:dyDescent="0.3">
      <c r="A1713">
        <v>2711</v>
      </c>
      <c r="B1713" t="s">
        <v>1745</v>
      </c>
      <c r="C1713" t="s">
        <v>38</v>
      </c>
      <c r="D1713" t="s">
        <v>91</v>
      </c>
      <c r="E1713">
        <v>2</v>
      </c>
      <c r="H1713" s="3">
        <f t="shared" si="130"/>
        <v>5737.5536363636356</v>
      </c>
      <c r="I1713" s="1">
        <v>45321</v>
      </c>
      <c r="J1713" t="s">
        <v>46</v>
      </c>
      <c r="K1713" t="s">
        <v>23</v>
      </c>
      <c r="L1713" s="2">
        <f t="shared" si="131"/>
        <v>2868.7768181818178</v>
      </c>
      <c r="M1713" s="4">
        <f t="shared" si="132"/>
        <v>0.6</v>
      </c>
      <c r="N1713" s="1">
        <f t="shared" si="133"/>
        <v>45321</v>
      </c>
      <c r="O1713" s="3">
        <f>(Table13[[#This Row],[Units_Sold]]*Table13[[#This Row],[Unit_Price_Cleaned]]*(1-Table13[[#This Row],[Discount Cleaned]]))</f>
        <v>2295.0214545454542</v>
      </c>
      <c r="P1713" t="str">
        <f t="shared" si="134"/>
        <v>Profit</v>
      </c>
      <c r="Q1713" t="str" cm="1">
        <f t="array" ref="Q1713">IF(K1713="",INDEX($K$2:$K$2501,MATCH(MAX(COUNTIF($K$2:$K$2501,$K$2:$K$2501)),COUNTIF($K$2:$K$2501,$K$2:$K$2501),0)),K1713)</f>
        <v>B2B</v>
      </c>
    </row>
    <row r="1714" spans="1:17" x14ac:dyDescent="0.3">
      <c r="A1714">
        <v>2712</v>
      </c>
      <c r="B1714" t="s">
        <v>1746</v>
      </c>
      <c r="C1714" t="s">
        <v>20</v>
      </c>
      <c r="D1714" t="s">
        <v>122</v>
      </c>
      <c r="E1714">
        <v>2</v>
      </c>
      <c r="H1714" s="3">
        <f t="shared" si="130"/>
        <v>5400.2526086956505</v>
      </c>
      <c r="I1714" s="1">
        <v>45641</v>
      </c>
      <c r="J1714" t="s">
        <v>40</v>
      </c>
      <c r="K1714" t="s">
        <v>23</v>
      </c>
      <c r="L1714" s="2">
        <f t="shared" si="131"/>
        <v>2700.1263043478252</v>
      </c>
      <c r="M1714" s="4">
        <f t="shared" si="132"/>
        <v>0.6</v>
      </c>
      <c r="N1714" s="1">
        <f t="shared" si="133"/>
        <v>45641</v>
      </c>
      <c r="O1714" s="3">
        <f>(Table13[[#This Row],[Units_Sold]]*Table13[[#This Row],[Unit_Price_Cleaned]]*(1-Table13[[#This Row],[Discount Cleaned]]))</f>
        <v>2160.1010434782602</v>
      </c>
      <c r="P1714" t="str">
        <f t="shared" si="134"/>
        <v>Profit</v>
      </c>
      <c r="Q1714" t="str" cm="1">
        <f t="array" ref="Q1714">IF(K1714="",INDEX($K$2:$K$2501,MATCH(MAX(COUNTIF($K$2:$K$2501,$K$2:$K$2501)),COUNTIF($K$2:$K$2501,$K$2:$K$2501),0)),K1714)</f>
        <v>B2B</v>
      </c>
    </row>
    <row r="1715" spans="1:17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 s="3">
        <f t="shared" si="130"/>
        <v>0</v>
      </c>
      <c r="I1715" s="1">
        <v>45707</v>
      </c>
      <c r="J1715" t="s">
        <v>46</v>
      </c>
      <c r="K1715" t="s">
        <v>16</v>
      </c>
      <c r="L1715" s="2">
        <f t="shared" si="131"/>
        <v>1559.67</v>
      </c>
      <c r="M1715" s="4">
        <f t="shared" si="132"/>
        <v>0.6</v>
      </c>
      <c r="N1715" s="1">
        <f t="shared" si="133"/>
        <v>45707</v>
      </c>
      <c r="O1715" s="3">
        <f>(Table13[[#This Row],[Units_Sold]]*Table13[[#This Row],[Unit_Price_Cleaned]]*(1-Table13[[#This Row],[Discount Cleaned]]))</f>
        <v>0</v>
      </c>
      <c r="P1715" t="str">
        <f t="shared" si="134"/>
        <v>Loss</v>
      </c>
      <c r="Q1715" t="str" cm="1">
        <f t="array" ref="Q1715">IF(K1715="",INDEX($K$2:$K$2501,MATCH(MAX(COUNTIF($K$2:$K$2501,$K$2:$K$2501)),COUNTIF($K$2:$K$2501,$K$2:$K$2501),0)),K1715)</f>
        <v>B2C</v>
      </c>
    </row>
    <row r="1716" spans="1:17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 s="3">
        <f t="shared" si="130"/>
        <v>-2343.58</v>
      </c>
      <c r="J1716" t="s">
        <v>15</v>
      </c>
      <c r="K1716" t="s">
        <v>23</v>
      </c>
      <c r="L1716" s="2">
        <f t="shared" si="131"/>
        <v>1171.79</v>
      </c>
      <c r="M1716" s="4">
        <f t="shared" si="132"/>
        <v>0.6</v>
      </c>
      <c r="N1716" s="1">
        <f t="shared" si="133"/>
        <v>45782</v>
      </c>
      <c r="O1716" s="3">
        <f>(Table13[[#This Row],[Units_Sold]]*Table13[[#This Row],[Unit_Price_Cleaned]]*(1-Table13[[#This Row],[Discount Cleaned]]))</f>
        <v>-937.43200000000002</v>
      </c>
      <c r="P1716" t="str">
        <f t="shared" si="134"/>
        <v>Loss</v>
      </c>
      <c r="Q1716" t="str" cm="1">
        <f t="array" ref="Q1716">IF(K1716="",INDEX($K$2:$K$2501,MATCH(MAX(COUNTIF($K$2:$K$2501,$K$2:$K$2501)),COUNTIF($K$2:$K$2501,$K$2:$K$2501),0)),K1716)</f>
        <v>B2B</v>
      </c>
    </row>
    <row r="1717" spans="1:17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 s="3">
        <f t="shared" si="130"/>
        <v>10291.105600000003</v>
      </c>
      <c r="I1717" s="1">
        <v>45134</v>
      </c>
      <c r="J1717" t="s">
        <v>18</v>
      </c>
      <c r="K1717" t="s">
        <v>16</v>
      </c>
      <c r="L1717" s="2">
        <f t="shared" si="131"/>
        <v>2572.7764000000006</v>
      </c>
      <c r="M1717" s="4">
        <f t="shared" si="132"/>
        <v>0.6</v>
      </c>
      <c r="N1717" s="1">
        <f t="shared" si="133"/>
        <v>45134</v>
      </c>
      <c r="O1717" s="3">
        <f>(Table13[[#This Row],[Units_Sold]]*Table13[[#This Row],[Unit_Price_Cleaned]]*(1-Table13[[#This Row],[Discount Cleaned]]))</f>
        <v>4116.4422400000012</v>
      </c>
      <c r="P1717" t="str">
        <f t="shared" si="134"/>
        <v>Profit</v>
      </c>
      <c r="Q1717" t="str" cm="1">
        <f t="array" ref="Q1717">IF(K1717="",INDEX($K$2:$K$2501,MATCH(MAX(COUNTIF($K$2:$K$2501,$K$2:$K$2501)),COUNTIF($K$2:$K$2501,$K$2:$K$2501),0)),K1717)</f>
        <v>B2C</v>
      </c>
    </row>
    <row r="1718" spans="1:17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 s="3">
        <f t="shared" si="130"/>
        <v>2888.8714285714286</v>
      </c>
      <c r="J1718" t="s">
        <v>46</v>
      </c>
      <c r="K1718" t="s">
        <v>23</v>
      </c>
      <c r="L1718" s="2">
        <f t="shared" si="131"/>
        <v>2888.8714285714286</v>
      </c>
      <c r="M1718" s="4">
        <f t="shared" si="132"/>
        <v>0.49</v>
      </c>
      <c r="N1718" s="1">
        <f t="shared" si="133"/>
        <v>45782</v>
      </c>
      <c r="O1718" s="3">
        <f>(Table13[[#This Row],[Units_Sold]]*Table13[[#This Row],[Unit_Price_Cleaned]]*(1-Table13[[#This Row],[Discount Cleaned]]))</f>
        <v>1473.3244285714286</v>
      </c>
      <c r="P1718" t="str">
        <f t="shared" si="134"/>
        <v>Profit</v>
      </c>
      <c r="Q1718" t="str" cm="1">
        <f t="array" ref="Q1718">IF(K1718="",INDEX($K$2:$K$2501,MATCH(MAX(COUNTIF($K$2:$K$2501,$K$2:$K$2501)),COUNTIF($K$2:$K$2501,$K$2:$K$2501),0)),K1718)</f>
        <v>B2B</v>
      </c>
    </row>
    <row r="1719" spans="1:17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 s="3">
        <f t="shared" si="130"/>
        <v>5765.0093103448271</v>
      </c>
      <c r="I1719" s="1">
        <v>45660</v>
      </c>
      <c r="J1719" t="s">
        <v>46</v>
      </c>
      <c r="K1719" t="s">
        <v>16</v>
      </c>
      <c r="L1719" s="2">
        <f t="shared" si="131"/>
        <v>2882.5046551724135</v>
      </c>
      <c r="M1719" s="4">
        <f t="shared" si="132"/>
        <v>0.6</v>
      </c>
      <c r="N1719" s="1">
        <f t="shared" si="133"/>
        <v>45660</v>
      </c>
      <c r="O1719" s="3">
        <f>(Table13[[#This Row],[Units_Sold]]*Table13[[#This Row],[Unit_Price_Cleaned]]*(1-Table13[[#This Row],[Discount Cleaned]]))</f>
        <v>2306.0037241379309</v>
      </c>
      <c r="P1719" t="str">
        <f t="shared" si="134"/>
        <v>Profit</v>
      </c>
      <c r="Q1719" t="str" cm="1">
        <f t="array" ref="Q1719">IF(K1719="",INDEX($K$2:$K$2501,MATCH(MAX(COUNTIF($K$2:$K$2501,$K$2:$K$2501)),COUNTIF($K$2:$K$2501,$K$2:$K$2501),0)),K1719)</f>
        <v>B2C</v>
      </c>
    </row>
    <row r="1720" spans="1:17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 s="3">
        <f t="shared" si="130"/>
        <v>2727.93</v>
      </c>
      <c r="I1720" s="1">
        <v>45752</v>
      </c>
      <c r="J1720" t="s">
        <v>46</v>
      </c>
      <c r="L1720" s="2">
        <f t="shared" si="131"/>
        <v>909.31</v>
      </c>
      <c r="M1720" s="4">
        <f t="shared" si="132"/>
        <v>0.6</v>
      </c>
      <c r="N1720" s="1">
        <f t="shared" si="133"/>
        <v>45752</v>
      </c>
      <c r="O1720" s="3">
        <f>(Table13[[#This Row],[Units_Sold]]*Table13[[#This Row],[Unit_Price_Cleaned]]*(1-Table13[[#This Row],[Discount Cleaned]]))</f>
        <v>1091.172</v>
      </c>
      <c r="P1720" t="str">
        <f t="shared" si="134"/>
        <v>Profit</v>
      </c>
      <c r="Q1720" t="str" cm="1">
        <f t="array" ref="Q1720">IF(K1720="",INDEX($K$2:$K$2501,MATCH(MAX(COUNTIF($K$2:$K$2501,$K$2:$K$2501)),COUNTIF($K$2:$K$2501,$K$2:$K$2501),0)),K1720)</f>
        <v>B2B</v>
      </c>
    </row>
    <row r="1721" spans="1:17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 s="3">
        <f t="shared" si="130"/>
        <v>0</v>
      </c>
      <c r="I1721" s="1">
        <v>45741</v>
      </c>
      <c r="J1721" t="s">
        <v>40</v>
      </c>
      <c r="K1721" t="s">
        <v>23</v>
      </c>
      <c r="L1721" s="2">
        <f t="shared" si="131"/>
        <v>1602.49</v>
      </c>
      <c r="M1721" s="4">
        <f t="shared" si="132"/>
        <v>0.6</v>
      </c>
      <c r="N1721" s="1">
        <f t="shared" si="133"/>
        <v>45741</v>
      </c>
      <c r="O1721" s="3">
        <f>(Table13[[#This Row],[Units_Sold]]*Table13[[#This Row],[Unit_Price_Cleaned]]*(1-Table13[[#This Row],[Discount Cleaned]]))</f>
        <v>0</v>
      </c>
      <c r="P1721" t="str">
        <f t="shared" si="134"/>
        <v>Loss</v>
      </c>
      <c r="Q1721" t="str" cm="1">
        <f t="array" ref="Q1721">IF(K1721="",INDEX($K$2:$K$2501,MATCH(MAX(COUNTIF($K$2:$K$2501,$K$2:$K$2501)),COUNTIF($K$2:$K$2501,$K$2:$K$2501),0)),K1721)</f>
        <v>B2B</v>
      </c>
    </row>
    <row r="1722" spans="1:17" x14ac:dyDescent="0.3">
      <c r="A1722">
        <v>2720</v>
      </c>
      <c r="B1722" t="s">
        <v>1754</v>
      </c>
      <c r="C1722" t="s">
        <v>38</v>
      </c>
      <c r="D1722" t="s">
        <v>63</v>
      </c>
      <c r="E1722">
        <v>2</v>
      </c>
      <c r="F1722">
        <v>3476.53</v>
      </c>
      <c r="H1722" s="3">
        <f t="shared" si="130"/>
        <v>6953.06</v>
      </c>
      <c r="I1722" s="1">
        <v>45729</v>
      </c>
      <c r="J1722" t="s">
        <v>46</v>
      </c>
      <c r="L1722" s="2">
        <f t="shared" si="131"/>
        <v>3476.53</v>
      </c>
      <c r="M1722" s="4">
        <f t="shared" si="132"/>
        <v>0.6</v>
      </c>
      <c r="N1722" s="1">
        <f t="shared" si="133"/>
        <v>45729</v>
      </c>
      <c r="O1722" s="3">
        <f>(Table13[[#This Row],[Units_Sold]]*Table13[[#This Row],[Unit_Price_Cleaned]]*(1-Table13[[#This Row],[Discount Cleaned]]))</f>
        <v>2781.2240000000002</v>
      </c>
      <c r="P1722" t="str">
        <f t="shared" si="134"/>
        <v>Profit</v>
      </c>
      <c r="Q1722" t="str" cm="1">
        <f t="array" ref="Q1722">IF(K1722="",INDEX($K$2:$K$2501,MATCH(MAX(COUNTIF($K$2:$K$2501,$K$2:$K$2501)),COUNTIF($K$2:$K$2501,$K$2:$K$2501),0)),K1722)</f>
        <v>B2B</v>
      </c>
    </row>
    <row r="1723" spans="1:17" x14ac:dyDescent="0.3">
      <c r="A1723">
        <v>2721</v>
      </c>
      <c r="B1723" t="s">
        <v>1755</v>
      </c>
      <c r="C1723" t="s">
        <v>13</v>
      </c>
      <c r="D1723" t="s">
        <v>49</v>
      </c>
      <c r="E1723">
        <v>2</v>
      </c>
      <c r="F1723">
        <v>1109.5999999999999</v>
      </c>
      <c r="G1723">
        <v>0.04</v>
      </c>
      <c r="H1723" s="3">
        <f t="shared" si="130"/>
        <v>2219.1999999999998</v>
      </c>
      <c r="J1723" t="s">
        <v>56</v>
      </c>
      <c r="L1723" s="2">
        <f t="shared" si="131"/>
        <v>1109.5999999999999</v>
      </c>
      <c r="M1723" s="4">
        <f t="shared" si="132"/>
        <v>0.04</v>
      </c>
      <c r="N1723" s="1">
        <f t="shared" si="133"/>
        <v>45782</v>
      </c>
      <c r="O1723" s="3">
        <f>(Table13[[#This Row],[Units_Sold]]*Table13[[#This Row],[Unit_Price_Cleaned]]*(1-Table13[[#This Row],[Discount Cleaned]]))</f>
        <v>2130.4319999999998</v>
      </c>
      <c r="P1723" t="str">
        <f t="shared" si="134"/>
        <v>Profit</v>
      </c>
      <c r="Q1723" t="str" cm="1">
        <f t="array" ref="Q1723">IF(K1723="",INDEX($K$2:$K$2501,MATCH(MAX(COUNTIF($K$2:$K$2501,$K$2:$K$2501)),COUNTIF($K$2:$K$2501,$K$2:$K$2501),0)),K1723)</f>
        <v>B2B</v>
      </c>
    </row>
    <row r="1724" spans="1:17" x14ac:dyDescent="0.3">
      <c r="A1724">
        <v>2722</v>
      </c>
      <c r="B1724" t="s">
        <v>1756</v>
      </c>
      <c r="C1724" t="s">
        <v>13</v>
      </c>
      <c r="D1724" t="s">
        <v>102</v>
      </c>
      <c r="E1724">
        <v>2</v>
      </c>
      <c r="H1724" s="3">
        <f t="shared" si="130"/>
        <v>5152.6113793103432</v>
      </c>
      <c r="J1724" t="s">
        <v>40</v>
      </c>
      <c r="K1724" t="s">
        <v>16</v>
      </c>
      <c r="L1724" s="2">
        <f t="shared" si="131"/>
        <v>2576.3056896551716</v>
      </c>
      <c r="M1724" s="4">
        <f t="shared" si="132"/>
        <v>0.6</v>
      </c>
      <c r="N1724" s="1">
        <f t="shared" si="133"/>
        <v>45782</v>
      </c>
      <c r="O1724" s="3">
        <f>(Table13[[#This Row],[Units_Sold]]*Table13[[#This Row],[Unit_Price_Cleaned]]*(1-Table13[[#This Row],[Discount Cleaned]]))</f>
        <v>2061.0445517241374</v>
      </c>
      <c r="P1724" t="str">
        <f t="shared" si="134"/>
        <v>Profit</v>
      </c>
      <c r="Q1724" t="str" cm="1">
        <f t="array" ref="Q1724">IF(K1724="",INDEX($K$2:$K$2501,MATCH(MAX(COUNTIF($K$2:$K$2501,$K$2:$K$2501)),COUNTIF($K$2:$K$2501,$K$2:$K$2501),0)),K1724)</f>
        <v>B2C</v>
      </c>
    </row>
    <row r="1725" spans="1:17" x14ac:dyDescent="0.3">
      <c r="A1725">
        <v>2723</v>
      </c>
      <c r="B1725" t="s">
        <v>1757</v>
      </c>
      <c r="C1725" t="s">
        <v>33</v>
      </c>
      <c r="D1725" t="s">
        <v>72</v>
      </c>
      <c r="E1725">
        <v>2</v>
      </c>
      <c r="H1725" s="3">
        <f t="shared" si="130"/>
        <v>5431.091698113205</v>
      </c>
      <c r="I1725" s="1">
        <v>45709</v>
      </c>
      <c r="J1725" t="s">
        <v>46</v>
      </c>
      <c r="L1725" s="2">
        <f t="shared" si="131"/>
        <v>2715.5458490566025</v>
      </c>
      <c r="M1725" s="4">
        <f t="shared" si="132"/>
        <v>0.6</v>
      </c>
      <c r="N1725" s="1">
        <f t="shared" si="133"/>
        <v>45709</v>
      </c>
      <c r="O1725" s="3">
        <f>(Table13[[#This Row],[Units_Sold]]*Table13[[#This Row],[Unit_Price_Cleaned]]*(1-Table13[[#This Row],[Discount Cleaned]]))</f>
        <v>2172.436679245282</v>
      </c>
      <c r="P1725" t="str">
        <f t="shared" si="134"/>
        <v>Profit</v>
      </c>
      <c r="Q1725" t="str" cm="1">
        <f t="array" ref="Q1725">IF(K1725="",INDEX($K$2:$K$2501,MATCH(MAX(COUNTIF($K$2:$K$2501,$K$2:$K$2501)),COUNTIF($K$2:$K$2501,$K$2:$K$2501),0)),K1725)</f>
        <v>B2B</v>
      </c>
    </row>
    <row r="1726" spans="1:17" x14ac:dyDescent="0.3">
      <c r="A1726">
        <v>2724</v>
      </c>
      <c r="B1726" t="s">
        <v>1758</v>
      </c>
      <c r="C1726" t="s">
        <v>13</v>
      </c>
      <c r="D1726" t="s">
        <v>14</v>
      </c>
      <c r="E1726">
        <v>2</v>
      </c>
      <c r="F1726">
        <v>716.3</v>
      </c>
      <c r="H1726" s="3">
        <f t="shared" si="130"/>
        <v>1432.6</v>
      </c>
      <c r="I1726" s="1">
        <v>45726</v>
      </c>
      <c r="J1726" t="s">
        <v>15</v>
      </c>
      <c r="K1726" t="s">
        <v>16</v>
      </c>
      <c r="L1726" s="2">
        <f t="shared" si="131"/>
        <v>716.3</v>
      </c>
      <c r="M1726" s="4">
        <f t="shared" si="132"/>
        <v>0.6</v>
      </c>
      <c r="N1726" s="1">
        <f t="shared" si="133"/>
        <v>45726</v>
      </c>
      <c r="O1726" s="3">
        <f>(Table13[[#This Row],[Units_Sold]]*Table13[[#This Row],[Unit_Price_Cleaned]]*(1-Table13[[#This Row],[Discount Cleaned]]))</f>
        <v>573.04</v>
      </c>
      <c r="P1726" t="str">
        <f t="shared" si="134"/>
        <v>Profit</v>
      </c>
      <c r="Q1726" t="str" cm="1">
        <f t="array" ref="Q1726">IF(K1726="",INDEX($K$2:$K$2501,MATCH(MAX(COUNTIF($K$2:$K$2501,$K$2:$K$2501)),COUNTIF($K$2:$K$2501,$K$2:$K$2501),0)),K1726)</f>
        <v>B2C</v>
      </c>
    </row>
    <row r="1727" spans="1:17" x14ac:dyDescent="0.3">
      <c r="A1727">
        <v>2725</v>
      </c>
      <c r="B1727" t="s">
        <v>1759</v>
      </c>
      <c r="C1727" t="s">
        <v>20</v>
      </c>
      <c r="D1727" t="s">
        <v>122</v>
      </c>
      <c r="E1727">
        <v>2</v>
      </c>
      <c r="H1727" s="3">
        <f t="shared" si="130"/>
        <v>5400.2526086956505</v>
      </c>
      <c r="I1727" s="1">
        <v>45701</v>
      </c>
      <c r="J1727" t="s">
        <v>56</v>
      </c>
      <c r="L1727" s="2">
        <f t="shared" si="131"/>
        <v>2700.1263043478252</v>
      </c>
      <c r="M1727" s="4">
        <f t="shared" si="132"/>
        <v>0.6</v>
      </c>
      <c r="N1727" s="1">
        <f t="shared" si="133"/>
        <v>45701</v>
      </c>
      <c r="O1727" s="3">
        <f>(Table13[[#This Row],[Units_Sold]]*Table13[[#This Row],[Unit_Price_Cleaned]]*(1-Table13[[#This Row],[Discount Cleaned]]))</f>
        <v>2160.1010434782602</v>
      </c>
      <c r="P1727" t="str">
        <f t="shared" si="134"/>
        <v>Profit</v>
      </c>
      <c r="Q1727" t="str" cm="1">
        <f t="array" ref="Q1727">IF(K1727="",INDEX($K$2:$K$2501,MATCH(MAX(COUNTIF($K$2:$K$2501,$K$2:$K$2501)),COUNTIF($K$2:$K$2501,$K$2:$K$2501),0)),K1727)</f>
        <v>B2B</v>
      </c>
    </row>
    <row r="1728" spans="1:17" x14ac:dyDescent="0.3">
      <c r="A1728">
        <v>2726</v>
      </c>
      <c r="B1728" t="s">
        <v>1760</v>
      </c>
      <c r="C1728" t="s">
        <v>38</v>
      </c>
      <c r="D1728" t="s">
        <v>59</v>
      </c>
      <c r="E1728">
        <v>2</v>
      </c>
      <c r="G1728">
        <v>0.17</v>
      </c>
      <c r="H1728" s="3">
        <f t="shared" si="130"/>
        <v>5608.5303846153838</v>
      </c>
      <c r="J1728" t="s">
        <v>22</v>
      </c>
      <c r="L1728" s="2">
        <f t="shared" si="131"/>
        <v>2804.2651923076919</v>
      </c>
      <c r="M1728" s="4">
        <f t="shared" si="132"/>
        <v>0.17</v>
      </c>
      <c r="N1728" s="1">
        <f t="shared" si="133"/>
        <v>45782</v>
      </c>
      <c r="O1728" s="3">
        <f>(Table13[[#This Row],[Units_Sold]]*Table13[[#This Row],[Unit_Price_Cleaned]]*(1-Table13[[#This Row],[Discount Cleaned]]))</f>
        <v>4655.0802192307683</v>
      </c>
      <c r="P1728" t="str">
        <f t="shared" si="134"/>
        <v>Profit</v>
      </c>
      <c r="Q1728" t="str" cm="1">
        <f t="array" ref="Q1728">IF(K1728="",INDEX($K$2:$K$2501,MATCH(MAX(COUNTIF($K$2:$K$2501,$K$2:$K$2501)),COUNTIF($K$2:$K$2501,$K$2:$K$2501),0)),K1728)</f>
        <v>B2B</v>
      </c>
    </row>
    <row r="1729" spans="1:17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 s="3">
        <f t="shared" si="130"/>
        <v>5119.3334615384629</v>
      </c>
      <c r="I1729" s="1">
        <v>45161</v>
      </c>
      <c r="J1729" t="s">
        <v>18</v>
      </c>
      <c r="L1729" s="2">
        <f t="shared" si="131"/>
        <v>2559.6667307692314</v>
      </c>
      <c r="M1729" s="4">
        <f t="shared" si="132"/>
        <v>0.6</v>
      </c>
      <c r="N1729" s="1">
        <f t="shared" si="133"/>
        <v>45161</v>
      </c>
      <c r="O1729" s="3">
        <f>(Table13[[#This Row],[Units_Sold]]*Table13[[#This Row],[Unit_Price_Cleaned]]*(1-Table13[[#This Row],[Discount Cleaned]]))</f>
        <v>2047.7333846153851</v>
      </c>
      <c r="P1729" t="str">
        <f t="shared" si="134"/>
        <v>Profit</v>
      </c>
      <c r="Q1729" t="str" cm="1">
        <f t="array" ref="Q1729">IF(K1729="",INDEX($K$2:$K$2501,MATCH(MAX(COUNTIF($K$2:$K$2501,$K$2:$K$2501)),COUNTIF($K$2:$K$2501,$K$2:$K$2501),0)),K1729)</f>
        <v>B2B</v>
      </c>
    </row>
    <row r="1730" spans="1:17" x14ac:dyDescent="0.3">
      <c r="A1730">
        <v>2728</v>
      </c>
      <c r="B1730" t="s">
        <v>1762</v>
      </c>
      <c r="C1730" t="s">
        <v>33</v>
      </c>
      <c r="D1730" t="s">
        <v>34</v>
      </c>
      <c r="E1730">
        <v>2</v>
      </c>
      <c r="F1730">
        <v>1935.05</v>
      </c>
      <c r="H1730" s="3">
        <f t="shared" ref="H1730:H1793" si="135">(L1730*E1730)</f>
        <v>3870.1</v>
      </c>
      <c r="I1730" s="1">
        <v>45625</v>
      </c>
      <c r="J1730" t="s">
        <v>40</v>
      </c>
      <c r="L1730" s="2">
        <f t="shared" ref="L1730:L1793" si="136">IF(F1730="",AVERAGEIF($D$2:$D$2501,D1730,$F$2:$F$2501),F1730)</f>
        <v>1935.05</v>
      </c>
      <c r="M1730" s="4">
        <f t="shared" ref="M1730:M1793" si="137">IF(G1730="",MEDIAN($G$2,$G$2501),G1730)</f>
        <v>0.6</v>
      </c>
      <c r="N1730" s="1">
        <f t="shared" ref="N1730:N1793" si="138">IF(I1730="",MODE($I$32:$I$2501),I1730)</f>
        <v>45625</v>
      </c>
      <c r="O1730" s="3">
        <f>(Table13[[#This Row],[Units_Sold]]*Table13[[#This Row],[Unit_Price_Cleaned]]*(1-Table13[[#This Row],[Discount Cleaned]]))</f>
        <v>1548.04</v>
      </c>
      <c r="P1730" t="str">
        <f t="shared" ref="P1730:P1793" si="139">IF(O1730&gt;500,"Profit","Loss")</f>
        <v>Profit</v>
      </c>
      <c r="Q1730" t="str" cm="1">
        <f t="array" ref="Q1730">IF(K1730="",INDEX($K$2:$K$2501,MATCH(MAX(COUNTIF($K$2:$K$2501,$K$2:$K$2501)),COUNTIF($K$2:$K$2501,$K$2:$K$2501),0)),K1730)</f>
        <v>B2B</v>
      </c>
    </row>
    <row r="1731" spans="1:17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 s="3">
        <f t="shared" si="135"/>
        <v>14343.884090909089</v>
      </c>
      <c r="J1731" t="s">
        <v>18</v>
      </c>
      <c r="L1731" s="2">
        <f t="shared" si="136"/>
        <v>2868.7768181818178</v>
      </c>
      <c r="M1731" s="4">
        <f t="shared" si="137"/>
        <v>1.22</v>
      </c>
      <c r="N1731" s="1">
        <f t="shared" si="138"/>
        <v>45782</v>
      </c>
      <c r="O1731" s="3">
        <f>(Table13[[#This Row],[Units_Sold]]*Table13[[#This Row],[Unit_Price_Cleaned]]*(1-Table13[[#This Row],[Discount Cleaned]]))</f>
        <v>-3155.6544999999992</v>
      </c>
      <c r="P1731" t="str">
        <f t="shared" si="139"/>
        <v>Loss</v>
      </c>
      <c r="Q1731" t="str" cm="1">
        <f t="array" ref="Q1731">IF(K1731="",INDEX($K$2:$K$2501,MATCH(MAX(COUNTIF($K$2:$K$2501,$K$2:$K$2501)),COUNTIF($K$2:$K$2501,$K$2:$K$2501),0)),K1731)</f>
        <v>B2B</v>
      </c>
    </row>
    <row r="1732" spans="1:17" x14ac:dyDescent="0.3">
      <c r="A1732">
        <v>2730</v>
      </c>
      <c r="B1732" t="s">
        <v>1764</v>
      </c>
      <c r="C1732" t="s">
        <v>33</v>
      </c>
      <c r="D1732" t="s">
        <v>72</v>
      </c>
      <c r="E1732">
        <v>2</v>
      </c>
      <c r="H1732" s="3">
        <f t="shared" si="135"/>
        <v>5431.091698113205</v>
      </c>
      <c r="I1732" s="1">
        <v>45350</v>
      </c>
      <c r="J1732" t="s">
        <v>15</v>
      </c>
      <c r="L1732" s="2">
        <f t="shared" si="136"/>
        <v>2715.5458490566025</v>
      </c>
      <c r="M1732" s="4">
        <f t="shared" si="137"/>
        <v>0.6</v>
      </c>
      <c r="N1732" s="1">
        <f t="shared" si="138"/>
        <v>45350</v>
      </c>
      <c r="O1732" s="3">
        <f>(Table13[[#This Row],[Units_Sold]]*Table13[[#This Row],[Unit_Price_Cleaned]]*(1-Table13[[#This Row],[Discount Cleaned]]))</f>
        <v>2172.436679245282</v>
      </c>
      <c r="P1732" t="str">
        <f t="shared" si="139"/>
        <v>Profit</v>
      </c>
      <c r="Q1732" t="str" cm="1">
        <f t="array" ref="Q1732">IF(K1732="",INDEX($K$2:$K$2501,MATCH(MAX(COUNTIF($K$2:$K$2501,$K$2:$K$2501)),COUNTIF($K$2:$K$2501,$K$2:$K$2501),0)),K1732)</f>
        <v>B2B</v>
      </c>
    </row>
    <row r="1733" spans="1:17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 s="3">
        <f t="shared" si="135"/>
        <v>-1635.12</v>
      </c>
      <c r="I1733" s="1">
        <v>45854</v>
      </c>
      <c r="J1733" t="s">
        <v>22</v>
      </c>
      <c r="K1733" t="s">
        <v>23</v>
      </c>
      <c r="L1733" s="2">
        <f t="shared" si="136"/>
        <v>1635.12</v>
      </c>
      <c r="M1733" s="4">
        <f t="shared" si="137"/>
        <v>0.6</v>
      </c>
      <c r="N1733" s="1">
        <f t="shared" si="138"/>
        <v>45854</v>
      </c>
      <c r="O1733" s="3">
        <f>(Table13[[#This Row],[Units_Sold]]*Table13[[#This Row],[Unit_Price_Cleaned]]*(1-Table13[[#This Row],[Discount Cleaned]]))</f>
        <v>-654.048</v>
      </c>
      <c r="P1733" t="str">
        <f t="shared" si="139"/>
        <v>Loss</v>
      </c>
      <c r="Q1733" t="str" cm="1">
        <f t="array" ref="Q1733">IF(K1733="",INDEX($K$2:$K$2501,MATCH(MAX(COUNTIF($K$2:$K$2501,$K$2:$K$2501)),COUNTIF($K$2:$K$2501,$K$2:$K$2501),0)),K1733)</f>
        <v>B2B</v>
      </c>
    </row>
    <row r="1734" spans="1:17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 s="3">
        <f t="shared" si="135"/>
        <v>15009.186</v>
      </c>
      <c r="J1734" t="s">
        <v>56</v>
      </c>
      <c r="K1734" t="s">
        <v>16</v>
      </c>
      <c r="L1734" s="2">
        <f t="shared" si="136"/>
        <v>2501.5309999999999</v>
      </c>
      <c r="M1734" s="4">
        <f t="shared" si="137"/>
        <v>0.55000000000000004</v>
      </c>
      <c r="N1734" s="1">
        <f t="shared" si="138"/>
        <v>45782</v>
      </c>
      <c r="O1734" s="3">
        <f>(Table13[[#This Row],[Units_Sold]]*Table13[[#This Row],[Unit_Price_Cleaned]]*(1-Table13[[#This Row],[Discount Cleaned]]))</f>
        <v>6754.1336999999994</v>
      </c>
      <c r="P1734" t="str">
        <f t="shared" si="139"/>
        <v>Profit</v>
      </c>
      <c r="Q1734" t="str" cm="1">
        <f t="array" ref="Q1734">IF(K1734="",INDEX($K$2:$K$2501,MATCH(MAX(COUNTIF($K$2:$K$2501,$K$2:$K$2501)),COUNTIF($K$2:$K$2501,$K$2:$K$2501),0)),K1734)</f>
        <v>B2C</v>
      </c>
    </row>
    <row r="1735" spans="1:17" x14ac:dyDescent="0.3">
      <c r="A1735">
        <v>2733</v>
      </c>
      <c r="B1735" t="s">
        <v>1767</v>
      </c>
      <c r="C1735" t="s">
        <v>13</v>
      </c>
      <c r="D1735" t="s">
        <v>36</v>
      </c>
      <c r="E1735">
        <v>2</v>
      </c>
      <c r="H1735" s="3">
        <f t="shared" si="135"/>
        <v>5765.0093103448271</v>
      </c>
      <c r="I1735" s="1">
        <v>45562</v>
      </c>
      <c r="J1735" t="s">
        <v>22</v>
      </c>
      <c r="K1735" t="s">
        <v>23</v>
      </c>
      <c r="L1735" s="2">
        <f t="shared" si="136"/>
        <v>2882.5046551724135</v>
      </c>
      <c r="M1735" s="4">
        <f t="shared" si="137"/>
        <v>0.6</v>
      </c>
      <c r="N1735" s="1">
        <f t="shared" si="138"/>
        <v>45562</v>
      </c>
      <c r="O1735" s="3">
        <f>(Table13[[#This Row],[Units_Sold]]*Table13[[#This Row],[Unit_Price_Cleaned]]*(1-Table13[[#This Row],[Discount Cleaned]]))</f>
        <v>2306.0037241379309</v>
      </c>
      <c r="P1735" t="str">
        <f t="shared" si="139"/>
        <v>Profit</v>
      </c>
      <c r="Q1735" t="str" cm="1">
        <f t="array" ref="Q1735">IF(K1735="",INDEX($K$2:$K$2501,MATCH(MAX(COUNTIF($K$2:$K$2501,$K$2:$K$2501)),COUNTIF($K$2:$K$2501,$K$2:$K$2501),0)),K1735)</f>
        <v>B2B</v>
      </c>
    </row>
    <row r="1736" spans="1:17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 s="3">
        <f t="shared" si="135"/>
        <v>13046.04</v>
      </c>
      <c r="J1736" t="s">
        <v>56</v>
      </c>
      <c r="L1736" s="2">
        <f t="shared" si="136"/>
        <v>3261.51</v>
      </c>
      <c r="M1736" s="4">
        <f t="shared" si="137"/>
        <v>0.82</v>
      </c>
      <c r="N1736" s="1">
        <f t="shared" si="138"/>
        <v>45782</v>
      </c>
      <c r="O1736" s="3">
        <f>(Table13[[#This Row],[Units_Sold]]*Table13[[#This Row],[Unit_Price_Cleaned]]*(1-Table13[[#This Row],[Discount Cleaned]]))</f>
        <v>2348.2872000000007</v>
      </c>
      <c r="P1736" t="str">
        <f t="shared" si="139"/>
        <v>Profit</v>
      </c>
      <c r="Q1736" t="str" cm="1">
        <f t="array" ref="Q1736">IF(K1736="",INDEX($K$2:$K$2501,MATCH(MAX(COUNTIF($K$2:$K$2501,$K$2:$K$2501)),COUNTIF($K$2:$K$2501,$K$2:$K$2501),0)),K1736)</f>
        <v>B2B</v>
      </c>
    </row>
    <row r="1737" spans="1:17" x14ac:dyDescent="0.3">
      <c r="A1737">
        <v>2735</v>
      </c>
      <c r="B1737" t="s">
        <v>1769</v>
      </c>
      <c r="C1737" t="s">
        <v>29</v>
      </c>
      <c r="D1737" t="s">
        <v>42</v>
      </c>
      <c r="E1737">
        <v>2</v>
      </c>
      <c r="F1737">
        <v>541.71</v>
      </c>
      <c r="H1737" s="3">
        <f t="shared" si="135"/>
        <v>1083.42</v>
      </c>
      <c r="I1737" s="1">
        <v>45576</v>
      </c>
      <c r="J1737" t="s">
        <v>40</v>
      </c>
      <c r="K1737" t="s">
        <v>23</v>
      </c>
      <c r="L1737" s="2">
        <f t="shared" si="136"/>
        <v>541.71</v>
      </c>
      <c r="M1737" s="4">
        <f t="shared" si="137"/>
        <v>0.6</v>
      </c>
      <c r="N1737" s="1">
        <f t="shared" si="138"/>
        <v>45576</v>
      </c>
      <c r="O1737" s="3">
        <f>(Table13[[#This Row],[Units_Sold]]*Table13[[#This Row],[Unit_Price_Cleaned]]*(1-Table13[[#This Row],[Discount Cleaned]]))</f>
        <v>433.36800000000005</v>
      </c>
      <c r="P1737" t="str">
        <f t="shared" si="139"/>
        <v>Loss</v>
      </c>
      <c r="Q1737" t="str" cm="1">
        <f t="array" ref="Q1737">IF(K1737="",INDEX($K$2:$K$2501,MATCH(MAX(COUNTIF($K$2:$K$2501,$K$2:$K$2501)),COUNTIF($K$2:$K$2501,$K$2:$K$2501),0)),K1737)</f>
        <v>B2B</v>
      </c>
    </row>
    <row r="1738" spans="1:17" x14ac:dyDescent="0.3">
      <c r="A1738">
        <v>2736</v>
      </c>
      <c r="B1738" t="s">
        <v>1770</v>
      </c>
      <c r="C1738" t="s">
        <v>13</v>
      </c>
      <c r="D1738" t="s">
        <v>14</v>
      </c>
      <c r="E1738">
        <v>2</v>
      </c>
      <c r="H1738" s="3">
        <f t="shared" si="135"/>
        <v>4762.5355172413792</v>
      </c>
      <c r="I1738" s="1">
        <v>45827</v>
      </c>
      <c r="J1738" t="s">
        <v>15</v>
      </c>
      <c r="L1738" s="2">
        <f t="shared" si="136"/>
        <v>2381.2677586206896</v>
      </c>
      <c r="M1738" s="4">
        <f t="shared" si="137"/>
        <v>0.6</v>
      </c>
      <c r="N1738" s="1">
        <f t="shared" si="138"/>
        <v>45827</v>
      </c>
      <c r="O1738" s="3">
        <f>(Table13[[#This Row],[Units_Sold]]*Table13[[#This Row],[Unit_Price_Cleaned]]*(1-Table13[[#This Row],[Discount Cleaned]]))</f>
        <v>1905.0142068965517</v>
      </c>
      <c r="P1738" t="str">
        <f t="shared" si="139"/>
        <v>Profit</v>
      </c>
      <c r="Q1738" t="str" cm="1">
        <f t="array" ref="Q1738">IF(K1738="",INDEX($K$2:$K$2501,MATCH(MAX(COUNTIF($K$2:$K$2501,$K$2:$K$2501)),COUNTIF($K$2:$K$2501,$K$2:$K$2501),0)),K1738)</f>
        <v>B2B</v>
      </c>
    </row>
    <row r="1739" spans="1:17" x14ac:dyDescent="0.3">
      <c r="A1739">
        <v>2737</v>
      </c>
      <c r="B1739" t="s">
        <v>1771</v>
      </c>
      <c r="C1739" t="s">
        <v>29</v>
      </c>
      <c r="D1739" t="s">
        <v>120</v>
      </c>
      <c r="E1739">
        <v>2</v>
      </c>
      <c r="F1739">
        <v>1927.98</v>
      </c>
      <c r="H1739" s="3">
        <f t="shared" si="135"/>
        <v>3855.96</v>
      </c>
      <c r="I1739" s="1">
        <v>45791</v>
      </c>
      <c r="J1739" t="s">
        <v>46</v>
      </c>
      <c r="L1739" s="2">
        <f t="shared" si="136"/>
        <v>1927.98</v>
      </c>
      <c r="M1739" s="4">
        <f t="shared" si="137"/>
        <v>0.6</v>
      </c>
      <c r="N1739" s="1">
        <f t="shared" si="138"/>
        <v>45791</v>
      </c>
      <c r="O1739" s="3">
        <f>(Table13[[#This Row],[Units_Sold]]*Table13[[#This Row],[Unit_Price_Cleaned]]*(1-Table13[[#This Row],[Discount Cleaned]]))</f>
        <v>1542.384</v>
      </c>
      <c r="P1739" t="str">
        <f t="shared" si="139"/>
        <v>Profit</v>
      </c>
      <c r="Q1739" t="str" cm="1">
        <f t="array" ref="Q1739">IF(K1739="",INDEX($K$2:$K$2501,MATCH(MAX(COUNTIF($K$2:$K$2501,$K$2:$K$2501)),COUNTIF($K$2:$K$2501,$K$2:$K$2501),0)),K1739)</f>
        <v>B2B</v>
      </c>
    </row>
    <row r="1740" spans="1:17" x14ac:dyDescent="0.3">
      <c r="A1740">
        <v>2738</v>
      </c>
      <c r="B1740" t="s">
        <v>1772</v>
      </c>
      <c r="C1740" t="s">
        <v>38</v>
      </c>
      <c r="D1740" t="s">
        <v>63</v>
      </c>
      <c r="E1740">
        <v>2</v>
      </c>
      <c r="G1740">
        <v>0.55000000000000004</v>
      </c>
      <c r="H1740" s="3">
        <f t="shared" si="135"/>
        <v>5690.4839344262318</v>
      </c>
      <c r="I1740" s="1">
        <v>45655</v>
      </c>
      <c r="J1740" t="s">
        <v>22</v>
      </c>
      <c r="K1740" t="s">
        <v>23</v>
      </c>
      <c r="L1740" s="2">
        <f t="shared" si="136"/>
        <v>2845.2419672131159</v>
      </c>
      <c r="M1740" s="4">
        <f t="shared" si="137"/>
        <v>0.55000000000000004</v>
      </c>
      <c r="N1740" s="1">
        <f t="shared" si="138"/>
        <v>45655</v>
      </c>
      <c r="O1740" s="3">
        <f>(Table13[[#This Row],[Units_Sold]]*Table13[[#This Row],[Unit_Price_Cleaned]]*(1-Table13[[#This Row],[Discount Cleaned]]))</f>
        <v>2560.717770491804</v>
      </c>
      <c r="P1740" t="str">
        <f t="shared" si="139"/>
        <v>Profit</v>
      </c>
      <c r="Q1740" t="str" cm="1">
        <f t="array" ref="Q1740">IF(K1740="",INDEX($K$2:$K$2501,MATCH(MAX(COUNTIF($K$2:$K$2501,$K$2:$K$2501)),COUNTIF($K$2:$K$2501,$K$2:$K$2501),0)),K1740)</f>
        <v>B2B</v>
      </c>
    </row>
    <row r="1741" spans="1:17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 s="3">
        <f t="shared" si="135"/>
        <v>17267.400000000001</v>
      </c>
      <c r="I1741" s="1">
        <v>45268</v>
      </c>
      <c r="J1741" t="s">
        <v>18</v>
      </c>
      <c r="L1741" s="2">
        <f t="shared" si="136"/>
        <v>4316.8500000000004</v>
      </c>
      <c r="M1741" s="4">
        <f t="shared" si="137"/>
        <v>0.6</v>
      </c>
      <c r="N1741" s="1">
        <f t="shared" si="138"/>
        <v>45268</v>
      </c>
      <c r="O1741" s="3">
        <f>(Table13[[#This Row],[Units_Sold]]*Table13[[#This Row],[Unit_Price_Cleaned]]*(1-Table13[[#This Row],[Discount Cleaned]]))</f>
        <v>6906.9600000000009</v>
      </c>
      <c r="P1741" t="str">
        <f t="shared" si="139"/>
        <v>Profit</v>
      </c>
      <c r="Q1741" t="str" cm="1">
        <f t="array" ref="Q1741">IF(K1741="",INDEX($K$2:$K$2501,MATCH(MAX(COUNTIF($K$2:$K$2501,$K$2:$K$2501)),COUNTIF($K$2:$K$2501,$K$2:$K$2501),0)),K1741)</f>
        <v>B2B</v>
      </c>
    </row>
    <row r="1742" spans="1:17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 s="3">
        <f t="shared" si="135"/>
        <v>2882.5046551724135</v>
      </c>
      <c r="J1742" t="s">
        <v>22</v>
      </c>
      <c r="K1742" t="s">
        <v>23</v>
      </c>
      <c r="L1742" s="2">
        <f t="shared" si="136"/>
        <v>2882.5046551724135</v>
      </c>
      <c r="M1742" s="4">
        <f t="shared" si="137"/>
        <v>0.6</v>
      </c>
      <c r="N1742" s="1">
        <f t="shared" si="138"/>
        <v>45782</v>
      </c>
      <c r="O1742" s="3">
        <f>(Table13[[#This Row],[Units_Sold]]*Table13[[#This Row],[Unit_Price_Cleaned]]*(1-Table13[[#This Row],[Discount Cleaned]]))</f>
        <v>1153.0018620689655</v>
      </c>
      <c r="P1742" t="str">
        <f t="shared" si="139"/>
        <v>Profit</v>
      </c>
      <c r="Q1742" t="str" cm="1">
        <f t="array" ref="Q1742">IF(K1742="",INDEX($K$2:$K$2501,MATCH(MAX(COUNTIF($K$2:$K$2501,$K$2:$K$2501)),COUNTIF($K$2:$K$2501,$K$2:$K$2501),0)),K1742)</f>
        <v>B2B</v>
      </c>
    </row>
    <row r="1743" spans="1:17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 s="3">
        <f t="shared" si="135"/>
        <v>2483.5844000000002</v>
      </c>
      <c r="I1743" s="1">
        <v>45563</v>
      </c>
      <c r="J1743" t="s">
        <v>22</v>
      </c>
      <c r="K1743" t="s">
        <v>16</v>
      </c>
      <c r="L1743" s="2">
        <f t="shared" si="136"/>
        <v>2483.5844000000002</v>
      </c>
      <c r="M1743" s="4">
        <f t="shared" si="137"/>
        <v>0.53</v>
      </c>
      <c r="N1743" s="1">
        <f t="shared" si="138"/>
        <v>45563</v>
      </c>
      <c r="O1743" s="3">
        <f>(Table13[[#This Row],[Units_Sold]]*Table13[[#This Row],[Unit_Price_Cleaned]]*(1-Table13[[#This Row],[Discount Cleaned]]))</f>
        <v>1167.284668</v>
      </c>
      <c r="P1743" t="str">
        <f t="shared" si="139"/>
        <v>Profit</v>
      </c>
      <c r="Q1743" t="str" cm="1">
        <f t="array" ref="Q1743">IF(K1743="",INDEX($K$2:$K$2501,MATCH(MAX(COUNTIF($K$2:$K$2501,$K$2:$K$2501)),COUNTIF($K$2:$K$2501,$K$2:$K$2501),0)),K1743)</f>
        <v>B2C</v>
      </c>
    </row>
    <row r="1744" spans="1:17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 s="3">
        <f t="shared" si="135"/>
        <v>-5235.2780769230776</v>
      </c>
      <c r="I1744" s="1">
        <v>45853</v>
      </c>
      <c r="J1744" t="s">
        <v>40</v>
      </c>
      <c r="K1744" t="s">
        <v>16</v>
      </c>
      <c r="L1744" s="2">
        <f t="shared" si="136"/>
        <v>2617.6390384615388</v>
      </c>
      <c r="M1744" s="4">
        <f t="shared" si="137"/>
        <v>0.6</v>
      </c>
      <c r="N1744" s="1">
        <f t="shared" si="138"/>
        <v>45853</v>
      </c>
      <c r="O1744" s="3">
        <f>(Table13[[#This Row],[Units_Sold]]*Table13[[#This Row],[Unit_Price_Cleaned]]*(1-Table13[[#This Row],[Discount Cleaned]]))</f>
        <v>-2094.111230769231</v>
      </c>
      <c r="P1744" t="str">
        <f t="shared" si="139"/>
        <v>Loss</v>
      </c>
      <c r="Q1744" t="str" cm="1">
        <f t="array" ref="Q1744">IF(K1744="",INDEX($K$2:$K$2501,MATCH(MAX(COUNTIF($K$2:$K$2501,$K$2:$K$2501)),COUNTIF($K$2:$K$2501,$K$2:$K$2501),0)),K1744)</f>
        <v>B2C</v>
      </c>
    </row>
    <row r="1745" spans="1:17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 s="3">
        <f t="shared" si="135"/>
        <v>-4146.91</v>
      </c>
      <c r="I1745" s="1">
        <v>45791</v>
      </c>
      <c r="J1745" t="s">
        <v>15</v>
      </c>
      <c r="K1745" t="s">
        <v>23</v>
      </c>
      <c r="L1745" s="2">
        <f t="shared" si="136"/>
        <v>4146.91</v>
      </c>
      <c r="M1745" s="4">
        <f t="shared" si="137"/>
        <v>1.03</v>
      </c>
      <c r="N1745" s="1">
        <f t="shared" si="138"/>
        <v>45791</v>
      </c>
      <c r="O1745" s="3">
        <f>(Table13[[#This Row],[Units_Sold]]*Table13[[#This Row],[Unit_Price_Cleaned]]*(1-Table13[[#This Row],[Discount Cleaned]]))</f>
        <v>124.40730000000011</v>
      </c>
      <c r="P1745" t="str">
        <f t="shared" si="139"/>
        <v>Loss</v>
      </c>
      <c r="Q1745" t="str" cm="1">
        <f t="array" ref="Q1745">IF(K1745="",INDEX($K$2:$K$2501,MATCH(MAX(COUNTIF($K$2:$K$2501,$K$2:$K$2501)),COUNTIF($K$2:$K$2501,$K$2:$K$2501),0)),K1745)</f>
        <v>B2B</v>
      </c>
    </row>
    <row r="1746" spans="1:17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 s="3">
        <f t="shared" si="135"/>
        <v>-4974.07923076923</v>
      </c>
      <c r="J1746" t="s">
        <v>22</v>
      </c>
      <c r="K1746" t="s">
        <v>23</v>
      </c>
      <c r="L1746" s="2">
        <f t="shared" si="136"/>
        <v>2487.039615384615</v>
      </c>
      <c r="M1746" s="4">
        <f t="shared" si="137"/>
        <v>0.6</v>
      </c>
      <c r="N1746" s="1">
        <f t="shared" si="138"/>
        <v>45782</v>
      </c>
      <c r="O1746" s="3">
        <f>(Table13[[#This Row],[Units_Sold]]*Table13[[#This Row],[Unit_Price_Cleaned]]*(1-Table13[[#This Row],[Discount Cleaned]]))</f>
        <v>-1989.631692307692</v>
      </c>
      <c r="P1746" t="str">
        <f t="shared" si="139"/>
        <v>Loss</v>
      </c>
      <c r="Q1746" t="str" cm="1">
        <f t="array" ref="Q1746">IF(K1746="",INDEX($K$2:$K$2501,MATCH(MAX(COUNTIF($K$2:$K$2501,$K$2:$K$2501)),COUNTIF($K$2:$K$2501,$K$2:$K$2501),0)),K1746)</f>
        <v>B2B</v>
      </c>
    </row>
    <row r="1747" spans="1:17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 s="3">
        <f t="shared" si="135"/>
        <v>-869.82</v>
      </c>
      <c r="I1747" s="1">
        <v>45497</v>
      </c>
      <c r="J1747" t="s">
        <v>40</v>
      </c>
      <c r="K1747" t="s">
        <v>16</v>
      </c>
      <c r="L1747" s="2">
        <f t="shared" si="136"/>
        <v>869.82</v>
      </c>
      <c r="M1747" s="4">
        <f t="shared" si="137"/>
        <v>0.6</v>
      </c>
      <c r="N1747" s="1">
        <f t="shared" si="138"/>
        <v>45497</v>
      </c>
      <c r="O1747" s="3">
        <f>(Table13[[#This Row],[Units_Sold]]*Table13[[#This Row],[Unit_Price_Cleaned]]*(1-Table13[[#This Row],[Discount Cleaned]]))</f>
        <v>-347.92800000000005</v>
      </c>
      <c r="P1747" t="str">
        <f t="shared" si="139"/>
        <v>Loss</v>
      </c>
      <c r="Q1747" t="str" cm="1">
        <f t="array" ref="Q1747">IF(K1747="",INDEX($K$2:$K$2501,MATCH(MAX(COUNTIF($K$2:$K$2501,$K$2:$K$2501)),COUNTIF($K$2:$K$2501,$K$2:$K$2501),0)),K1747)</f>
        <v>B2C</v>
      </c>
    </row>
    <row r="1748" spans="1:17" x14ac:dyDescent="0.3">
      <c r="A1748">
        <v>2746</v>
      </c>
      <c r="B1748" t="s">
        <v>1780</v>
      </c>
      <c r="C1748" t="s">
        <v>13</v>
      </c>
      <c r="D1748" t="s">
        <v>14</v>
      </c>
      <c r="E1748">
        <v>2</v>
      </c>
      <c r="F1748">
        <v>668.51</v>
      </c>
      <c r="G1748">
        <v>1.02</v>
      </c>
      <c r="H1748" s="3">
        <f t="shared" si="135"/>
        <v>1337.02</v>
      </c>
      <c r="I1748" s="1">
        <v>45608</v>
      </c>
      <c r="J1748" t="s">
        <v>40</v>
      </c>
      <c r="K1748" t="s">
        <v>16</v>
      </c>
      <c r="L1748" s="2">
        <f t="shared" si="136"/>
        <v>668.51</v>
      </c>
      <c r="M1748" s="4">
        <f t="shared" si="137"/>
        <v>1.02</v>
      </c>
      <c r="N1748" s="1">
        <f t="shared" si="138"/>
        <v>45608</v>
      </c>
      <c r="O1748" s="3">
        <f>(Table13[[#This Row],[Units_Sold]]*Table13[[#This Row],[Unit_Price_Cleaned]]*(1-Table13[[#This Row],[Discount Cleaned]]))</f>
        <v>-26.740400000000022</v>
      </c>
      <c r="P1748" t="str">
        <f t="shared" si="139"/>
        <v>Loss</v>
      </c>
      <c r="Q1748" t="str" cm="1">
        <f t="array" ref="Q1748">IF(K1748="",INDEX($K$2:$K$2501,MATCH(MAX(COUNTIF($K$2:$K$2501,$K$2:$K$2501)),COUNTIF($K$2:$K$2501,$K$2:$K$2501),0)),K1748)</f>
        <v>B2C</v>
      </c>
    </row>
    <row r="1749" spans="1:17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 s="3">
        <f t="shared" si="135"/>
        <v>1369.29</v>
      </c>
      <c r="I1749" s="1">
        <v>45796</v>
      </c>
      <c r="J1749" t="s">
        <v>22</v>
      </c>
      <c r="K1749" t="s">
        <v>16</v>
      </c>
      <c r="L1749" s="2">
        <f t="shared" si="136"/>
        <v>1369.29</v>
      </c>
      <c r="M1749" s="4">
        <f t="shared" si="137"/>
        <v>0.6</v>
      </c>
      <c r="N1749" s="1">
        <f t="shared" si="138"/>
        <v>45796</v>
      </c>
      <c r="O1749" s="3">
        <f>(Table13[[#This Row],[Units_Sold]]*Table13[[#This Row],[Unit_Price_Cleaned]]*(1-Table13[[#This Row],[Discount Cleaned]]))</f>
        <v>547.71600000000001</v>
      </c>
      <c r="P1749" t="str">
        <f t="shared" si="139"/>
        <v>Profit</v>
      </c>
      <c r="Q1749" t="str" cm="1">
        <f t="array" ref="Q1749">IF(K1749="",INDEX($K$2:$K$2501,MATCH(MAX(COUNTIF($K$2:$K$2501,$K$2:$K$2501)),COUNTIF($K$2:$K$2501,$K$2:$K$2501),0)),K1749)</f>
        <v>B2C</v>
      </c>
    </row>
    <row r="1750" spans="1:17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 s="3">
        <f t="shared" si="135"/>
        <v>15911.52</v>
      </c>
      <c r="I1750" s="1">
        <v>45670</v>
      </c>
      <c r="J1750" t="s">
        <v>18</v>
      </c>
      <c r="K1750" t="s">
        <v>16</v>
      </c>
      <c r="L1750" s="2">
        <f t="shared" si="136"/>
        <v>3977.88</v>
      </c>
      <c r="M1750" s="4">
        <f t="shared" si="137"/>
        <v>0.6</v>
      </c>
      <c r="N1750" s="1">
        <f t="shared" si="138"/>
        <v>45670</v>
      </c>
      <c r="O1750" s="3">
        <f>(Table13[[#This Row],[Units_Sold]]*Table13[[#This Row],[Unit_Price_Cleaned]]*(1-Table13[[#This Row],[Discount Cleaned]]))</f>
        <v>6364.6080000000002</v>
      </c>
      <c r="P1750" t="str">
        <f t="shared" si="139"/>
        <v>Profit</v>
      </c>
      <c r="Q1750" t="str" cm="1">
        <f t="array" ref="Q1750">IF(K1750="",INDEX($K$2:$K$2501,MATCH(MAX(COUNTIF($K$2:$K$2501,$K$2:$K$2501)),COUNTIF($K$2:$K$2501,$K$2:$K$2501),0)),K1750)</f>
        <v>B2C</v>
      </c>
    </row>
    <row r="1751" spans="1:17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 s="3">
        <f t="shared" si="135"/>
        <v>13405.871818181819</v>
      </c>
      <c r="J1751" t="s">
        <v>46</v>
      </c>
      <c r="L1751" s="2">
        <f t="shared" si="136"/>
        <v>2681.1743636363635</v>
      </c>
      <c r="M1751" s="4">
        <f t="shared" si="137"/>
        <v>0.6</v>
      </c>
      <c r="N1751" s="1">
        <f t="shared" si="138"/>
        <v>45782</v>
      </c>
      <c r="O1751" s="3">
        <f>(Table13[[#This Row],[Units_Sold]]*Table13[[#This Row],[Unit_Price_Cleaned]]*(1-Table13[[#This Row],[Discount Cleaned]]))</f>
        <v>5362.348727272728</v>
      </c>
      <c r="P1751" t="str">
        <f t="shared" si="139"/>
        <v>Profit</v>
      </c>
      <c r="Q1751" t="str" cm="1">
        <f t="array" ref="Q1751">IF(K1751="",INDEX($K$2:$K$2501,MATCH(MAX(COUNTIF($K$2:$K$2501,$K$2:$K$2501)),COUNTIF($K$2:$K$2501,$K$2:$K$2501),0)),K1751)</f>
        <v>B2B</v>
      </c>
    </row>
    <row r="1752" spans="1:17" x14ac:dyDescent="0.3">
      <c r="A1752">
        <v>1049</v>
      </c>
      <c r="B1752" t="s">
        <v>1784</v>
      </c>
      <c r="C1752" t="s">
        <v>20</v>
      </c>
      <c r="D1752" t="s">
        <v>122</v>
      </c>
      <c r="E1752">
        <v>2</v>
      </c>
      <c r="F1752">
        <v>1360.22</v>
      </c>
      <c r="H1752" s="3">
        <f t="shared" si="135"/>
        <v>2720.44</v>
      </c>
      <c r="I1752" s="1">
        <v>45761</v>
      </c>
      <c r="J1752" t="s">
        <v>22</v>
      </c>
      <c r="L1752" s="2">
        <f t="shared" si="136"/>
        <v>1360.22</v>
      </c>
      <c r="M1752" s="4">
        <f t="shared" si="137"/>
        <v>0.6</v>
      </c>
      <c r="N1752" s="1">
        <f t="shared" si="138"/>
        <v>45761</v>
      </c>
      <c r="O1752" s="3">
        <f>(Table13[[#This Row],[Units_Sold]]*Table13[[#This Row],[Unit_Price_Cleaned]]*(1-Table13[[#This Row],[Discount Cleaned]]))</f>
        <v>1088.1760000000002</v>
      </c>
      <c r="P1752" t="str">
        <f t="shared" si="139"/>
        <v>Profit</v>
      </c>
      <c r="Q1752" t="str" cm="1">
        <f t="array" ref="Q1752">IF(K1752="",INDEX($K$2:$K$2501,MATCH(MAX(COUNTIF($K$2:$K$2501,$K$2:$K$2501)),COUNTIF($K$2:$K$2501,$K$2:$K$2501),0)),K1752)</f>
        <v>B2B</v>
      </c>
    </row>
    <row r="1753" spans="1:17" x14ac:dyDescent="0.3">
      <c r="A1753">
        <v>2751</v>
      </c>
      <c r="B1753" t="s">
        <v>1785</v>
      </c>
      <c r="C1753" t="s">
        <v>20</v>
      </c>
      <c r="D1753" t="s">
        <v>122</v>
      </c>
      <c r="E1753">
        <v>2</v>
      </c>
      <c r="G1753">
        <v>0.98</v>
      </c>
      <c r="H1753" s="3">
        <f t="shared" si="135"/>
        <v>5400.2526086956505</v>
      </c>
      <c r="I1753" s="1">
        <v>45642</v>
      </c>
      <c r="J1753" t="s">
        <v>40</v>
      </c>
      <c r="L1753" s="2">
        <f t="shared" si="136"/>
        <v>2700.1263043478252</v>
      </c>
      <c r="M1753" s="4">
        <f t="shared" si="137"/>
        <v>0.98</v>
      </c>
      <c r="N1753" s="1">
        <f t="shared" si="138"/>
        <v>45642</v>
      </c>
      <c r="O1753" s="3">
        <f>(Table13[[#This Row],[Units_Sold]]*Table13[[#This Row],[Unit_Price_Cleaned]]*(1-Table13[[#This Row],[Discount Cleaned]]))</f>
        <v>108.0050521739131</v>
      </c>
      <c r="P1753" t="str">
        <f t="shared" si="139"/>
        <v>Loss</v>
      </c>
      <c r="Q1753" t="str" cm="1">
        <f t="array" ref="Q1753">IF(K1753="",INDEX($K$2:$K$2501,MATCH(MAX(COUNTIF($K$2:$K$2501,$K$2:$K$2501)),COUNTIF($K$2:$K$2501,$K$2:$K$2501),0)),K1753)</f>
        <v>B2B</v>
      </c>
    </row>
    <row r="1754" spans="1:17" x14ac:dyDescent="0.3">
      <c r="A1754">
        <v>2752</v>
      </c>
      <c r="B1754" t="s">
        <v>1786</v>
      </c>
      <c r="C1754" t="s">
        <v>25</v>
      </c>
      <c r="D1754" t="s">
        <v>54</v>
      </c>
      <c r="E1754">
        <v>2</v>
      </c>
      <c r="F1754">
        <v>4552.8</v>
      </c>
      <c r="G1754">
        <v>1.01</v>
      </c>
      <c r="H1754" s="3">
        <f t="shared" si="135"/>
        <v>9105.6</v>
      </c>
      <c r="J1754" t="s">
        <v>46</v>
      </c>
      <c r="K1754" t="s">
        <v>23</v>
      </c>
      <c r="L1754" s="2">
        <f t="shared" si="136"/>
        <v>4552.8</v>
      </c>
      <c r="M1754" s="4">
        <f t="shared" si="137"/>
        <v>1.01</v>
      </c>
      <c r="N1754" s="1">
        <f t="shared" si="138"/>
        <v>45782</v>
      </c>
      <c r="O1754" s="3">
        <f>(Table13[[#This Row],[Units_Sold]]*Table13[[#This Row],[Unit_Price_Cleaned]]*(1-Table13[[#This Row],[Discount Cleaned]]))</f>
        <v>-91.056000000000083</v>
      </c>
      <c r="P1754" t="str">
        <f t="shared" si="139"/>
        <v>Loss</v>
      </c>
      <c r="Q1754" t="str" cm="1">
        <f t="array" ref="Q1754">IF(K1754="",INDEX($K$2:$K$2501,MATCH(MAX(COUNTIF($K$2:$K$2501,$K$2:$K$2501)),COUNTIF($K$2:$K$2501,$K$2:$K$2501),0)),K1754)</f>
        <v>B2B</v>
      </c>
    </row>
    <row r="1755" spans="1:17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 s="3">
        <f t="shared" si="135"/>
        <v>-4351.1099999999997</v>
      </c>
      <c r="I1755" s="1">
        <v>45518</v>
      </c>
      <c r="J1755" t="s">
        <v>46</v>
      </c>
      <c r="K1755" t="s">
        <v>16</v>
      </c>
      <c r="L1755" s="2">
        <f t="shared" si="136"/>
        <v>4351.1099999999997</v>
      </c>
      <c r="M1755" s="4">
        <f t="shared" si="137"/>
        <v>0.6</v>
      </c>
      <c r="N1755" s="1">
        <f t="shared" si="138"/>
        <v>45518</v>
      </c>
      <c r="O1755" s="3">
        <f>(Table13[[#This Row],[Units_Sold]]*Table13[[#This Row],[Unit_Price_Cleaned]]*(1-Table13[[#This Row],[Discount Cleaned]]))</f>
        <v>-1740.444</v>
      </c>
      <c r="P1755" t="str">
        <f t="shared" si="139"/>
        <v>Loss</v>
      </c>
      <c r="Q1755" t="str" cm="1">
        <f t="array" ref="Q1755">IF(K1755="",INDEX($K$2:$K$2501,MATCH(MAX(COUNTIF($K$2:$K$2501,$K$2:$K$2501)),COUNTIF($K$2:$K$2501,$K$2:$K$2501),0)),K1755)</f>
        <v>B2C</v>
      </c>
    </row>
    <row r="1756" spans="1:17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 s="3">
        <f t="shared" si="135"/>
        <v>2785.0877966101693</v>
      </c>
      <c r="I1756" s="1">
        <v>45734</v>
      </c>
      <c r="J1756" t="s">
        <v>40</v>
      </c>
      <c r="L1756" s="2">
        <f t="shared" si="136"/>
        <v>2785.0877966101693</v>
      </c>
      <c r="M1756" s="4">
        <f t="shared" si="137"/>
        <v>0.6</v>
      </c>
      <c r="N1756" s="1">
        <f t="shared" si="138"/>
        <v>45734</v>
      </c>
      <c r="O1756" s="3">
        <f>(Table13[[#This Row],[Units_Sold]]*Table13[[#This Row],[Unit_Price_Cleaned]]*(1-Table13[[#This Row],[Discount Cleaned]]))</f>
        <v>1114.0351186440678</v>
      </c>
      <c r="P1756" t="str">
        <f t="shared" si="139"/>
        <v>Profit</v>
      </c>
      <c r="Q1756" t="str" cm="1">
        <f t="array" ref="Q1756">IF(K1756="",INDEX($K$2:$K$2501,MATCH(MAX(COUNTIF($K$2:$K$2501,$K$2:$K$2501)),COUNTIF($K$2:$K$2501,$K$2:$K$2501),0)),K1756)</f>
        <v>B2B</v>
      </c>
    </row>
    <row r="1757" spans="1:17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 s="3">
        <f t="shared" si="135"/>
        <v>-5660.2651428571462</v>
      </c>
      <c r="I1757" s="1">
        <v>45199</v>
      </c>
      <c r="J1757" t="s">
        <v>15</v>
      </c>
      <c r="K1757" t="s">
        <v>23</v>
      </c>
      <c r="L1757" s="2">
        <f t="shared" si="136"/>
        <v>2830.1325714285731</v>
      </c>
      <c r="M1757" s="4">
        <f t="shared" si="137"/>
        <v>0.32</v>
      </c>
      <c r="N1757" s="1">
        <f t="shared" si="138"/>
        <v>45199</v>
      </c>
      <c r="O1757" s="3">
        <f>(Table13[[#This Row],[Units_Sold]]*Table13[[#This Row],[Unit_Price_Cleaned]]*(1-Table13[[#This Row],[Discount Cleaned]]))</f>
        <v>-3848.9802971428589</v>
      </c>
      <c r="P1757" t="str">
        <f t="shared" si="139"/>
        <v>Loss</v>
      </c>
      <c r="Q1757" t="str" cm="1">
        <f t="array" ref="Q1757">IF(K1757="",INDEX($K$2:$K$2501,MATCH(MAX(COUNTIF($K$2:$K$2501,$K$2:$K$2501)),COUNTIF($K$2:$K$2501,$K$2:$K$2501),0)),K1757)</f>
        <v>B2B</v>
      </c>
    </row>
    <row r="1758" spans="1:17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 s="3">
        <f t="shared" si="135"/>
        <v>16293.275094339615</v>
      </c>
      <c r="I1758" s="1">
        <v>45566</v>
      </c>
      <c r="J1758" t="s">
        <v>46</v>
      </c>
      <c r="K1758" t="s">
        <v>16</v>
      </c>
      <c r="L1758" s="2">
        <f t="shared" si="136"/>
        <v>2715.5458490566025</v>
      </c>
      <c r="M1758" s="4">
        <f t="shared" si="137"/>
        <v>0.6</v>
      </c>
      <c r="N1758" s="1">
        <f t="shared" si="138"/>
        <v>45566</v>
      </c>
      <c r="O1758" s="3">
        <f>(Table13[[#This Row],[Units_Sold]]*Table13[[#This Row],[Unit_Price_Cleaned]]*(1-Table13[[#This Row],[Discount Cleaned]]))</f>
        <v>6517.310037735846</v>
      </c>
      <c r="P1758" t="str">
        <f t="shared" si="139"/>
        <v>Profit</v>
      </c>
      <c r="Q1758" t="str" cm="1">
        <f t="array" ref="Q1758">IF(K1758="",INDEX($K$2:$K$2501,MATCH(MAX(COUNTIF($K$2:$K$2501,$K$2:$K$2501)),COUNTIF($K$2:$K$2501,$K$2:$K$2501),0)),K1758)</f>
        <v>B2C</v>
      </c>
    </row>
    <row r="1759" spans="1:17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 s="3">
        <f t="shared" si="135"/>
        <v>14771.849999999999</v>
      </c>
      <c r="I1759" s="1">
        <v>45794</v>
      </c>
      <c r="J1759" t="s">
        <v>46</v>
      </c>
      <c r="K1759" t="s">
        <v>23</v>
      </c>
      <c r="L1759" s="2">
        <f t="shared" si="136"/>
        <v>4923.95</v>
      </c>
      <c r="M1759" s="4">
        <f t="shared" si="137"/>
        <v>0.6</v>
      </c>
      <c r="N1759" s="1">
        <f t="shared" si="138"/>
        <v>45794</v>
      </c>
      <c r="O1759" s="3">
        <f>(Table13[[#This Row],[Units_Sold]]*Table13[[#This Row],[Unit_Price_Cleaned]]*(1-Table13[[#This Row],[Discount Cleaned]]))</f>
        <v>5908.74</v>
      </c>
      <c r="P1759" t="str">
        <f t="shared" si="139"/>
        <v>Profit</v>
      </c>
      <c r="Q1759" t="str" cm="1">
        <f t="array" ref="Q1759">IF(K1759="",INDEX($K$2:$K$2501,MATCH(MAX(COUNTIF($K$2:$K$2501,$K$2:$K$2501)),COUNTIF($K$2:$K$2501,$K$2:$K$2501),0)),K1759)</f>
        <v>B2B</v>
      </c>
    </row>
    <row r="1760" spans="1:17" x14ac:dyDescent="0.3">
      <c r="A1760">
        <v>1029</v>
      </c>
      <c r="B1760" t="s">
        <v>1792</v>
      </c>
      <c r="C1760" t="s">
        <v>33</v>
      </c>
      <c r="D1760" t="s">
        <v>44</v>
      </c>
      <c r="E1760">
        <v>2</v>
      </c>
      <c r="F1760">
        <v>2965.32</v>
      </c>
      <c r="H1760" s="3">
        <f t="shared" si="135"/>
        <v>5930.64</v>
      </c>
      <c r="J1760" t="s">
        <v>22</v>
      </c>
      <c r="K1760" t="s">
        <v>16</v>
      </c>
      <c r="L1760" s="2">
        <f t="shared" si="136"/>
        <v>2965.32</v>
      </c>
      <c r="M1760" s="4">
        <f t="shared" si="137"/>
        <v>0.6</v>
      </c>
      <c r="N1760" s="1">
        <f t="shared" si="138"/>
        <v>45782</v>
      </c>
      <c r="O1760" s="3">
        <f>(Table13[[#This Row],[Units_Sold]]*Table13[[#This Row],[Unit_Price_Cleaned]]*(1-Table13[[#This Row],[Discount Cleaned]]))</f>
        <v>2372.2560000000003</v>
      </c>
      <c r="P1760" t="str">
        <f t="shared" si="139"/>
        <v>Profit</v>
      </c>
      <c r="Q1760" t="str" cm="1">
        <f t="array" ref="Q1760">IF(K1760="",INDEX($K$2:$K$2501,MATCH(MAX(COUNTIF($K$2:$K$2501,$K$2:$K$2501)),COUNTIF($K$2:$K$2501,$K$2:$K$2501),0)),K1760)</f>
        <v>B2C</v>
      </c>
    </row>
    <row r="1761" spans="1:17" x14ac:dyDescent="0.3">
      <c r="A1761">
        <v>2759</v>
      </c>
      <c r="B1761" t="s">
        <v>1793</v>
      </c>
      <c r="C1761" t="s">
        <v>25</v>
      </c>
      <c r="D1761" t="s">
        <v>86</v>
      </c>
      <c r="E1761">
        <v>2</v>
      </c>
      <c r="G1761">
        <v>0.9</v>
      </c>
      <c r="H1761" s="3">
        <f t="shared" si="135"/>
        <v>5003.0619999999999</v>
      </c>
      <c r="I1761" s="1">
        <v>45509</v>
      </c>
      <c r="J1761" t="s">
        <v>18</v>
      </c>
      <c r="L1761" s="2">
        <f t="shared" si="136"/>
        <v>2501.5309999999999</v>
      </c>
      <c r="M1761" s="4">
        <f t="shared" si="137"/>
        <v>0.9</v>
      </c>
      <c r="N1761" s="1">
        <f t="shared" si="138"/>
        <v>45509</v>
      </c>
      <c r="O1761" s="3">
        <f>(Table13[[#This Row],[Units_Sold]]*Table13[[#This Row],[Unit_Price_Cleaned]]*(1-Table13[[#This Row],[Discount Cleaned]]))</f>
        <v>500.30619999999988</v>
      </c>
      <c r="P1761" t="str">
        <f t="shared" si="139"/>
        <v>Profit</v>
      </c>
      <c r="Q1761" t="str" cm="1">
        <f t="array" ref="Q1761">IF(K1761="",INDEX($K$2:$K$2501,MATCH(MAX(COUNTIF($K$2:$K$2501,$K$2:$K$2501)),COUNTIF($K$2:$K$2501,$K$2:$K$2501),0)),K1761)</f>
        <v>B2B</v>
      </c>
    </row>
    <row r="1762" spans="1:17" x14ac:dyDescent="0.3">
      <c r="A1762">
        <v>2760</v>
      </c>
      <c r="B1762" t="s">
        <v>1794</v>
      </c>
      <c r="C1762" t="s">
        <v>25</v>
      </c>
      <c r="D1762" t="s">
        <v>66</v>
      </c>
      <c r="E1762">
        <v>2</v>
      </c>
      <c r="H1762" s="3">
        <f t="shared" si="135"/>
        <v>5145.5528000000013</v>
      </c>
      <c r="I1762" s="1">
        <v>45586</v>
      </c>
      <c r="J1762" t="s">
        <v>15</v>
      </c>
      <c r="K1762" t="s">
        <v>23</v>
      </c>
      <c r="L1762" s="2">
        <f t="shared" si="136"/>
        <v>2572.7764000000006</v>
      </c>
      <c r="M1762" s="4">
        <f t="shared" si="137"/>
        <v>0.6</v>
      </c>
      <c r="N1762" s="1">
        <f t="shared" si="138"/>
        <v>45586</v>
      </c>
      <c r="O1762" s="3">
        <f>(Table13[[#This Row],[Units_Sold]]*Table13[[#This Row],[Unit_Price_Cleaned]]*(1-Table13[[#This Row],[Discount Cleaned]]))</f>
        <v>2058.2211200000006</v>
      </c>
      <c r="P1762" t="str">
        <f t="shared" si="139"/>
        <v>Profit</v>
      </c>
      <c r="Q1762" t="str" cm="1">
        <f t="array" ref="Q1762">IF(K1762="",INDEX($K$2:$K$2501,MATCH(MAX(COUNTIF($K$2:$K$2501,$K$2:$K$2501)),COUNTIF($K$2:$K$2501,$K$2:$K$2501),0)),K1762)</f>
        <v>B2B</v>
      </c>
    </row>
    <row r="1763" spans="1:17" x14ac:dyDescent="0.3">
      <c r="A1763">
        <v>2761</v>
      </c>
      <c r="B1763" t="s">
        <v>1795</v>
      </c>
      <c r="C1763" t="s">
        <v>38</v>
      </c>
      <c r="D1763" t="s">
        <v>59</v>
      </c>
      <c r="E1763">
        <v>2</v>
      </c>
      <c r="F1763">
        <v>3586.76</v>
      </c>
      <c r="H1763" s="3">
        <f t="shared" si="135"/>
        <v>7173.52</v>
      </c>
      <c r="I1763" s="1">
        <v>45752</v>
      </c>
      <c r="J1763" t="s">
        <v>46</v>
      </c>
      <c r="K1763" t="s">
        <v>16</v>
      </c>
      <c r="L1763" s="2">
        <f t="shared" si="136"/>
        <v>3586.76</v>
      </c>
      <c r="M1763" s="4">
        <f t="shared" si="137"/>
        <v>0.6</v>
      </c>
      <c r="N1763" s="1">
        <f t="shared" si="138"/>
        <v>45752</v>
      </c>
      <c r="O1763" s="3">
        <f>(Table13[[#This Row],[Units_Sold]]*Table13[[#This Row],[Unit_Price_Cleaned]]*(1-Table13[[#This Row],[Discount Cleaned]]))</f>
        <v>2869.4080000000004</v>
      </c>
      <c r="P1763" t="str">
        <f t="shared" si="139"/>
        <v>Profit</v>
      </c>
      <c r="Q1763" t="str" cm="1">
        <f t="array" ref="Q1763">IF(K1763="",INDEX($K$2:$K$2501,MATCH(MAX(COUNTIF($K$2:$K$2501,$K$2:$K$2501)),COUNTIF($K$2:$K$2501,$K$2:$K$2501),0)),K1763)</f>
        <v>B2C</v>
      </c>
    </row>
    <row r="1764" spans="1:17" x14ac:dyDescent="0.3">
      <c r="A1764">
        <v>2762</v>
      </c>
      <c r="B1764" t="s">
        <v>1796</v>
      </c>
      <c r="C1764" t="s">
        <v>38</v>
      </c>
      <c r="D1764" t="s">
        <v>63</v>
      </c>
      <c r="E1764">
        <v>2</v>
      </c>
      <c r="F1764">
        <v>1278.8499999999999</v>
      </c>
      <c r="H1764" s="3">
        <f t="shared" si="135"/>
        <v>2557.6999999999998</v>
      </c>
      <c r="I1764" s="1">
        <v>45670</v>
      </c>
      <c r="J1764" t="s">
        <v>56</v>
      </c>
      <c r="K1764" t="s">
        <v>23</v>
      </c>
      <c r="L1764" s="2">
        <f t="shared" si="136"/>
        <v>1278.8499999999999</v>
      </c>
      <c r="M1764" s="4">
        <f t="shared" si="137"/>
        <v>0.6</v>
      </c>
      <c r="N1764" s="1">
        <f t="shared" si="138"/>
        <v>45670</v>
      </c>
      <c r="O1764" s="3">
        <f>(Table13[[#This Row],[Units_Sold]]*Table13[[#This Row],[Unit_Price_Cleaned]]*(1-Table13[[#This Row],[Discount Cleaned]]))</f>
        <v>1023.0799999999999</v>
      </c>
      <c r="P1764" t="str">
        <f t="shared" si="139"/>
        <v>Profit</v>
      </c>
      <c r="Q1764" t="str" cm="1">
        <f t="array" ref="Q1764">IF(K1764="",INDEX($K$2:$K$2501,MATCH(MAX(COUNTIF($K$2:$K$2501,$K$2:$K$2501)),COUNTIF($K$2:$K$2501,$K$2:$K$2501),0)),K1764)</f>
        <v>B2B</v>
      </c>
    </row>
    <row r="1765" spans="1:17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 s="3">
        <f t="shared" si="135"/>
        <v>10080.030000000001</v>
      </c>
      <c r="J1765" t="s">
        <v>56</v>
      </c>
      <c r="L1765" s="2">
        <f t="shared" si="136"/>
        <v>3360.01</v>
      </c>
      <c r="M1765" s="4">
        <f t="shared" si="137"/>
        <v>0.6</v>
      </c>
      <c r="N1765" s="1">
        <f t="shared" si="138"/>
        <v>45782</v>
      </c>
      <c r="O1765" s="3">
        <f>(Table13[[#This Row],[Units_Sold]]*Table13[[#This Row],[Unit_Price_Cleaned]]*(1-Table13[[#This Row],[Discount Cleaned]]))</f>
        <v>4032.0120000000006</v>
      </c>
      <c r="P1765" t="str">
        <f t="shared" si="139"/>
        <v>Profit</v>
      </c>
      <c r="Q1765" t="str" cm="1">
        <f t="array" ref="Q1765">IF(K1765="",INDEX($K$2:$K$2501,MATCH(MAX(COUNTIF($K$2:$K$2501,$K$2:$K$2501)),COUNTIF($K$2:$K$2501,$K$2:$K$2501),0)),K1765)</f>
        <v>B2B</v>
      </c>
    </row>
    <row r="1766" spans="1:17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 s="3">
        <f t="shared" si="135"/>
        <v>8490.3977142857184</v>
      </c>
      <c r="I1766" s="1">
        <v>45593</v>
      </c>
      <c r="J1766" t="s">
        <v>18</v>
      </c>
      <c r="K1766" t="s">
        <v>23</v>
      </c>
      <c r="L1766" s="2">
        <f t="shared" si="136"/>
        <v>2830.1325714285731</v>
      </c>
      <c r="M1766" s="4">
        <f t="shared" si="137"/>
        <v>0.6</v>
      </c>
      <c r="N1766" s="1">
        <f t="shared" si="138"/>
        <v>45593</v>
      </c>
      <c r="O1766" s="3">
        <f>(Table13[[#This Row],[Units_Sold]]*Table13[[#This Row],[Unit_Price_Cleaned]]*(1-Table13[[#This Row],[Discount Cleaned]]))</f>
        <v>3396.1590857142874</v>
      </c>
      <c r="P1766" t="str">
        <f t="shared" si="139"/>
        <v>Profit</v>
      </c>
      <c r="Q1766" t="str" cm="1">
        <f t="array" ref="Q1766">IF(K1766="",INDEX($K$2:$K$2501,MATCH(MAX(COUNTIF($K$2:$K$2501,$K$2:$K$2501)),COUNTIF($K$2:$K$2501,$K$2:$K$2501),0)),K1766)</f>
        <v>B2B</v>
      </c>
    </row>
    <row r="1767" spans="1:17" x14ac:dyDescent="0.3">
      <c r="A1767">
        <v>2765</v>
      </c>
      <c r="B1767" t="s">
        <v>1799</v>
      </c>
      <c r="C1767" t="s">
        <v>38</v>
      </c>
      <c r="D1767" t="s">
        <v>63</v>
      </c>
      <c r="E1767">
        <v>2</v>
      </c>
      <c r="H1767" s="3">
        <f t="shared" si="135"/>
        <v>5690.4839344262318</v>
      </c>
      <c r="I1767" s="1">
        <v>45834</v>
      </c>
      <c r="J1767" t="s">
        <v>46</v>
      </c>
      <c r="L1767" s="2">
        <f t="shared" si="136"/>
        <v>2845.2419672131159</v>
      </c>
      <c r="M1767" s="4">
        <f t="shared" si="137"/>
        <v>0.6</v>
      </c>
      <c r="N1767" s="1">
        <f t="shared" si="138"/>
        <v>45834</v>
      </c>
      <c r="O1767" s="3">
        <f>(Table13[[#This Row],[Units_Sold]]*Table13[[#This Row],[Unit_Price_Cleaned]]*(1-Table13[[#This Row],[Discount Cleaned]]))</f>
        <v>2276.193573770493</v>
      </c>
      <c r="P1767" t="str">
        <f t="shared" si="139"/>
        <v>Profit</v>
      </c>
      <c r="Q1767" t="str" cm="1">
        <f t="array" ref="Q1767">IF(K1767="",INDEX($K$2:$K$2501,MATCH(MAX(COUNTIF($K$2:$K$2501,$K$2:$K$2501)),COUNTIF($K$2:$K$2501,$K$2:$K$2501),0)),K1767)</f>
        <v>B2B</v>
      </c>
    </row>
    <row r="1768" spans="1:17" x14ac:dyDescent="0.3">
      <c r="A1768">
        <v>2766</v>
      </c>
      <c r="B1768" t="s">
        <v>1800</v>
      </c>
      <c r="C1768" t="s">
        <v>13</v>
      </c>
      <c r="D1768" t="s">
        <v>49</v>
      </c>
      <c r="E1768">
        <v>2</v>
      </c>
      <c r="H1768" s="3">
        <f t="shared" si="135"/>
        <v>5570.1755932203387</v>
      </c>
      <c r="I1768" s="1">
        <v>45530</v>
      </c>
      <c r="J1768" t="s">
        <v>46</v>
      </c>
      <c r="K1768" t="s">
        <v>16</v>
      </c>
      <c r="L1768" s="2">
        <f t="shared" si="136"/>
        <v>2785.0877966101693</v>
      </c>
      <c r="M1768" s="4">
        <f t="shared" si="137"/>
        <v>0.6</v>
      </c>
      <c r="N1768" s="1">
        <f t="shared" si="138"/>
        <v>45530</v>
      </c>
      <c r="O1768" s="3">
        <f>(Table13[[#This Row],[Units_Sold]]*Table13[[#This Row],[Unit_Price_Cleaned]]*(1-Table13[[#This Row],[Discount Cleaned]]))</f>
        <v>2228.0702372881356</v>
      </c>
      <c r="P1768" t="str">
        <f t="shared" si="139"/>
        <v>Profit</v>
      </c>
      <c r="Q1768" t="str" cm="1">
        <f t="array" ref="Q1768">IF(K1768="",INDEX($K$2:$K$2501,MATCH(MAX(COUNTIF($K$2:$K$2501,$K$2:$K$2501)),COUNTIF($K$2:$K$2501,$K$2:$K$2501),0)),K1768)</f>
        <v>B2C</v>
      </c>
    </row>
    <row r="1769" spans="1:17" x14ac:dyDescent="0.3">
      <c r="A1769">
        <v>2767</v>
      </c>
      <c r="B1769" t="s">
        <v>1801</v>
      </c>
      <c r="C1769" t="s">
        <v>33</v>
      </c>
      <c r="D1769" t="s">
        <v>72</v>
      </c>
      <c r="E1769">
        <v>2</v>
      </c>
      <c r="F1769">
        <v>4149.42</v>
      </c>
      <c r="G1769">
        <v>0.13</v>
      </c>
      <c r="H1769" s="3">
        <f t="shared" si="135"/>
        <v>8298.84</v>
      </c>
      <c r="J1769" t="s">
        <v>56</v>
      </c>
      <c r="K1769" t="s">
        <v>23</v>
      </c>
      <c r="L1769" s="2">
        <f t="shared" si="136"/>
        <v>4149.42</v>
      </c>
      <c r="M1769" s="4">
        <f t="shared" si="137"/>
        <v>0.13</v>
      </c>
      <c r="N1769" s="1">
        <f t="shared" si="138"/>
        <v>45782</v>
      </c>
      <c r="O1769" s="3">
        <f>(Table13[[#This Row],[Units_Sold]]*Table13[[#This Row],[Unit_Price_Cleaned]]*(1-Table13[[#This Row],[Discount Cleaned]]))</f>
        <v>7219.9908000000005</v>
      </c>
      <c r="P1769" t="str">
        <f t="shared" si="139"/>
        <v>Profit</v>
      </c>
      <c r="Q1769" t="str" cm="1">
        <f t="array" ref="Q1769">IF(K1769="",INDEX($K$2:$K$2501,MATCH(MAX(COUNTIF($K$2:$K$2501,$K$2:$K$2501)),COUNTIF($K$2:$K$2501,$K$2:$K$2501),0)),K1769)</f>
        <v>B2B</v>
      </c>
    </row>
    <row r="1770" spans="1:17" x14ac:dyDescent="0.3">
      <c r="A1770">
        <v>2768</v>
      </c>
      <c r="B1770" t="s">
        <v>1802</v>
      </c>
      <c r="C1770" t="s">
        <v>33</v>
      </c>
      <c r="D1770" t="s">
        <v>44</v>
      </c>
      <c r="E1770">
        <v>2</v>
      </c>
      <c r="G1770">
        <v>0.69</v>
      </c>
      <c r="H1770" s="3">
        <f t="shared" si="135"/>
        <v>5683.5261224489814</v>
      </c>
      <c r="I1770" s="1">
        <v>45822</v>
      </c>
      <c r="J1770" t="s">
        <v>46</v>
      </c>
      <c r="K1770" t="s">
        <v>16</v>
      </c>
      <c r="L1770" s="2">
        <f t="shared" si="136"/>
        <v>2841.7630612244907</v>
      </c>
      <c r="M1770" s="4">
        <f t="shared" si="137"/>
        <v>0.69</v>
      </c>
      <c r="N1770" s="1">
        <f t="shared" si="138"/>
        <v>45822</v>
      </c>
      <c r="O1770" s="3">
        <f>(Table13[[#This Row],[Units_Sold]]*Table13[[#This Row],[Unit_Price_Cleaned]]*(1-Table13[[#This Row],[Discount Cleaned]]))</f>
        <v>1761.8930979591846</v>
      </c>
      <c r="P1770" t="str">
        <f t="shared" si="139"/>
        <v>Profit</v>
      </c>
      <c r="Q1770" t="str" cm="1">
        <f t="array" ref="Q1770">IF(K1770="",INDEX($K$2:$K$2501,MATCH(MAX(COUNTIF($K$2:$K$2501,$K$2:$K$2501)),COUNTIF($K$2:$K$2501,$K$2:$K$2501),0)),K1770)</f>
        <v>B2C</v>
      </c>
    </row>
    <row r="1771" spans="1:17" x14ac:dyDescent="0.3">
      <c r="A1771">
        <v>2769</v>
      </c>
      <c r="B1771" t="s">
        <v>1803</v>
      </c>
      <c r="C1771" t="s">
        <v>33</v>
      </c>
      <c r="D1771" t="s">
        <v>82</v>
      </c>
      <c r="E1771">
        <v>2</v>
      </c>
      <c r="H1771" s="3">
        <f t="shared" si="135"/>
        <v>5552.4404000000004</v>
      </c>
      <c r="I1771" s="1">
        <v>45690</v>
      </c>
      <c r="J1771" t="s">
        <v>18</v>
      </c>
      <c r="K1771" t="s">
        <v>23</v>
      </c>
      <c r="L1771" s="2">
        <f t="shared" si="136"/>
        <v>2776.2202000000002</v>
      </c>
      <c r="M1771" s="4">
        <f t="shared" si="137"/>
        <v>0.6</v>
      </c>
      <c r="N1771" s="1">
        <f t="shared" si="138"/>
        <v>45690</v>
      </c>
      <c r="O1771" s="3">
        <f>(Table13[[#This Row],[Units_Sold]]*Table13[[#This Row],[Unit_Price_Cleaned]]*(1-Table13[[#This Row],[Discount Cleaned]]))</f>
        <v>2220.9761600000002</v>
      </c>
      <c r="P1771" t="str">
        <f t="shared" si="139"/>
        <v>Profit</v>
      </c>
      <c r="Q1771" t="str" cm="1">
        <f t="array" ref="Q1771">IF(K1771="",INDEX($K$2:$K$2501,MATCH(MAX(COUNTIF($K$2:$K$2501,$K$2:$K$2501)),COUNTIF($K$2:$K$2501,$K$2:$K$2501),0)),K1771)</f>
        <v>B2B</v>
      </c>
    </row>
    <row r="1772" spans="1:17" x14ac:dyDescent="0.3">
      <c r="A1772">
        <v>2770</v>
      </c>
      <c r="B1772" t="s">
        <v>1804</v>
      </c>
      <c r="C1772" t="s">
        <v>33</v>
      </c>
      <c r="D1772" t="s">
        <v>72</v>
      </c>
      <c r="E1772">
        <v>2</v>
      </c>
      <c r="F1772">
        <v>1439.18</v>
      </c>
      <c r="G1772">
        <v>0.49</v>
      </c>
      <c r="H1772" s="3">
        <f t="shared" si="135"/>
        <v>2878.36</v>
      </c>
      <c r="I1772" s="1">
        <v>45760</v>
      </c>
      <c r="J1772" t="s">
        <v>46</v>
      </c>
      <c r="K1772" t="s">
        <v>16</v>
      </c>
      <c r="L1772" s="2">
        <f t="shared" si="136"/>
        <v>1439.18</v>
      </c>
      <c r="M1772" s="4">
        <f t="shared" si="137"/>
        <v>0.49</v>
      </c>
      <c r="N1772" s="1">
        <f t="shared" si="138"/>
        <v>45760</v>
      </c>
      <c r="O1772" s="3">
        <f>(Table13[[#This Row],[Units_Sold]]*Table13[[#This Row],[Unit_Price_Cleaned]]*(1-Table13[[#This Row],[Discount Cleaned]]))</f>
        <v>1467.9636</v>
      </c>
      <c r="P1772" t="str">
        <f t="shared" si="139"/>
        <v>Profit</v>
      </c>
      <c r="Q1772" t="str" cm="1">
        <f t="array" ref="Q1772">IF(K1772="",INDEX($K$2:$K$2501,MATCH(MAX(COUNTIF($K$2:$K$2501,$K$2:$K$2501)),COUNTIF($K$2:$K$2501,$K$2:$K$2501),0)),K1772)</f>
        <v>B2C</v>
      </c>
    </row>
    <row r="1773" spans="1:17" x14ac:dyDescent="0.3">
      <c r="A1773">
        <v>1032</v>
      </c>
      <c r="B1773" t="s">
        <v>1805</v>
      </c>
      <c r="C1773" t="s">
        <v>25</v>
      </c>
      <c r="D1773" t="s">
        <v>26</v>
      </c>
      <c r="E1773">
        <v>2</v>
      </c>
      <c r="F1773">
        <v>3956.83</v>
      </c>
      <c r="H1773" s="3">
        <f t="shared" si="135"/>
        <v>7913.66</v>
      </c>
      <c r="I1773" s="1">
        <v>45620</v>
      </c>
      <c r="J1773" t="s">
        <v>56</v>
      </c>
      <c r="K1773" t="s">
        <v>23</v>
      </c>
      <c r="L1773" s="2">
        <f t="shared" si="136"/>
        <v>3956.83</v>
      </c>
      <c r="M1773" s="4">
        <f t="shared" si="137"/>
        <v>0.6</v>
      </c>
      <c r="N1773" s="1">
        <f t="shared" si="138"/>
        <v>45620</v>
      </c>
      <c r="O1773" s="3">
        <f>(Table13[[#This Row],[Units_Sold]]*Table13[[#This Row],[Unit_Price_Cleaned]]*(1-Table13[[#This Row],[Discount Cleaned]]))</f>
        <v>3165.4639999999999</v>
      </c>
      <c r="P1773" t="str">
        <f t="shared" si="139"/>
        <v>Profit</v>
      </c>
      <c r="Q1773" t="str" cm="1">
        <f t="array" ref="Q1773">IF(K1773="",INDEX($K$2:$K$2501,MATCH(MAX(COUNTIF($K$2:$K$2501,$K$2:$K$2501)),COUNTIF($K$2:$K$2501,$K$2:$K$2501),0)),K1773)</f>
        <v>B2B</v>
      </c>
    </row>
    <row r="1774" spans="1:17" x14ac:dyDescent="0.3">
      <c r="A1774">
        <v>2772</v>
      </c>
      <c r="B1774" t="s">
        <v>1806</v>
      </c>
      <c r="C1774" t="s">
        <v>13</v>
      </c>
      <c r="D1774" t="s">
        <v>102</v>
      </c>
      <c r="E1774">
        <v>2</v>
      </c>
      <c r="H1774" s="3">
        <f t="shared" si="135"/>
        <v>5152.6113793103432</v>
      </c>
      <c r="I1774" s="1">
        <v>45342</v>
      </c>
      <c r="J1774" t="s">
        <v>56</v>
      </c>
      <c r="K1774" t="s">
        <v>23</v>
      </c>
      <c r="L1774" s="2">
        <f t="shared" si="136"/>
        <v>2576.3056896551716</v>
      </c>
      <c r="M1774" s="4">
        <f t="shared" si="137"/>
        <v>0.6</v>
      </c>
      <c r="N1774" s="1">
        <f t="shared" si="138"/>
        <v>45342</v>
      </c>
      <c r="O1774" s="3">
        <f>(Table13[[#This Row],[Units_Sold]]*Table13[[#This Row],[Unit_Price_Cleaned]]*(1-Table13[[#This Row],[Discount Cleaned]]))</f>
        <v>2061.0445517241374</v>
      </c>
      <c r="P1774" t="str">
        <f t="shared" si="139"/>
        <v>Profit</v>
      </c>
      <c r="Q1774" t="str" cm="1">
        <f t="array" ref="Q1774">IF(K1774="",INDEX($K$2:$K$2501,MATCH(MAX(COUNTIF($K$2:$K$2501,$K$2:$K$2501)),COUNTIF($K$2:$K$2501,$K$2:$K$2501),0)),K1774)</f>
        <v>B2B</v>
      </c>
    </row>
    <row r="1775" spans="1:17" x14ac:dyDescent="0.3">
      <c r="A1775">
        <v>2773</v>
      </c>
      <c r="B1775" t="s">
        <v>1807</v>
      </c>
      <c r="C1775" t="s">
        <v>20</v>
      </c>
      <c r="D1775" t="s">
        <v>80</v>
      </c>
      <c r="E1775">
        <v>2</v>
      </c>
      <c r="H1775" s="3">
        <f t="shared" si="135"/>
        <v>4967.1688000000004</v>
      </c>
      <c r="J1775" t="s">
        <v>18</v>
      </c>
      <c r="K1775" t="s">
        <v>16</v>
      </c>
      <c r="L1775" s="2">
        <f t="shared" si="136"/>
        <v>2483.5844000000002</v>
      </c>
      <c r="M1775" s="4">
        <f t="shared" si="137"/>
        <v>0.6</v>
      </c>
      <c r="N1775" s="1">
        <f t="shared" si="138"/>
        <v>45782</v>
      </c>
      <c r="O1775" s="3">
        <f>(Table13[[#This Row],[Units_Sold]]*Table13[[#This Row],[Unit_Price_Cleaned]]*(1-Table13[[#This Row],[Discount Cleaned]]))</f>
        <v>1986.8675200000002</v>
      </c>
      <c r="P1775" t="str">
        <f t="shared" si="139"/>
        <v>Profit</v>
      </c>
      <c r="Q1775" t="str" cm="1">
        <f t="array" ref="Q1775">IF(K1775="",INDEX($K$2:$K$2501,MATCH(MAX(COUNTIF($K$2:$K$2501,$K$2:$K$2501)),COUNTIF($K$2:$K$2501,$K$2:$K$2501),0)),K1775)</f>
        <v>B2C</v>
      </c>
    </row>
    <row r="1776" spans="1:17" x14ac:dyDescent="0.3">
      <c r="A1776">
        <v>2774</v>
      </c>
      <c r="B1776" t="s">
        <v>1808</v>
      </c>
      <c r="C1776" t="s">
        <v>29</v>
      </c>
      <c r="D1776" t="s">
        <v>42</v>
      </c>
      <c r="E1776">
        <v>2</v>
      </c>
      <c r="H1776" s="3">
        <f t="shared" si="135"/>
        <v>5119.3334615384629</v>
      </c>
      <c r="I1776" s="1">
        <v>45497</v>
      </c>
      <c r="J1776" t="s">
        <v>22</v>
      </c>
      <c r="L1776" s="2">
        <f t="shared" si="136"/>
        <v>2559.6667307692314</v>
      </c>
      <c r="M1776" s="4">
        <f t="shared" si="137"/>
        <v>0.6</v>
      </c>
      <c r="N1776" s="1">
        <f t="shared" si="138"/>
        <v>45497</v>
      </c>
      <c r="O1776" s="3">
        <f>(Table13[[#This Row],[Units_Sold]]*Table13[[#This Row],[Unit_Price_Cleaned]]*(1-Table13[[#This Row],[Discount Cleaned]]))</f>
        <v>2047.7333846153851</v>
      </c>
      <c r="P1776" t="str">
        <f t="shared" si="139"/>
        <v>Profit</v>
      </c>
      <c r="Q1776" t="str" cm="1">
        <f t="array" ref="Q1776">IF(K1776="",INDEX($K$2:$K$2501,MATCH(MAX(COUNTIF($K$2:$K$2501,$K$2:$K$2501)),COUNTIF($K$2:$K$2501,$K$2:$K$2501),0)),K1776)</f>
        <v>B2B</v>
      </c>
    </row>
    <row r="1777" spans="1:17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 s="3">
        <f t="shared" si="135"/>
        <v>12651.918269230773</v>
      </c>
      <c r="I1777" s="1">
        <v>45504</v>
      </c>
      <c r="J1777" t="s">
        <v>18</v>
      </c>
      <c r="K1777" t="s">
        <v>23</v>
      </c>
      <c r="L1777" s="2">
        <f t="shared" si="136"/>
        <v>2530.3836538461546</v>
      </c>
      <c r="M1777" s="4">
        <f t="shared" si="137"/>
        <v>0.46</v>
      </c>
      <c r="N1777" s="1">
        <f t="shared" si="138"/>
        <v>45504</v>
      </c>
      <c r="O1777" s="3">
        <f>(Table13[[#This Row],[Units_Sold]]*Table13[[#This Row],[Unit_Price_Cleaned]]*(1-Table13[[#This Row],[Discount Cleaned]]))</f>
        <v>6832.0358653846179</v>
      </c>
      <c r="P1777" t="str">
        <f t="shared" si="139"/>
        <v>Profit</v>
      </c>
      <c r="Q1777" t="str" cm="1">
        <f t="array" ref="Q1777">IF(K1777="",INDEX($K$2:$K$2501,MATCH(MAX(COUNTIF($K$2:$K$2501,$K$2:$K$2501)),COUNTIF($K$2:$K$2501,$K$2:$K$2501),0)),K1777)</f>
        <v>B2B</v>
      </c>
    </row>
    <row r="1778" spans="1:17" x14ac:dyDescent="0.3">
      <c r="A1778">
        <v>2776</v>
      </c>
      <c r="B1778" t="s">
        <v>1810</v>
      </c>
      <c r="C1778" t="s">
        <v>20</v>
      </c>
      <c r="D1778" t="s">
        <v>122</v>
      </c>
      <c r="E1778">
        <v>2</v>
      </c>
      <c r="F1778">
        <v>891.42</v>
      </c>
      <c r="H1778" s="3">
        <f t="shared" si="135"/>
        <v>1782.84</v>
      </c>
      <c r="I1778" s="1">
        <v>45617</v>
      </c>
      <c r="J1778" t="s">
        <v>22</v>
      </c>
      <c r="K1778" t="s">
        <v>16</v>
      </c>
      <c r="L1778" s="2">
        <f t="shared" si="136"/>
        <v>891.42</v>
      </c>
      <c r="M1778" s="4">
        <f t="shared" si="137"/>
        <v>0.6</v>
      </c>
      <c r="N1778" s="1">
        <f t="shared" si="138"/>
        <v>45617</v>
      </c>
      <c r="O1778" s="3">
        <f>(Table13[[#This Row],[Units_Sold]]*Table13[[#This Row],[Unit_Price_Cleaned]]*(1-Table13[[#This Row],[Discount Cleaned]]))</f>
        <v>713.13599999999997</v>
      </c>
      <c r="P1778" t="str">
        <f t="shared" si="139"/>
        <v>Profit</v>
      </c>
      <c r="Q1778" t="str" cm="1">
        <f t="array" ref="Q1778">IF(K1778="",INDEX($K$2:$K$2501,MATCH(MAX(COUNTIF($K$2:$K$2501,$K$2:$K$2501)),COUNTIF($K$2:$K$2501,$K$2:$K$2501),0)),K1778)</f>
        <v>B2C</v>
      </c>
    </row>
    <row r="1779" spans="1:17" x14ac:dyDescent="0.3">
      <c r="A1779">
        <v>2777</v>
      </c>
      <c r="B1779" t="s">
        <v>1811</v>
      </c>
      <c r="C1779" t="s">
        <v>25</v>
      </c>
      <c r="D1779" t="s">
        <v>54</v>
      </c>
      <c r="E1779">
        <v>2</v>
      </c>
      <c r="G1779">
        <v>0.42</v>
      </c>
      <c r="H1779" s="3">
        <f t="shared" si="135"/>
        <v>5060.7673076923093</v>
      </c>
      <c r="I1779" s="1">
        <v>45638</v>
      </c>
      <c r="J1779" t="s">
        <v>46</v>
      </c>
      <c r="K1779" t="s">
        <v>23</v>
      </c>
      <c r="L1779" s="2">
        <f t="shared" si="136"/>
        <v>2530.3836538461546</v>
      </c>
      <c r="M1779" s="4">
        <f t="shared" si="137"/>
        <v>0.42</v>
      </c>
      <c r="N1779" s="1">
        <f t="shared" si="138"/>
        <v>45638</v>
      </c>
      <c r="O1779" s="3">
        <f>(Table13[[#This Row],[Units_Sold]]*Table13[[#This Row],[Unit_Price_Cleaned]]*(1-Table13[[#This Row],[Discount Cleaned]]))</f>
        <v>2935.2450384615399</v>
      </c>
      <c r="P1779" t="str">
        <f t="shared" si="139"/>
        <v>Profit</v>
      </c>
      <c r="Q1779" t="str" cm="1">
        <f t="array" ref="Q1779">IF(K1779="",INDEX($K$2:$K$2501,MATCH(MAX(COUNTIF($K$2:$K$2501,$K$2:$K$2501)),COUNTIF($K$2:$K$2501,$K$2:$K$2501),0)),K1779)</f>
        <v>B2B</v>
      </c>
    </row>
    <row r="1780" spans="1:17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 s="3">
        <f t="shared" si="135"/>
        <v>0</v>
      </c>
      <c r="I1780" s="1">
        <v>45671</v>
      </c>
      <c r="J1780" t="s">
        <v>18</v>
      </c>
      <c r="L1780" s="2">
        <f t="shared" si="136"/>
        <v>578.58000000000004</v>
      </c>
      <c r="M1780" s="4">
        <f t="shared" si="137"/>
        <v>1.0900000000000001</v>
      </c>
      <c r="N1780" s="1">
        <f t="shared" si="138"/>
        <v>45671</v>
      </c>
      <c r="O1780" s="3">
        <f>(Table13[[#This Row],[Units_Sold]]*Table13[[#This Row],[Unit_Price_Cleaned]]*(1-Table13[[#This Row],[Discount Cleaned]]))</f>
        <v>0</v>
      </c>
      <c r="P1780" t="str">
        <f t="shared" si="139"/>
        <v>Loss</v>
      </c>
      <c r="Q1780" t="str" cm="1">
        <f t="array" ref="Q1780">IF(K1780="",INDEX($K$2:$K$2501,MATCH(MAX(COUNTIF($K$2:$K$2501,$K$2:$K$2501)),COUNTIF($K$2:$K$2501,$K$2:$K$2501),0)),K1780)</f>
        <v>B2B</v>
      </c>
    </row>
    <row r="1781" spans="1:17" x14ac:dyDescent="0.3">
      <c r="A1781">
        <v>2779</v>
      </c>
      <c r="B1781" t="s">
        <v>1813</v>
      </c>
      <c r="C1781" t="s">
        <v>33</v>
      </c>
      <c r="D1781" t="s">
        <v>34</v>
      </c>
      <c r="E1781">
        <v>2</v>
      </c>
      <c r="G1781">
        <v>0.4</v>
      </c>
      <c r="H1781" s="3">
        <f t="shared" si="135"/>
        <v>4974.07923076923</v>
      </c>
      <c r="I1781" s="1">
        <v>45774</v>
      </c>
      <c r="J1781" t="s">
        <v>46</v>
      </c>
      <c r="L1781" s="2">
        <f t="shared" si="136"/>
        <v>2487.039615384615</v>
      </c>
      <c r="M1781" s="4">
        <f t="shared" si="137"/>
        <v>0.4</v>
      </c>
      <c r="N1781" s="1">
        <f t="shared" si="138"/>
        <v>45774</v>
      </c>
      <c r="O1781" s="3">
        <f>(Table13[[#This Row],[Units_Sold]]*Table13[[#This Row],[Unit_Price_Cleaned]]*(1-Table13[[#This Row],[Discount Cleaned]]))</f>
        <v>2984.447538461538</v>
      </c>
      <c r="P1781" t="str">
        <f t="shared" si="139"/>
        <v>Profit</v>
      </c>
      <c r="Q1781" t="str" cm="1">
        <f t="array" ref="Q1781">IF(K1781="",INDEX($K$2:$K$2501,MATCH(MAX(COUNTIF($K$2:$K$2501,$K$2:$K$2501)),COUNTIF($K$2:$K$2501,$K$2:$K$2501),0)),K1781)</f>
        <v>B2B</v>
      </c>
    </row>
    <row r="1782" spans="1:17" x14ac:dyDescent="0.3">
      <c r="A1782">
        <v>2780</v>
      </c>
      <c r="B1782" t="s">
        <v>1814</v>
      </c>
      <c r="C1782" t="s">
        <v>38</v>
      </c>
      <c r="D1782" t="s">
        <v>39</v>
      </c>
      <c r="E1782">
        <v>2</v>
      </c>
      <c r="F1782">
        <v>2534.9</v>
      </c>
      <c r="H1782" s="3">
        <f t="shared" si="135"/>
        <v>5069.8</v>
      </c>
      <c r="I1782" s="1">
        <v>45781</v>
      </c>
      <c r="J1782" t="s">
        <v>18</v>
      </c>
      <c r="K1782" t="s">
        <v>23</v>
      </c>
      <c r="L1782" s="2">
        <f t="shared" si="136"/>
        <v>2534.9</v>
      </c>
      <c r="M1782" s="4">
        <f t="shared" si="137"/>
        <v>0.6</v>
      </c>
      <c r="N1782" s="1">
        <f t="shared" si="138"/>
        <v>45781</v>
      </c>
      <c r="O1782" s="3">
        <f>(Table13[[#This Row],[Units_Sold]]*Table13[[#This Row],[Unit_Price_Cleaned]]*(1-Table13[[#This Row],[Discount Cleaned]]))</f>
        <v>2027.92</v>
      </c>
      <c r="P1782" t="str">
        <f t="shared" si="139"/>
        <v>Profit</v>
      </c>
      <c r="Q1782" t="str" cm="1">
        <f t="array" ref="Q1782">IF(K1782="",INDEX($K$2:$K$2501,MATCH(MAX(COUNTIF($K$2:$K$2501,$K$2:$K$2501)),COUNTIF($K$2:$K$2501,$K$2:$K$2501),0)),K1782)</f>
        <v>B2B</v>
      </c>
    </row>
    <row r="1783" spans="1:17" x14ac:dyDescent="0.3">
      <c r="A1783">
        <v>2781</v>
      </c>
      <c r="B1783" t="s">
        <v>1815</v>
      </c>
      <c r="C1783" t="s">
        <v>13</v>
      </c>
      <c r="D1783" t="s">
        <v>49</v>
      </c>
      <c r="E1783">
        <v>2</v>
      </c>
      <c r="G1783">
        <v>1.07</v>
      </c>
      <c r="H1783" s="3">
        <f t="shared" si="135"/>
        <v>5570.1755932203387</v>
      </c>
      <c r="I1783" s="1">
        <v>45780</v>
      </c>
      <c r="J1783" t="s">
        <v>18</v>
      </c>
      <c r="K1783" t="s">
        <v>16</v>
      </c>
      <c r="L1783" s="2">
        <f t="shared" si="136"/>
        <v>2785.0877966101693</v>
      </c>
      <c r="M1783" s="4">
        <f t="shared" si="137"/>
        <v>1.07</v>
      </c>
      <c r="N1783" s="1">
        <f t="shared" si="138"/>
        <v>45780</v>
      </c>
      <c r="O1783" s="3">
        <f>(Table13[[#This Row],[Units_Sold]]*Table13[[#This Row],[Unit_Price_Cleaned]]*(1-Table13[[#This Row],[Discount Cleaned]]))</f>
        <v>-389.91229152542405</v>
      </c>
      <c r="P1783" t="str">
        <f t="shared" si="139"/>
        <v>Loss</v>
      </c>
      <c r="Q1783" t="str" cm="1">
        <f t="array" ref="Q1783">IF(K1783="",INDEX($K$2:$K$2501,MATCH(MAX(COUNTIF($K$2:$K$2501,$K$2:$K$2501)),COUNTIF($K$2:$K$2501,$K$2:$K$2501),0)),K1783)</f>
        <v>B2C</v>
      </c>
    </row>
    <row r="1784" spans="1:17" x14ac:dyDescent="0.3">
      <c r="A1784">
        <v>2782</v>
      </c>
      <c r="B1784" t="s">
        <v>1816</v>
      </c>
      <c r="C1784" t="s">
        <v>13</v>
      </c>
      <c r="D1784" t="s">
        <v>102</v>
      </c>
      <c r="E1784">
        <v>2</v>
      </c>
      <c r="F1784">
        <v>449.09</v>
      </c>
      <c r="H1784" s="3">
        <f t="shared" si="135"/>
        <v>898.18</v>
      </c>
      <c r="J1784" t="s">
        <v>22</v>
      </c>
      <c r="L1784" s="2">
        <f t="shared" si="136"/>
        <v>449.09</v>
      </c>
      <c r="M1784" s="4">
        <f t="shared" si="137"/>
        <v>0.6</v>
      </c>
      <c r="N1784" s="1">
        <f t="shared" si="138"/>
        <v>45782</v>
      </c>
      <c r="O1784" s="3">
        <f>(Table13[[#This Row],[Units_Sold]]*Table13[[#This Row],[Unit_Price_Cleaned]]*(1-Table13[[#This Row],[Discount Cleaned]]))</f>
        <v>359.27199999999999</v>
      </c>
      <c r="P1784" t="str">
        <f t="shared" si="139"/>
        <v>Loss</v>
      </c>
      <c r="Q1784" t="str" cm="1">
        <f t="array" ref="Q1784">IF(K1784="",INDEX($K$2:$K$2501,MATCH(MAX(COUNTIF($K$2:$K$2501,$K$2:$K$2501)),COUNTIF($K$2:$K$2501,$K$2:$K$2501),0)),K1784)</f>
        <v>B2B</v>
      </c>
    </row>
    <row r="1785" spans="1:17" x14ac:dyDescent="0.3">
      <c r="A1785">
        <v>2783</v>
      </c>
      <c r="B1785" t="s">
        <v>1817</v>
      </c>
      <c r="C1785" t="s">
        <v>29</v>
      </c>
      <c r="D1785" t="s">
        <v>30</v>
      </c>
      <c r="E1785">
        <v>2</v>
      </c>
      <c r="H1785" s="3">
        <f t="shared" si="135"/>
        <v>5235.2780769230776</v>
      </c>
      <c r="I1785" s="1">
        <v>45547</v>
      </c>
      <c r="J1785" t="s">
        <v>22</v>
      </c>
      <c r="K1785" t="s">
        <v>16</v>
      </c>
      <c r="L1785" s="2">
        <f t="shared" si="136"/>
        <v>2617.6390384615388</v>
      </c>
      <c r="M1785" s="4">
        <f t="shared" si="137"/>
        <v>0.6</v>
      </c>
      <c r="N1785" s="1">
        <f t="shared" si="138"/>
        <v>45547</v>
      </c>
      <c r="O1785" s="3">
        <f>(Table13[[#This Row],[Units_Sold]]*Table13[[#This Row],[Unit_Price_Cleaned]]*(1-Table13[[#This Row],[Discount Cleaned]]))</f>
        <v>2094.111230769231</v>
      </c>
      <c r="P1785" t="str">
        <f t="shared" si="139"/>
        <v>Profit</v>
      </c>
      <c r="Q1785" t="str" cm="1">
        <f t="array" ref="Q1785">IF(K1785="",INDEX($K$2:$K$2501,MATCH(MAX(COUNTIF($K$2:$K$2501,$K$2:$K$2501)),COUNTIF($K$2:$K$2501,$K$2:$K$2501),0)),K1785)</f>
        <v>B2C</v>
      </c>
    </row>
    <row r="1786" spans="1:17" x14ac:dyDescent="0.3">
      <c r="A1786">
        <v>2784</v>
      </c>
      <c r="B1786" t="s">
        <v>1818</v>
      </c>
      <c r="C1786" t="s">
        <v>20</v>
      </c>
      <c r="D1786" t="s">
        <v>80</v>
      </c>
      <c r="E1786">
        <v>2</v>
      </c>
      <c r="H1786" s="3">
        <f t="shared" si="135"/>
        <v>4967.1688000000004</v>
      </c>
      <c r="I1786" s="1">
        <v>45660</v>
      </c>
      <c r="J1786" t="s">
        <v>46</v>
      </c>
      <c r="K1786" t="s">
        <v>16</v>
      </c>
      <c r="L1786" s="2">
        <f t="shared" si="136"/>
        <v>2483.5844000000002</v>
      </c>
      <c r="M1786" s="4">
        <f t="shared" si="137"/>
        <v>0.6</v>
      </c>
      <c r="N1786" s="1">
        <f t="shared" si="138"/>
        <v>45660</v>
      </c>
      <c r="O1786" s="3">
        <f>(Table13[[#This Row],[Units_Sold]]*Table13[[#This Row],[Unit_Price_Cleaned]]*(1-Table13[[#This Row],[Discount Cleaned]]))</f>
        <v>1986.8675200000002</v>
      </c>
      <c r="P1786" t="str">
        <f t="shared" si="139"/>
        <v>Profit</v>
      </c>
      <c r="Q1786" t="str" cm="1">
        <f t="array" ref="Q1786">IF(K1786="",INDEX($K$2:$K$2501,MATCH(MAX(COUNTIF($K$2:$K$2501,$K$2:$K$2501)),COUNTIF($K$2:$K$2501,$K$2:$K$2501),0)),K1786)</f>
        <v>B2C</v>
      </c>
    </row>
    <row r="1787" spans="1:17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 s="3">
        <f t="shared" si="135"/>
        <v>0</v>
      </c>
      <c r="I1787" s="1">
        <v>45569</v>
      </c>
      <c r="J1787" t="s">
        <v>22</v>
      </c>
      <c r="L1787" s="2">
        <f t="shared" si="136"/>
        <v>2530.3836538461546</v>
      </c>
      <c r="M1787" s="4">
        <f t="shared" si="137"/>
        <v>0.6</v>
      </c>
      <c r="N1787" s="1">
        <f t="shared" si="138"/>
        <v>45569</v>
      </c>
      <c r="O1787" s="3">
        <f>(Table13[[#This Row],[Units_Sold]]*Table13[[#This Row],[Unit_Price_Cleaned]]*(1-Table13[[#This Row],[Discount Cleaned]]))</f>
        <v>0</v>
      </c>
      <c r="P1787" t="str">
        <f t="shared" si="139"/>
        <v>Loss</v>
      </c>
      <c r="Q1787" t="str" cm="1">
        <f t="array" ref="Q1787">IF(K1787="",INDEX($K$2:$K$2501,MATCH(MAX(COUNTIF($K$2:$K$2501,$K$2:$K$2501)),COUNTIF($K$2:$K$2501,$K$2:$K$2501),0)),K1787)</f>
        <v>B2B</v>
      </c>
    </row>
    <row r="1788" spans="1:17" x14ac:dyDescent="0.3">
      <c r="A1788">
        <v>1026</v>
      </c>
      <c r="B1788" t="s">
        <v>1820</v>
      </c>
      <c r="C1788" t="s">
        <v>20</v>
      </c>
      <c r="D1788" t="s">
        <v>88</v>
      </c>
      <c r="E1788">
        <v>2</v>
      </c>
      <c r="G1788">
        <v>0.03</v>
      </c>
      <c r="H1788" s="3">
        <f t="shared" si="135"/>
        <v>5451.7114285714297</v>
      </c>
      <c r="I1788" s="1">
        <v>45561</v>
      </c>
      <c r="J1788" t="s">
        <v>15</v>
      </c>
      <c r="L1788" s="2">
        <f t="shared" si="136"/>
        <v>2725.8557142857148</v>
      </c>
      <c r="M1788" s="4">
        <f t="shared" si="137"/>
        <v>0.03</v>
      </c>
      <c r="N1788" s="1">
        <f t="shared" si="138"/>
        <v>45561</v>
      </c>
      <c r="O1788" s="3">
        <f>(Table13[[#This Row],[Units_Sold]]*Table13[[#This Row],[Unit_Price_Cleaned]]*(1-Table13[[#This Row],[Discount Cleaned]]))</f>
        <v>5288.1600857142867</v>
      </c>
      <c r="P1788" t="str">
        <f t="shared" si="139"/>
        <v>Profit</v>
      </c>
      <c r="Q1788" t="str" cm="1">
        <f t="array" ref="Q1788">IF(K1788="",INDEX($K$2:$K$2501,MATCH(MAX(COUNTIF($K$2:$K$2501,$K$2:$K$2501)),COUNTIF($K$2:$K$2501,$K$2:$K$2501),0)),K1788)</f>
        <v>B2B</v>
      </c>
    </row>
    <row r="1789" spans="1:17" x14ac:dyDescent="0.3">
      <c r="A1789">
        <v>2787</v>
      </c>
      <c r="B1789" t="s">
        <v>1821</v>
      </c>
      <c r="C1789" t="s">
        <v>29</v>
      </c>
      <c r="D1789" t="s">
        <v>141</v>
      </c>
      <c r="E1789">
        <v>2</v>
      </c>
      <c r="H1789" s="3">
        <f t="shared" si="135"/>
        <v>4925.58</v>
      </c>
      <c r="J1789" t="s">
        <v>56</v>
      </c>
      <c r="L1789" s="2">
        <f t="shared" si="136"/>
        <v>2462.79</v>
      </c>
      <c r="M1789" s="4">
        <f t="shared" si="137"/>
        <v>0.6</v>
      </c>
      <c r="N1789" s="1">
        <f t="shared" si="138"/>
        <v>45782</v>
      </c>
      <c r="O1789" s="3">
        <f>(Table13[[#This Row],[Units_Sold]]*Table13[[#This Row],[Unit_Price_Cleaned]]*(1-Table13[[#This Row],[Discount Cleaned]]))</f>
        <v>1970.232</v>
      </c>
      <c r="P1789" t="str">
        <f t="shared" si="139"/>
        <v>Profit</v>
      </c>
      <c r="Q1789" t="str" cm="1">
        <f t="array" ref="Q1789">IF(K1789="",INDEX($K$2:$K$2501,MATCH(MAX(COUNTIF($K$2:$K$2501,$K$2:$K$2501)),COUNTIF($K$2:$K$2501,$K$2:$K$2501),0)),K1789)</f>
        <v>B2B</v>
      </c>
    </row>
    <row r="1790" spans="1:17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 s="3">
        <f t="shared" si="135"/>
        <v>-3267.28</v>
      </c>
      <c r="I1790" s="1">
        <v>45742</v>
      </c>
      <c r="J1790" t="s">
        <v>40</v>
      </c>
      <c r="K1790" t="s">
        <v>23</v>
      </c>
      <c r="L1790" s="2">
        <f t="shared" si="136"/>
        <v>3267.28</v>
      </c>
      <c r="M1790" s="4">
        <f t="shared" si="137"/>
        <v>0.6</v>
      </c>
      <c r="N1790" s="1">
        <f t="shared" si="138"/>
        <v>45742</v>
      </c>
      <c r="O1790" s="3">
        <f>(Table13[[#This Row],[Units_Sold]]*Table13[[#This Row],[Unit_Price_Cleaned]]*(1-Table13[[#This Row],[Discount Cleaned]]))</f>
        <v>-1306.9120000000003</v>
      </c>
      <c r="P1790" t="str">
        <f t="shared" si="139"/>
        <v>Loss</v>
      </c>
      <c r="Q1790" t="str" cm="1">
        <f t="array" ref="Q1790">IF(K1790="",INDEX($K$2:$K$2501,MATCH(MAX(COUNTIF($K$2:$K$2501,$K$2:$K$2501)),COUNTIF($K$2:$K$2501,$K$2:$K$2501),0)),K1790)</f>
        <v>B2B</v>
      </c>
    </row>
    <row r="1791" spans="1:17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 s="3">
        <f t="shared" si="135"/>
        <v>11206.68</v>
      </c>
      <c r="J1791" t="s">
        <v>46</v>
      </c>
      <c r="K1791" t="s">
        <v>16</v>
      </c>
      <c r="L1791" s="2">
        <f t="shared" si="136"/>
        <v>3735.56</v>
      </c>
      <c r="M1791" s="4">
        <f t="shared" si="137"/>
        <v>0.6</v>
      </c>
      <c r="N1791" s="1">
        <f t="shared" si="138"/>
        <v>45782</v>
      </c>
      <c r="O1791" s="3">
        <f>(Table13[[#This Row],[Units_Sold]]*Table13[[#This Row],[Unit_Price_Cleaned]]*(1-Table13[[#This Row],[Discount Cleaned]]))</f>
        <v>4482.6720000000005</v>
      </c>
      <c r="P1791" t="str">
        <f t="shared" si="139"/>
        <v>Profit</v>
      </c>
      <c r="Q1791" t="str" cm="1">
        <f t="array" ref="Q1791">IF(K1791="",INDEX($K$2:$K$2501,MATCH(MAX(COUNTIF($K$2:$K$2501,$K$2:$K$2501)),COUNTIF($K$2:$K$2501,$K$2:$K$2501),0)),K1791)</f>
        <v>B2C</v>
      </c>
    </row>
    <row r="1792" spans="1:17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 s="3">
        <f t="shared" si="135"/>
        <v>8025.8099999999995</v>
      </c>
      <c r="I1792" s="1">
        <v>45605</v>
      </c>
      <c r="J1792" t="s">
        <v>15</v>
      </c>
      <c r="K1792" t="s">
        <v>23</v>
      </c>
      <c r="L1792" s="2">
        <f t="shared" si="136"/>
        <v>2675.27</v>
      </c>
      <c r="M1792" s="4">
        <f t="shared" si="137"/>
        <v>0.41</v>
      </c>
      <c r="N1792" s="1">
        <f t="shared" si="138"/>
        <v>45605</v>
      </c>
      <c r="O1792" s="3">
        <f>(Table13[[#This Row],[Units_Sold]]*Table13[[#This Row],[Unit_Price_Cleaned]]*(1-Table13[[#This Row],[Discount Cleaned]]))</f>
        <v>4735.2279000000008</v>
      </c>
      <c r="P1792" t="str">
        <f t="shared" si="139"/>
        <v>Profit</v>
      </c>
      <c r="Q1792" t="str" cm="1">
        <f t="array" ref="Q1792">IF(K1792="",INDEX($K$2:$K$2501,MATCH(MAX(COUNTIF($K$2:$K$2501,$K$2:$K$2501)),COUNTIF($K$2:$K$2501,$K$2:$K$2501),0)),K1792)</f>
        <v>B2B</v>
      </c>
    </row>
    <row r="1793" spans="1:17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 s="3">
        <f t="shared" si="135"/>
        <v>8146.6375471698075</v>
      </c>
      <c r="I1793" s="1">
        <v>45604</v>
      </c>
      <c r="J1793" t="s">
        <v>46</v>
      </c>
      <c r="L1793" s="2">
        <f t="shared" si="136"/>
        <v>2715.5458490566025</v>
      </c>
      <c r="M1793" s="4">
        <f t="shared" si="137"/>
        <v>0.6</v>
      </c>
      <c r="N1793" s="1">
        <f t="shared" si="138"/>
        <v>45604</v>
      </c>
      <c r="O1793" s="3">
        <f>(Table13[[#This Row],[Units_Sold]]*Table13[[#This Row],[Unit_Price_Cleaned]]*(1-Table13[[#This Row],[Discount Cleaned]]))</f>
        <v>3258.655018867923</v>
      </c>
      <c r="P1793" t="str">
        <f t="shared" si="139"/>
        <v>Profit</v>
      </c>
      <c r="Q1793" t="str" cm="1">
        <f t="array" ref="Q1793">IF(K1793="",INDEX($K$2:$K$2501,MATCH(MAX(COUNTIF($K$2:$K$2501,$K$2:$K$2501)),COUNTIF($K$2:$K$2501,$K$2:$K$2501),0)),K1793)</f>
        <v>B2B</v>
      </c>
    </row>
    <row r="1794" spans="1:17" x14ac:dyDescent="0.3">
      <c r="A1794">
        <v>2792</v>
      </c>
      <c r="B1794" t="s">
        <v>1826</v>
      </c>
      <c r="C1794" t="s">
        <v>33</v>
      </c>
      <c r="D1794" t="s">
        <v>82</v>
      </c>
      <c r="E1794">
        <v>2</v>
      </c>
      <c r="F1794">
        <v>1039.1500000000001</v>
      </c>
      <c r="H1794" s="3">
        <f t="shared" ref="H1794:H1857" si="140">(L1794*E1794)</f>
        <v>2078.3000000000002</v>
      </c>
      <c r="J1794" t="s">
        <v>46</v>
      </c>
      <c r="K1794" t="s">
        <v>16</v>
      </c>
      <c r="L1794" s="2">
        <f t="shared" ref="L1794:L1857" si="141">IF(F1794="",AVERAGEIF($D$2:$D$2501,D1794,$F$2:$F$2501),F1794)</f>
        <v>1039.1500000000001</v>
      </c>
      <c r="M1794" s="4">
        <f t="shared" ref="M1794:M1857" si="142">IF(G1794="",MEDIAN($G$2,$G$2501),G1794)</f>
        <v>0.6</v>
      </c>
      <c r="N1794" s="1">
        <f t="shared" ref="N1794:N1857" si="143">IF(I1794="",MODE($I$32:$I$2501),I1794)</f>
        <v>45782</v>
      </c>
      <c r="O1794" s="3">
        <f>(Table13[[#This Row],[Units_Sold]]*Table13[[#This Row],[Unit_Price_Cleaned]]*(1-Table13[[#This Row],[Discount Cleaned]]))</f>
        <v>831.32000000000016</v>
      </c>
      <c r="P1794" t="str">
        <f t="shared" ref="P1794:P1857" si="144">IF(O1794&gt;500,"Profit","Loss")</f>
        <v>Profit</v>
      </c>
      <c r="Q1794" t="str" cm="1">
        <f t="array" ref="Q1794">IF(K1794="",INDEX($K$2:$K$2501,MATCH(MAX(COUNTIF($K$2:$K$2501,$K$2:$K$2501)),COUNTIF($K$2:$K$2501,$K$2:$K$2501),0)),K1794)</f>
        <v>B2C</v>
      </c>
    </row>
    <row r="1795" spans="1:17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 s="3">
        <f t="shared" si="140"/>
        <v>-9672.94</v>
      </c>
      <c r="I1795" s="1">
        <v>45735</v>
      </c>
      <c r="J1795" t="s">
        <v>18</v>
      </c>
      <c r="K1795" t="s">
        <v>16</v>
      </c>
      <c r="L1795" s="2">
        <f t="shared" si="141"/>
        <v>4836.47</v>
      </c>
      <c r="M1795" s="4">
        <f t="shared" si="142"/>
        <v>0.6</v>
      </c>
      <c r="N1795" s="1">
        <f t="shared" si="143"/>
        <v>45735</v>
      </c>
      <c r="O1795" s="3">
        <f>(Table13[[#This Row],[Units_Sold]]*Table13[[#This Row],[Unit_Price_Cleaned]]*(1-Table13[[#This Row],[Discount Cleaned]]))</f>
        <v>-3869.1760000000004</v>
      </c>
      <c r="P1795" t="str">
        <f t="shared" si="144"/>
        <v>Loss</v>
      </c>
      <c r="Q1795" t="str" cm="1">
        <f t="array" ref="Q1795">IF(K1795="",INDEX($K$2:$K$2501,MATCH(MAX(COUNTIF($K$2:$K$2501,$K$2:$K$2501)),COUNTIF($K$2:$K$2501,$K$2:$K$2501),0)),K1795)</f>
        <v>B2C</v>
      </c>
    </row>
    <row r="1796" spans="1:17" x14ac:dyDescent="0.3">
      <c r="A1796">
        <v>2794</v>
      </c>
      <c r="B1796" t="s">
        <v>1828</v>
      </c>
      <c r="C1796" t="s">
        <v>38</v>
      </c>
      <c r="D1796" t="s">
        <v>91</v>
      </c>
      <c r="E1796">
        <v>2</v>
      </c>
      <c r="H1796" s="3">
        <f t="shared" si="140"/>
        <v>5737.5536363636356</v>
      </c>
      <c r="I1796" s="1">
        <v>45685</v>
      </c>
      <c r="J1796" t="s">
        <v>40</v>
      </c>
      <c r="K1796" t="s">
        <v>16</v>
      </c>
      <c r="L1796" s="2">
        <f t="shared" si="141"/>
        <v>2868.7768181818178</v>
      </c>
      <c r="M1796" s="4">
        <f t="shared" si="142"/>
        <v>0.6</v>
      </c>
      <c r="N1796" s="1">
        <f t="shared" si="143"/>
        <v>45685</v>
      </c>
      <c r="O1796" s="3">
        <f>(Table13[[#This Row],[Units_Sold]]*Table13[[#This Row],[Unit_Price_Cleaned]]*(1-Table13[[#This Row],[Discount Cleaned]]))</f>
        <v>2295.0214545454542</v>
      </c>
      <c r="P1796" t="str">
        <f t="shared" si="144"/>
        <v>Profit</v>
      </c>
      <c r="Q1796" t="str" cm="1">
        <f t="array" ref="Q1796">IF(K1796="",INDEX($K$2:$K$2501,MATCH(MAX(COUNTIF($K$2:$K$2501,$K$2:$K$2501)),COUNTIF($K$2:$K$2501,$K$2:$K$2501),0)),K1796)</f>
        <v>B2C</v>
      </c>
    </row>
    <row r="1797" spans="1:17" x14ac:dyDescent="0.3">
      <c r="A1797">
        <v>2795</v>
      </c>
      <c r="B1797" t="s">
        <v>1829</v>
      </c>
      <c r="C1797" t="s">
        <v>13</v>
      </c>
      <c r="D1797" t="s">
        <v>36</v>
      </c>
      <c r="E1797">
        <v>2</v>
      </c>
      <c r="H1797" s="3">
        <f t="shared" si="140"/>
        <v>5765.0093103448271</v>
      </c>
      <c r="J1797" t="s">
        <v>22</v>
      </c>
      <c r="K1797" t="s">
        <v>16</v>
      </c>
      <c r="L1797" s="2">
        <f t="shared" si="141"/>
        <v>2882.5046551724135</v>
      </c>
      <c r="M1797" s="4">
        <f t="shared" si="142"/>
        <v>0.6</v>
      </c>
      <c r="N1797" s="1">
        <f t="shared" si="143"/>
        <v>45782</v>
      </c>
      <c r="O1797" s="3">
        <f>(Table13[[#This Row],[Units_Sold]]*Table13[[#This Row],[Unit_Price_Cleaned]]*(1-Table13[[#This Row],[Discount Cleaned]]))</f>
        <v>2306.0037241379309</v>
      </c>
      <c r="P1797" t="str">
        <f t="shared" si="144"/>
        <v>Profit</v>
      </c>
      <c r="Q1797" t="str" cm="1">
        <f t="array" ref="Q1797">IF(K1797="",INDEX($K$2:$K$2501,MATCH(MAX(COUNTIF($K$2:$K$2501,$K$2:$K$2501)),COUNTIF($K$2:$K$2501,$K$2:$K$2501),0)),K1797)</f>
        <v>B2C</v>
      </c>
    </row>
    <row r="1798" spans="1:17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 s="3">
        <f t="shared" si="140"/>
        <v>8043.5230909090906</v>
      </c>
      <c r="J1798" t="s">
        <v>15</v>
      </c>
      <c r="L1798" s="2">
        <f t="shared" si="141"/>
        <v>2681.1743636363635</v>
      </c>
      <c r="M1798" s="4">
        <f t="shared" si="142"/>
        <v>0.6</v>
      </c>
      <c r="N1798" s="1">
        <f t="shared" si="143"/>
        <v>45782</v>
      </c>
      <c r="O1798" s="3">
        <f>(Table13[[#This Row],[Units_Sold]]*Table13[[#This Row],[Unit_Price_Cleaned]]*(1-Table13[[#This Row],[Discount Cleaned]]))</f>
        <v>3217.4092363636364</v>
      </c>
      <c r="P1798" t="str">
        <f t="shared" si="144"/>
        <v>Profit</v>
      </c>
      <c r="Q1798" t="str" cm="1">
        <f t="array" ref="Q1798">IF(K1798="",INDEX($K$2:$K$2501,MATCH(MAX(COUNTIF($K$2:$K$2501,$K$2:$K$2501)),COUNTIF($K$2:$K$2501,$K$2:$K$2501),0)),K1798)</f>
        <v>B2B</v>
      </c>
    </row>
    <row r="1799" spans="1:17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 s="3">
        <f t="shared" si="140"/>
        <v>-1257.81</v>
      </c>
      <c r="I1799" s="1">
        <v>45796</v>
      </c>
      <c r="J1799" t="s">
        <v>18</v>
      </c>
      <c r="K1799" t="s">
        <v>16</v>
      </c>
      <c r="L1799" s="2">
        <f t="shared" si="141"/>
        <v>1257.81</v>
      </c>
      <c r="M1799" s="4">
        <f t="shared" si="142"/>
        <v>0.6</v>
      </c>
      <c r="N1799" s="1">
        <f t="shared" si="143"/>
        <v>45796</v>
      </c>
      <c r="O1799" s="3">
        <f>(Table13[[#This Row],[Units_Sold]]*Table13[[#This Row],[Unit_Price_Cleaned]]*(1-Table13[[#This Row],[Discount Cleaned]]))</f>
        <v>-503.12400000000002</v>
      </c>
      <c r="P1799" t="str">
        <f t="shared" si="144"/>
        <v>Loss</v>
      </c>
      <c r="Q1799" t="str" cm="1">
        <f t="array" ref="Q1799">IF(K1799="",INDEX($K$2:$K$2501,MATCH(MAX(COUNTIF($K$2:$K$2501,$K$2:$K$2501)),COUNTIF($K$2:$K$2501,$K$2:$K$2501),0)),K1799)</f>
        <v>B2C</v>
      </c>
    </row>
    <row r="1800" spans="1:17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 s="3">
        <f t="shared" si="140"/>
        <v>0</v>
      </c>
      <c r="I1800" s="1">
        <v>45731</v>
      </c>
      <c r="J1800" t="s">
        <v>46</v>
      </c>
      <c r="K1800" t="s">
        <v>16</v>
      </c>
      <c r="L1800" s="2">
        <f t="shared" si="141"/>
        <v>2845.2419672131159</v>
      </c>
      <c r="M1800" s="4">
        <f t="shared" si="142"/>
        <v>0.6</v>
      </c>
      <c r="N1800" s="1">
        <f t="shared" si="143"/>
        <v>45731</v>
      </c>
      <c r="O1800" s="3">
        <f>(Table13[[#This Row],[Units_Sold]]*Table13[[#This Row],[Unit_Price_Cleaned]]*(1-Table13[[#This Row],[Discount Cleaned]]))</f>
        <v>0</v>
      </c>
      <c r="P1800" t="str">
        <f t="shared" si="144"/>
        <v>Loss</v>
      </c>
      <c r="Q1800" t="str" cm="1">
        <f t="array" ref="Q1800">IF(K1800="",INDEX($K$2:$K$2501,MATCH(MAX(COUNTIF($K$2:$K$2501,$K$2:$K$2501)),COUNTIF($K$2:$K$2501,$K$2:$K$2501),0)),K1800)</f>
        <v>B2C</v>
      </c>
    </row>
    <row r="1801" spans="1:17" x14ac:dyDescent="0.3">
      <c r="A1801">
        <v>2799</v>
      </c>
      <c r="B1801" t="s">
        <v>1833</v>
      </c>
      <c r="C1801" t="s">
        <v>33</v>
      </c>
      <c r="D1801" t="s">
        <v>72</v>
      </c>
      <c r="E1801">
        <v>2</v>
      </c>
      <c r="H1801" s="3">
        <f t="shared" si="140"/>
        <v>5431.091698113205</v>
      </c>
      <c r="I1801" s="1">
        <v>45735</v>
      </c>
      <c r="J1801" t="s">
        <v>46</v>
      </c>
      <c r="L1801" s="2">
        <f t="shared" si="141"/>
        <v>2715.5458490566025</v>
      </c>
      <c r="M1801" s="4">
        <f t="shared" si="142"/>
        <v>0.6</v>
      </c>
      <c r="N1801" s="1">
        <f t="shared" si="143"/>
        <v>45735</v>
      </c>
      <c r="O1801" s="3">
        <f>(Table13[[#This Row],[Units_Sold]]*Table13[[#This Row],[Unit_Price_Cleaned]]*(1-Table13[[#This Row],[Discount Cleaned]]))</f>
        <v>2172.436679245282</v>
      </c>
      <c r="P1801" t="str">
        <f t="shared" si="144"/>
        <v>Profit</v>
      </c>
      <c r="Q1801" t="str" cm="1">
        <f t="array" ref="Q1801">IF(K1801="",INDEX($K$2:$K$2501,MATCH(MAX(COUNTIF($K$2:$K$2501,$K$2:$K$2501)),COUNTIF($K$2:$K$2501,$K$2:$K$2501),0)),K1801)</f>
        <v>B2B</v>
      </c>
    </row>
    <row r="1802" spans="1:17" x14ac:dyDescent="0.3">
      <c r="A1802">
        <v>2800</v>
      </c>
      <c r="B1802" t="s">
        <v>1834</v>
      </c>
      <c r="C1802" t="s">
        <v>13</v>
      </c>
      <c r="D1802" t="s">
        <v>36</v>
      </c>
      <c r="E1802">
        <v>2</v>
      </c>
      <c r="F1802">
        <v>3410.38</v>
      </c>
      <c r="H1802" s="3">
        <f t="shared" si="140"/>
        <v>6820.76</v>
      </c>
      <c r="I1802" s="1">
        <v>45539</v>
      </c>
      <c r="J1802" t="s">
        <v>56</v>
      </c>
      <c r="L1802" s="2">
        <f t="shared" si="141"/>
        <v>3410.38</v>
      </c>
      <c r="M1802" s="4">
        <f t="shared" si="142"/>
        <v>0.6</v>
      </c>
      <c r="N1802" s="1">
        <f t="shared" si="143"/>
        <v>45539</v>
      </c>
      <c r="O1802" s="3">
        <f>(Table13[[#This Row],[Units_Sold]]*Table13[[#This Row],[Unit_Price_Cleaned]]*(1-Table13[[#This Row],[Discount Cleaned]]))</f>
        <v>2728.3040000000001</v>
      </c>
      <c r="P1802" t="str">
        <f t="shared" si="144"/>
        <v>Profit</v>
      </c>
      <c r="Q1802" t="str" cm="1">
        <f t="array" ref="Q1802">IF(K1802="",INDEX($K$2:$K$2501,MATCH(MAX(COUNTIF($K$2:$K$2501,$K$2:$K$2501)),COUNTIF($K$2:$K$2501,$K$2:$K$2501),0)),K1802)</f>
        <v>B2B</v>
      </c>
    </row>
    <row r="1803" spans="1:17" x14ac:dyDescent="0.3">
      <c r="A1803">
        <v>2801</v>
      </c>
      <c r="B1803" t="s">
        <v>1835</v>
      </c>
      <c r="C1803" t="s">
        <v>29</v>
      </c>
      <c r="D1803" t="s">
        <v>120</v>
      </c>
      <c r="E1803">
        <v>2</v>
      </c>
      <c r="F1803">
        <v>1870.82</v>
      </c>
      <c r="H1803" s="3">
        <f t="shared" si="140"/>
        <v>3741.64</v>
      </c>
      <c r="J1803" t="s">
        <v>18</v>
      </c>
      <c r="L1803" s="2">
        <f t="shared" si="141"/>
        <v>1870.82</v>
      </c>
      <c r="M1803" s="4">
        <f t="shared" si="142"/>
        <v>0.6</v>
      </c>
      <c r="N1803" s="1">
        <f t="shared" si="143"/>
        <v>45782</v>
      </c>
      <c r="O1803" s="3">
        <f>(Table13[[#This Row],[Units_Sold]]*Table13[[#This Row],[Unit_Price_Cleaned]]*(1-Table13[[#This Row],[Discount Cleaned]]))</f>
        <v>1496.6559999999999</v>
      </c>
      <c r="P1803" t="str">
        <f t="shared" si="144"/>
        <v>Profit</v>
      </c>
      <c r="Q1803" t="str" cm="1">
        <f t="array" ref="Q1803">IF(K1803="",INDEX($K$2:$K$2501,MATCH(MAX(COUNTIF($K$2:$K$2501,$K$2:$K$2501)),COUNTIF($K$2:$K$2501,$K$2:$K$2501),0)),K1803)</f>
        <v>B2B</v>
      </c>
    </row>
    <row r="1804" spans="1:17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 s="3">
        <f t="shared" si="140"/>
        <v>-2530.3836538461546</v>
      </c>
      <c r="J1804" t="s">
        <v>40</v>
      </c>
      <c r="L1804" s="2">
        <f t="shared" si="141"/>
        <v>2530.3836538461546</v>
      </c>
      <c r="M1804" s="4">
        <f t="shared" si="142"/>
        <v>0.6</v>
      </c>
      <c r="N1804" s="1">
        <f t="shared" si="143"/>
        <v>45782</v>
      </c>
      <c r="O1804" s="3">
        <f>(Table13[[#This Row],[Units_Sold]]*Table13[[#This Row],[Unit_Price_Cleaned]]*(1-Table13[[#This Row],[Discount Cleaned]]))</f>
        <v>-1012.1534615384619</v>
      </c>
      <c r="P1804" t="str">
        <f t="shared" si="144"/>
        <v>Loss</v>
      </c>
      <c r="Q1804" t="str" cm="1">
        <f t="array" ref="Q1804">IF(K1804="",INDEX($K$2:$K$2501,MATCH(MAX(COUNTIF($K$2:$K$2501,$K$2:$K$2501)),COUNTIF($K$2:$K$2501,$K$2:$K$2501),0)),K1804)</f>
        <v>B2B</v>
      </c>
    </row>
    <row r="1805" spans="1:17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 s="3">
        <f t="shared" si="140"/>
        <v>22093.75</v>
      </c>
      <c r="I1805" s="1">
        <v>45151</v>
      </c>
      <c r="J1805" t="s">
        <v>40</v>
      </c>
      <c r="L1805" s="2">
        <f t="shared" si="141"/>
        <v>4418.75</v>
      </c>
      <c r="M1805" s="4">
        <f t="shared" si="142"/>
        <v>0.6</v>
      </c>
      <c r="N1805" s="1">
        <f t="shared" si="143"/>
        <v>45151</v>
      </c>
      <c r="O1805" s="3">
        <f>(Table13[[#This Row],[Units_Sold]]*Table13[[#This Row],[Unit_Price_Cleaned]]*(1-Table13[[#This Row],[Discount Cleaned]]))</f>
        <v>8837.5</v>
      </c>
      <c r="P1805" t="str">
        <f t="shared" si="144"/>
        <v>Profit</v>
      </c>
      <c r="Q1805" t="str" cm="1">
        <f t="array" ref="Q1805">IF(K1805="",INDEX($K$2:$K$2501,MATCH(MAX(COUNTIF($K$2:$K$2501,$K$2:$K$2501)),COUNTIF($K$2:$K$2501,$K$2:$K$2501),0)),K1805)</f>
        <v>B2B</v>
      </c>
    </row>
    <row r="1806" spans="1:17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 s="3">
        <f t="shared" si="140"/>
        <v>28704</v>
      </c>
      <c r="I1806" s="1">
        <v>45732</v>
      </c>
      <c r="J1806" t="s">
        <v>22</v>
      </c>
      <c r="K1806" t="s">
        <v>23</v>
      </c>
      <c r="L1806" s="2">
        <f t="shared" si="141"/>
        <v>4784</v>
      </c>
      <c r="M1806" s="4">
        <f t="shared" si="142"/>
        <v>0.6</v>
      </c>
      <c r="N1806" s="1">
        <f t="shared" si="143"/>
        <v>45732</v>
      </c>
      <c r="O1806" s="3">
        <f>(Table13[[#This Row],[Units_Sold]]*Table13[[#This Row],[Unit_Price_Cleaned]]*(1-Table13[[#This Row],[Discount Cleaned]]))</f>
        <v>11481.6</v>
      </c>
      <c r="P1806" t="str">
        <f t="shared" si="144"/>
        <v>Profit</v>
      </c>
      <c r="Q1806" t="str" cm="1">
        <f t="array" ref="Q1806">IF(K1806="",INDEX($K$2:$K$2501,MATCH(MAX(COUNTIF($K$2:$K$2501,$K$2:$K$2501)),COUNTIF($K$2:$K$2501,$K$2:$K$2501),0)),K1806)</f>
        <v>B2B</v>
      </c>
    </row>
    <row r="1807" spans="1:17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 s="3">
        <f t="shared" si="140"/>
        <v>0</v>
      </c>
      <c r="I1807" s="1">
        <v>45801</v>
      </c>
      <c r="J1807" t="s">
        <v>40</v>
      </c>
      <c r="K1807" t="s">
        <v>23</v>
      </c>
      <c r="L1807" s="2">
        <f t="shared" si="141"/>
        <v>4930.08</v>
      </c>
      <c r="M1807" s="4">
        <f t="shared" si="142"/>
        <v>0.92</v>
      </c>
      <c r="N1807" s="1">
        <f t="shared" si="143"/>
        <v>45801</v>
      </c>
      <c r="O1807" s="3">
        <f>(Table13[[#This Row],[Units_Sold]]*Table13[[#This Row],[Unit_Price_Cleaned]]*(1-Table13[[#This Row],[Discount Cleaned]]))</f>
        <v>0</v>
      </c>
      <c r="P1807" t="str">
        <f t="shared" si="144"/>
        <v>Loss</v>
      </c>
      <c r="Q1807" t="str" cm="1">
        <f t="array" ref="Q1807">IF(K1807="",INDEX($K$2:$K$2501,MATCH(MAX(COUNTIF($K$2:$K$2501,$K$2:$K$2501)),COUNTIF($K$2:$K$2501,$K$2:$K$2501),0)),K1807)</f>
        <v>B2B</v>
      </c>
    </row>
    <row r="1808" spans="1:17" x14ac:dyDescent="0.3">
      <c r="A1808">
        <v>2806</v>
      </c>
      <c r="B1808" t="s">
        <v>1840</v>
      </c>
      <c r="C1808" t="s">
        <v>13</v>
      </c>
      <c r="D1808" t="s">
        <v>36</v>
      </c>
      <c r="E1808">
        <v>2</v>
      </c>
      <c r="H1808" s="3">
        <f t="shared" si="140"/>
        <v>5765.0093103448271</v>
      </c>
      <c r="I1808" s="1">
        <v>45569</v>
      </c>
      <c r="J1808" t="s">
        <v>40</v>
      </c>
      <c r="L1808" s="2">
        <f t="shared" si="141"/>
        <v>2882.5046551724135</v>
      </c>
      <c r="M1808" s="4">
        <f t="shared" si="142"/>
        <v>0.6</v>
      </c>
      <c r="N1808" s="1">
        <f t="shared" si="143"/>
        <v>45569</v>
      </c>
      <c r="O1808" s="3">
        <f>(Table13[[#This Row],[Units_Sold]]*Table13[[#This Row],[Unit_Price_Cleaned]]*(1-Table13[[#This Row],[Discount Cleaned]]))</f>
        <v>2306.0037241379309</v>
      </c>
      <c r="P1808" t="str">
        <f t="shared" si="144"/>
        <v>Profit</v>
      </c>
      <c r="Q1808" t="str" cm="1">
        <f t="array" ref="Q1808">IF(K1808="",INDEX($K$2:$K$2501,MATCH(MAX(COUNTIF($K$2:$K$2501,$K$2:$K$2501)),COUNTIF($K$2:$K$2501,$K$2:$K$2501),0)),K1808)</f>
        <v>B2B</v>
      </c>
    </row>
    <row r="1809" spans="1:17" x14ac:dyDescent="0.3">
      <c r="A1809">
        <v>2807</v>
      </c>
      <c r="B1809" t="s">
        <v>1841</v>
      </c>
      <c r="C1809" t="s">
        <v>13</v>
      </c>
      <c r="D1809" t="s">
        <v>14</v>
      </c>
      <c r="E1809">
        <v>2</v>
      </c>
      <c r="F1809">
        <v>3064.28</v>
      </c>
      <c r="G1809">
        <v>1.04</v>
      </c>
      <c r="H1809" s="3">
        <f t="shared" si="140"/>
        <v>6128.56</v>
      </c>
      <c r="I1809" s="1">
        <v>45516</v>
      </c>
      <c r="J1809" t="s">
        <v>56</v>
      </c>
      <c r="K1809" t="s">
        <v>23</v>
      </c>
      <c r="L1809" s="2">
        <f t="shared" si="141"/>
        <v>3064.28</v>
      </c>
      <c r="M1809" s="4">
        <f t="shared" si="142"/>
        <v>1.04</v>
      </c>
      <c r="N1809" s="1">
        <f t="shared" si="143"/>
        <v>45516</v>
      </c>
      <c r="O1809" s="3">
        <f>(Table13[[#This Row],[Units_Sold]]*Table13[[#This Row],[Unit_Price_Cleaned]]*(1-Table13[[#This Row],[Discount Cleaned]]))</f>
        <v>-245.14240000000024</v>
      </c>
      <c r="P1809" t="str">
        <f t="shared" si="144"/>
        <v>Loss</v>
      </c>
      <c r="Q1809" t="str" cm="1">
        <f t="array" ref="Q1809">IF(K1809="",INDEX($K$2:$K$2501,MATCH(MAX(COUNTIF($K$2:$K$2501,$K$2:$K$2501)),COUNTIF($K$2:$K$2501,$K$2:$K$2501),0)),K1809)</f>
        <v>B2B</v>
      </c>
    </row>
    <row r="1810" spans="1:17" x14ac:dyDescent="0.3">
      <c r="A1810">
        <v>2808</v>
      </c>
      <c r="B1810" t="s">
        <v>1842</v>
      </c>
      <c r="C1810" t="s">
        <v>25</v>
      </c>
      <c r="D1810" t="s">
        <v>66</v>
      </c>
      <c r="E1810">
        <v>2</v>
      </c>
      <c r="F1810">
        <v>4234.7700000000004</v>
      </c>
      <c r="H1810" s="3">
        <f t="shared" si="140"/>
        <v>8469.5400000000009</v>
      </c>
      <c r="J1810" t="s">
        <v>15</v>
      </c>
      <c r="K1810" t="s">
        <v>16</v>
      </c>
      <c r="L1810" s="2">
        <f t="shared" si="141"/>
        <v>4234.7700000000004</v>
      </c>
      <c r="M1810" s="4">
        <f t="shared" si="142"/>
        <v>0.6</v>
      </c>
      <c r="N1810" s="1">
        <f t="shared" si="143"/>
        <v>45782</v>
      </c>
      <c r="O1810" s="3">
        <f>(Table13[[#This Row],[Units_Sold]]*Table13[[#This Row],[Unit_Price_Cleaned]]*(1-Table13[[#This Row],[Discount Cleaned]]))</f>
        <v>3387.8160000000007</v>
      </c>
      <c r="P1810" t="str">
        <f t="shared" si="144"/>
        <v>Profit</v>
      </c>
      <c r="Q1810" t="str" cm="1">
        <f t="array" ref="Q1810">IF(K1810="",INDEX($K$2:$K$2501,MATCH(MAX(COUNTIF($K$2:$K$2501,$K$2:$K$2501)),COUNTIF($K$2:$K$2501,$K$2:$K$2501),0)),K1810)</f>
        <v>B2C</v>
      </c>
    </row>
    <row r="1811" spans="1:17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 s="3">
        <f t="shared" si="140"/>
        <v>0</v>
      </c>
      <c r="J1811" t="s">
        <v>22</v>
      </c>
      <c r="K1811" t="s">
        <v>16</v>
      </c>
      <c r="L1811" s="2">
        <f t="shared" si="141"/>
        <v>2501.5309999999999</v>
      </c>
      <c r="M1811" s="4">
        <f t="shared" si="142"/>
        <v>0.6</v>
      </c>
      <c r="N1811" s="1">
        <f t="shared" si="143"/>
        <v>45782</v>
      </c>
      <c r="O1811" s="3">
        <f>(Table13[[#This Row],[Units_Sold]]*Table13[[#This Row],[Unit_Price_Cleaned]]*(1-Table13[[#This Row],[Discount Cleaned]]))</f>
        <v>0</v>
      </c>
      <c r="P1811" t="str">
        <f t="shared" si="144"/>
        <v>Loss</v>
      </c>
      <c r="Q1811" t="str" cm="1">
        <f t="array" ref="Q1811">IF(K1811="",INDEX($K$2:$K$2501,MATCH(MAX(COUNTIF($K$2:$K$2501,$K$2:$K$2501)),COUNTIF($K$2:$K$2501,$K$2:$K$2501),0)),K1811)</f>
        <v>B2C</v>
      </c>
    </row>
    <row r="1812" spans="1:17" x14ac:dyDescent="0.3">
      <c r="A1812">
        <v>2810</v>
      </c>
      <c r="B1812" t="s">
        <v>1844</v>
      </c>
      <c r="C1812" t="s">
        <v>13</v>
      </c>
      <c r="D1812" t="s">
        <v>36</v>
      </c>
      <c r="E1812">
        <v>2</v>
      </c>
      <c r="F1812">
        <v>2038.37</v>
      </c>
      <c r="G1812">
        <v>1.07</v>
      </c>
      <c r="H1812" s="3">
        <f t="shared" si="140"/>
        <v>4076.74</v>
      </c>
      <c r="J1812" t="s">
        <v>22</v>
      </c>
      <c r="K1812" t="s">
        <v>23</v>
      </c>
      <c r="L1812" s="2">
        <f t="shared" si="141"/>
        <v>2038.37</v>
      </c>
      <c r="M1812" s="4">
        <f t="shared" si="142"/>
        <v>1.07</v>
      </c>
      <c r="N1812" s="1">
        <f t="shared" si="143"/>
        <v>45782</v>
      </c>
      <c r="O1812" s="3">
        <f>(Table13[[#This Row],[Units_Sold]]*Table13[[#This Row],[Unit_Price_Cleaned]]*(1-Table13[[#This Row],[Discount Cleaned]]))</f>
        <v>-285.37180000000023</v>
      </c>
      <c r="P1812" t="str">
        <f t="shared" si="144"/>
        <v>Loss</v>
      </c>
      <c r="Q1812" t="str" cm="1">
        <f t="array" ref="Q1812">IF(K1812="",INDEX($K$2:$K$2501,MATCH(MAX(COUNTIF($K$2:$K$2501,$K$2:$K$2501)),COUNTIF($K$2:$K$2501,$K$2:$K$2501),0)),K1812)</f>
        <v>B2B</v>
      </c>
    </row>
    <row r="1813" spans="1:17" x14ac:dyDescent="0.3">
      <c r="A1813">
        <v>2811</v>
      </c>
      <c r="B1813" t="s">
        <v>1845</v>
      </c>
      <c r="C1813" t="s">
        <v>38</v>
      </c>
      <c r="D1813" t="s">
        <v>91</v>
      </c>
      <c r="E1813">
        <v>2</v>
      </c>
      <c r="F1813">
        <v>4426.1499999999996</v>
      </c>
      <c r="H1813" s="3">
        <f t="shared" si="140"/>
        <v>8852.2999999999993</v>
      </c>
      <c r="I1813" s="1">
        <v>45657</v>
      </c>
      <c r="J1813" t="s">
        <v>15</v>
      </c>
      <c r="K1813" t="s">
        <v>23</v>
      </c>
      <c r="L1813" s="2">
        <f t="shared" si="141"/>
        <v>4426.1499999999996</v>
      </c>
      <c r="M1813" s="4">
        <f t="shared" si="142"/>
        <v>0.6</v>
      </c>
      <c r="N1813" s="1">
        <f t="shared" si="143"/>
        <v>45657</v>
      </c>
      <c r="O1813" s="3">
        <f>(Table13[[#This Row],[Units_Sold]]*Table13[[#This Row],[Unit_Price_Cleaned]]*(1-Table13[[#This Row],[Discount Cleaned]]))</f>
        <v>3540.92</v>
      </c>
      <c r="P1813" t="str">
        <f t="shared" si="144"/>
        <v>Profit</v>
      </c>
      <c r="Q1813" t="str" cm="1">
        <f t="array" ref="Q1813">IF(K1813="",INDEX($K$2:$K$2501,MATCH(MAX(COUNTIF($K$2:$K$2501,$K$2:$K$2501)),COUNTIF($K$2:$K$2501,$K$2:$K$2501),0)),K1813)</f>
        <v>B2B</v>
      </c>
    </row>
    <row r="1814" spans="1:17" x14ac:dyDescent="0.3">
      <c r="A1814">
        <v>2812</v>
      </c>
      <c r="B1814" t="s">
        <v>1846</v>
      </c>
      <c r="C1814" t="s">
        <v>33</v>
      </c>
      <c r="D1814" t="s">
        <v>82</v>
      </c>
      <c r="E1814">
        <v>2</v>
      </c>
      <c r="H1814" s="3">
        <f t="shared" si="140"/>
        <v>5552.4404000000004</v>
      </c>
      <c r="I1814" s="1">
        <v>45727</v>
      </c>
      <c r="J1814" t="s">
        <v>46</v>
      </c>
      <c r="K1814" t="s">
        <v>23</v>
      </c>
      <c r="L1814" s="2">
        <f t="shared" si="141"/>
        <v>2776.2202000000002</v>
      </c>
      <c r="M1814" s="4">
        <f t="shared" si="142"/>
        <v>0.6</v>
      </c>
      <c r="N1814" s="1">
        <f t="shared" si="143"/>
        <v>45727</v>
      </c>
      <c r="O1814" s="3">
        <f>(Table13[[#This Row],[Units_Sold]]*Table13[[#This Row],[Unit_Price_Cleaned]]*(1-Table13[[#This Row],[Discount Cleaned]]))</f>
        <v>2220.9761600000002</v>
      </c>
      <c r="P1814" t="str">
        <f t="shared" si="144"/>
        <v>Profit</v>
      </c>
      <c r="Q1814" t="str" cm="1">
        <f t="array" ref="Q1814">IF(K1814="",INDEX($K$2:$K$2501,MATCH(MAX(COUNTIF($K$2:$K$2501,$K$2:$K$2501)),COUNTIF($K$2:$K$2501,$K$2:$K$2501),0)),K1814)</f>
        <v>B2B</v>
      </c>
    </row>
    <row r="1815" spans="1:17" x14ac:dyDescent="0.3">
      <c r="A1815">
        <v>2813</v>
      </c>
      <c r="B1815" t="s">
        <v>1847</v>
      </c>
      <c r="C1815" t="s">
        <v>29</v>
      </c>
      <c r="D1815" t="s">
        <v>30</v>
      </c>
      <c r="E1815">
        <v>2</v>
      </c>
      <c r="G1815">
        <v>0.41</v>
      </c>
      <c r="H1815" s="3">
        <f t="shared" si="140"/>
        <v>5235.2780769230776</v>
      </c>
      <c r="I1815" s="1">
        <v>45565</v>
      </c>
      <c r="J1815" t="s">
        <v>18</v>
      </c>
      <c r="L1815" s="2">
        <f t="shared" si="141"/>
        <v>2617.6390384615388</v>
      </c>
      <c r="M1815" s="4">
        <f t="shared" si="142"/>
        <v>0.41</v>
      </c>
      <c r="N1815" s="1">
        <f t="shared" si="143"/>
        <v>45565</v>
      </c>
      <c r="O1815" s="3">
        <f>(Table13[[#This Row],[Units_Sold]]*Table13[[#This Row],[Unit_Price_Cleaned]]*(1-Table13[[#This Row],[Discount Cleaned]]))</f>
        <v>3088.8140653846162</v>
      </c>
      <c r="P1815" t="str">
        <f t="shared" si="144"/>
        <v>Profit</v>
      </c>
      <c r="Q1815" t="str" cm="1">
        <f t="array" ref="Q1815">IF(K1815="",INDEX($K$2:$K$2501,MATCH(MAX(COUNTIF($K$2:$K$2501,$K$2:$K$2501)),COUNTIF($K$2:$K$2501,$K$2:$K$2501),0)),K1815)</f>
        <v>B2B</v>
      </c>
    </row>
    <row r="1816" spans="1:17" x14ac:dyDescent="0.3">
      <c r="A1816">
        <v>2814</v>
      </c>
      <c r="B1816" t="s">
        <v>1848</v>
      </c>
      <c r="C1816" t="s">
        <v>13</v>
      </c>
      <c r="D1816" t="s">
        <v>36</v>
      </c>
      <c r="E1816">
        <v>2</v>
      </c>
      <c r="F1816">
        <v>1888.27</v>
      </c>
      <c r="H1816" s="3">
        <f t="shared" si="140"/>
        <v>3776.54</v>
      </c>
      <c r="I1816" s="1">
        <v>45682</v>
      </c>
      <c r="J1816" t="s">
        <v>22</v>
      </c>
      <c r="K1816" t="s">
        <v>23</v>
      </c>
      <c r="L1816" s="2">
        <f t="shared" si="141"/>
        <v>1888.27</v>
      </c>
      <c r="M1816" s="4">
        <f t="shared" si="142"/>
        <v>0.6</v>
      </c>
      <c r="N1816" s="1">
        <f t="shared" si="143"/>
        <v>45682</v>
      </c>
      <c r="O1816" s="3">
        <f>(Table13[[#This Row],[Units_Sold]]*Table13[[#This Row],[Unit_Price_Cleaned]]*(1-Table13[[#This Row],[Discount Cleaned]]))</f>
        <v>1510.616</v>
      </c>
      <c r="P1816" t="str">
        <f t="shared" si="144"/>
        <v>Profit</v>
      </c>
      <c r="Q1816" t="str" cm="1">
        <f t="array" ref="Q1816">IF(K1816="",INDEX($K$2:$K$2501,MATCH(MAX(COUNTIF($K$2:$K$2501,$K$2:$K$2501)),COUNTIF($K$2:$K$2501,$K$2:$K$2501),0)),K1816)</f>
        <v>B2B</v>
      </c>
    </row>
    <row r="1817" spans="1:17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 s="3">
        <f t="shared" si="140"/>
        <v>14532.060000000001</v>
      </c>
      <c r="J1817" t="s">
        <v>46</v>
      </c>
      <c r="K1817" t="s">
        <v>23</v>
      </c>
      <c r="L1817" s="2">
        <f t="shared" si="141"/>
        <v>2422.0100000000002</v>
      </c>
      <c r="M1817" s="4">
        <f t="shared" si="142"/>
        <v>0.6</v>
      </c>
      <c r="N1817" s="1">
        <f t="shared" si="143"/>
        <v>45782</v>
      </c>
      <c r="O1817" s="3">
        <f>(Table13[[#This Row],[Units_Sold]]*Table13[[#This Row],[Unit_Price_Cleaned]]*(1-Table13[[#This Row],[Discount Cleaned]]))</f>
        <v>5812.8240000000005</v>
      </c>
      <c r="P1817" t="str">
        <f t="shared" si="144"/>
        <v>Profit</v>
      </c>
      <c r="Q1817" t="str" cm="1">
        <f t="array" ref="Q1817">IF(K1817="",INDEX($K$2:$K$2501,MATCH(MAX(COUNTIF($K$2:$K$2501,$K$2:$K$2501)),COUNTIF($K$2:$K$2501,$K$2:$K$2501),0)),K1817)</f>
        <v>B2B</v>
      </c>
    </row>
    <row r="1818" spans="1:17" x14ac:dyDescent="0.3">
      <c r="A1818">
        <v>2816</v>
      </c>
      <c r="B1818" t="s">
        <v>1850</v>
      </c>
      <c r="C1818" t="s">
        <v>20</v>
      </c>
      <c r="D1818" t="s">
        <v>88</v>
      </c>
      <c r="E1818">
        <v>2</v>
      </c>
      <c r="F1818">
        <v>3817.72</v>
      </c>
      <c r="G1818">
        <v>0.34</v>
      </c>
      <c r="H1818" s="3">
        <f t="shared" si="140"/>
        <v>7635.44</v>
      </c>
      <c r="I1818" s="1">
        <v>45628</v>
      </c>
      <c r="J1818" t="s">
        <v>18</v>
      </c>
      <c r="K1818" t="s">
        <v>23</v>
      </c>
      <c r="L1818" s="2">
        <f t="shared" si="141"/>
        <v>3817.72</v>
      </c>
      <c r="M1818" s="4">
        <f t="shared" si="142"/>
        <v>0.34</v>
      </c>
      <c r="N1818" s="1">
        <f t="shared" si="143"/>
        <v>45628</v>
      </c>
      <c r="O1818" s="3">
        <f>(Table13[[#This Row],[Units_Sold]]*Table13[[#This Row],[Unit_Price_Cleaned]]*(1-Table13[[#This Row],[Discount Cleaned]]))</f>
        <v>5039.3903999999993</v>
      </c>
      <c r="P1818" t="str">
        <f t="shared" si="144"/>
        <v>Profit</v>
      </c>
      <c r="Q1818" t="str" cm="1">
        <f t="array" ref="Q1818">IF(K1818="",INDEX($K$2:$K$2501,MATCH(MAX(COUNTIF($K$2:$K$2501,$K$2:$K$2501)),COUNTIF($K$2:$K$2501,$K$2:$K$2501),0)),K1818)</f>
        <v>B2B</v>
      </c>
    </row>
    <row r="1819" spans="1:17" x14ac:dyDescent="0.3">
      <c r="A1819">
        <v>2817</v>
      </c>
      <c r="B1819" t="s">
        <v>1851</v>
      </c>
      <c r="C1819" t="s">
        <v>38</v>
      </c>
      <c r="D1819" t="s">
        <v>39</v>
      </c>
      <c r="E1819">
        <v>2</v>
      </c>
      <c r="G1819">
        <v>0.36</v>
      </c>
      <c r="H1819" s="3">
        <f t="shared" si="140"/>
        <v>6016.7688888888888</v>
      </c>
      <c r="I1819" s="1">
        <v>45770</v>
      </c>
      <c r="J1819" t="s">
        <v>22</v>
      </c>
      <c r="K1819" t="s">
        <v>16</v>
      </c>
      <c r="L1819" s="2">
        <f t="shared" si="141"/>
        <v>3008.3844444444444</v>
      </c>
      <c r="M1819" s="4">
        <f t="shared" si="142"/>
        <v>0.36</v>
      </c>
      <c r="N1819" s="1">
        <f t="shared" si="143"/>
        <v>45770</v>
      </c>
      <c r="O1819" s="3">
        <f>(Table13[[#This Row],[Units_Sold]]*Table13[[#This Row],[Unit_Price_Cleaned]]*(1-Table13[[#This Row],[Discount Cleaned]]))</f>
        <v>3850.7320888888889</v>
      </c>
      <c r="P1819" t="str">
        <f t="shared" si="144"/>
        <v>Profit</v>
      </c>
      <c r="Q1819" t="str" cm="1">
        <f t="array" ref="Q1819">IF(K1819="",INDEX($K$2:$K$2501,MATCH(MAX(COUNTIF($K$2:$K$2501,$K$2:$K$2501)),COUNTIF($K$2:$K$2501,$K$2:$K$2501),0)),K1819)</f>
        <v>B2C</v>
      </c>
    </row>
    <row r="1820" spans="1:17" x14ac:dyDescent="0.3">
      <c r="A1820">
        <v>2818</v>
      </c>
      <c r="B1820" t="s">
        <v>1852</v>
      </c>
      <c r="C1820" t="s">
        <v>38</v>
      </c>
      <c r="D1820" t="s">
        <v>63</v>
      </c>
      <c r="E1820">
        <v>2</v>
      </c>
      <c r="F1820">
        <v>739.57</v>
      </c>
      <c r="H1820" s="3">
        <f t="shared" si="140"/>
        <v>1479.14</v>
      </c>
      <c r="I1820" s="1">
        <v>45760</v>
      </c>
      <c r="J1820" t="s">
        <v>22</v>
      </c>
      <c r="K1820" t="s">
        <v>16</v>
      </c>
      <c r="L1820" s="2">
        <f t="shared" si="141"/>
        <v>739.57</v>
      </c>
      <c r="M1820" s="4">
        <f t="shared" si="142"/>
        <v>0.6</v>
      </c>
      <c r="N1820" s="1">
        <f t="shared" si="143"/>
        <v>45760</v>
      </c>
      <c r="O1820" s="3">
        <f>(Table13[[#This Row],[Units_Sold]]*Table13[[#This Row],[Unit_Price_Cleaned]]*(1-Table13[[#This Row],[Discount Cleaned]]))</f>
        <v>591.65600000000006</v>
      </c>
      <c r="P1820" t="str">
        <f t="shared" si="144"/>
        <v>Profit</v>
      </c>
      <c r="Q1820" t="str" cm="1">
        <f t="array" ref="Q1820">IF(K1820="",INDEX($K$2:$K$2501,MATCH(MAX(COUNTIF($K$2:$K$2501,$K$2:$K$2501)),COUNTIF($K$2:$K$2501,$K$2:$K$2501),0)),K1820)</f>
        <v>B2C</v>
      </c>
    </row>
    <row r="1821" spans="1:17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 s="3">
        <f t="shared" si="140"/>
        <v>-2830.1325714285731</v>
      </c>
      <c r="J1821" t="s">
        <v>18</v>
      </c>
      <c r="K1821" t="s">
        <v>16</v>
      </c>
      <c r="L1821" s="2">
        <f t="shared" si="141"/>
        <v>2830.1325714285731</v>
      </c>
      <c r="M1821" s="4">
        <f t="shared" si="142"/>
        <v>0.6</v>
      </c>
      <c r="N1821" s="1">
        <f t="shared" si="143"/>
        <v>45782</v>
      </c>
      <c r="O1821" s="3">
        <f>(Table13[[#This Row],[Units_Sold]]*Table13[[#This Row],[Unit_Price_Cleaned]]*(1-Table13[[#This Row],[Discount Cleaned]]))</f>
        <v>-1132.0530285714292</v>
      </c>
      <c r="P1821" t="str">
        <f t="shared" si="144"/>
        <v>Loss</v>
      </c>
      <c r="Q1821" t="str" cm="1">
        <f t="array" ref="Q1821">IF(K1821="",INDEX($K$2:$K$2501,MATCH(MAX(COUNTIF($K$2:$K$2501,$K$2:$K$2501)),COUNTIF($K$2:$K$2501,$K$2:$K$2501),0)),K1821)</f>
        <v>B2C</v>
      </c>
    </row>
    <row r="1822" spans="1:17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 s="3">
        <f t="shared" si="140"/>
        <v>2454.71</v>
      </c>
      <c r="I1822" s="1">
        <v>45294</v>
      </c>
      <c r="J1822" t="s">
        <v>22</v>
      </c>
      <c r="K1822" t="s">
        <v>23</v>
      </c>
      <c r="L1822" s="2">
        <f t="shared" si="141"/>
        <v>2454.71</v>
      </c>
      <c r="M1822" s="4">
        <f t="shared" si="142"/>
        <v>0.1</v>
      </c>
      <c r="N1822" s="1">
        <f t="shared" si="143"/>
        <v>45294</v>
      </c>
      <c r="O1822" s="3">
        <f>(Table13[[#This Row],[Units_Sold]]*Table13[[#This Row],[Unit_Price_Cleaned]]*(1-Table13[[#This Row],[Discount Cleaned]]))</f>
        <v>2209.239</v>
      </c>
      <c r="P1822" t="str">
        <f t="shared" si="144"/>
        <v>Profit</v>
      </c>
      <c r="Q1822" t="str" cm="1">
        <f t="array" ref="Q1822">IF(K1822="",INDEX($K$2:$K$2501,MATCH(MAX(COUNTIF($K$2:$K$2501,$K$2:$K$2501)),COUNTIF($K$2:$K$2501,$K$2:$K$2501),0)),K1822)</f>
        <v>B2B</v>
      </c>
    </row>
    <row r="1823" spans="1:17" x14ac:dyDescent="0.3">
      <c r="A1823">
        <v>2821</v>
      </c>
      <c r="B1823" t="s">
        <v>1855</v>
      </c>
      <c r="C1823" t="s">
        <v>38</v>
      </c>
      <c r="D1823" t="s">
        <v>63</v>
      </c>
      <c r="E1823">
        <v>2</v>
      </c>
      <c r="G1823">
        <v>1.28</v>
      </c>
      <c r="H1823" s="3">
        <f t="shared" si="140"/>
        <v>5690.4839344262318</v>
      </c>
      <c r="I1823" s="1">
        <v>45644</v>
      </c>
      <c r="J1823" t="s">
        <v>18</v>
      </c>
      <c r="K1823" t="s">
        <v>16</v>
      </c>
      <c r="L1823" s="2">
        <f t="shared" si="141"/>
        <v>2845.2419672131159</v>
      </c>
      <c r="M1823" s="4">
        <f t="shared" si="142"/>
        <v>1.28</v>
      </c>
      <c r="N1823" s="1">
        <f t="shared" si="143"/>
        <v>45644</v>
      </c>
      <c r="O1823" s="3">
        <f>(Table13[[#This Row],[Units_Sold]]*Table13[[#This Row],[Unit_Price_Cleaned]]*(1-Table13[[#This Row],[Discount Cleaned]]))</f>
        <v>-1593.335501639345</v>
      </c>
      <c r="P1823" t="str">
        <f t="shared" si="144"/>
        <v>Loss</v>
      </c>
      <c r="Q1823" t="str" cm="1">
        <f t="array" ref="Q1823">IF(K1823="",INDEX($K$2:$K$2501,MATCH(MAX(COUNTIF($K$2:$K$2501,$K$2:$K$2501)),COUNTIF($K$2:$K$2501,$K$2:$K$2501),0)),K1823)</f>
        <v>B2C</v>
      </c>
    </row>
    <row r="1824" spans="1:17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 s="3">
        <f t="shared" si="140"/>
        <v>-7728.74</v>
      </c>
      <c r="I1824" s="1">
        <v>45725</v>
      </c>
      <c r="J1824" t="s">
        <v>40</v>
      </c>
      <c r="L1824" s="2">
        <f t="shared" si="141"/>
        <v>3864.37</v>
      </c>
      <c r="M1824" s="4">
        <f t="shared" si="142"/>
        <v>0.6</v>
      </c>
      <c r="N1824" s="1">
        <f t="shared" si="143"/>
        <v>45725</v>
      </c>
      <c r="O1824" s="3">
        <f>(Table13[[#This Row],[Units_Sold]]*Table13[[#This Row],[Unit_Price_Cleaned]]*(1-Table13[[#This Row],[Discount Cleaned]]))</f>
        <v>-3091.4960000000001</v>
      </c>
      <c r="P1824" t="str">
        <f t="shared" si="144"/>
        <v>Loss</v>
      </c>
      <c r="Q1824" t="str" cm="1">
        <f t="array" ref="Q1824">IF(K1824="",INDEX($K$2:$K$2501,MATCH(MAX(COUNTIF($K$2:$K$2501,$K$2:$K$2501)),COUNTIF($K$2:$K$2501,$K$2:$K$2501),0)),K1824)</f>
        <v>B2B</v>
      </c>
    </row>
    <row r="1825" spans="1:17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 s="3">
        <f t="shared" si="140"/>
        <v>0</v>
      </c>
      <c r="I1825" s="1">
        <v>45542</v>
      </c>
      <c r="J1825" t="s">
        <v>18</v>
      </c>
      <c r="K1825" t="s">
        <v>16</v>
      </c>
      <c r="L1825" s="2">
        <f t="shared" si="141"/>
        <v>2483.5844000000002</v>
      </c>
      <c r="M1825" s="4">
        <f t="shared" si="142"/>
        <v>0.6</v>
      </c>
      <c r="N1825" s="1">
        <f t="shared" si="143"/>
        <v>45542</v>
      </c>
      <c r="O1825" s="3">
        <f>(Table13[[#This Row],[Units_Sold]]*Table13[[#This Row],[Unit_Price_Cleaned]]*(1-Table13[[#This Row],[Discount Cleaned]]))</f>
        <v>0</v>
      </c>
      <c r="P1825" t="str">
        <f t="shared" si="144"/>
        <v>Loss</v>
      </c>
      <c r="Q1825" t="str" cm="1">
        <f t="array" ref="Q1825">IF(K1825="",INDEX($K$2:$K$2501,MATCH(MAX(COUNTIF($K$2:$K$2501,$K$2:$K$2501)),COUNTIF($K$2:$K$2501,$K$2:$K$2501),0)),K1825)</f>
        <v>B2C</v>
      </c>
    </row>
    <row r="1826" spans="1:17" x14ac:dyDescent="0.3">
      <c r="A1826">
        <v>2824</v>
      </c>
      <c r="B1826" t="s">
        <v>1858</v>
      </c>
      <c r="C1826" t="s">
        <v>25</v>
      </c>
      <c r="D1826" t="s">
        <v>86</v>
      </c>
      <c r="E1826">
        <v>2</v>
      </c>
      <c r="G1826">
        <v>1.08</v>
      </c>
      <c r="H1826" s="3">
        <f t="shared" si="140"/>
        <v>5003.0619999999999</v>
      </c>
      <c r="I1826" s="1">
        <v>45618</v>
      </c>
      <c r="J1826" t="s">
        <v>15</v>
      </c>
      <c r="K1826" t="s">
        <v>16</v>
      </c>
      <c r="L1826" s="2">
        <f t="shared" si="141"/>
        <v>2501.5309999999999</v>
      </c>
      <c r="M1826" s="4">
        <f t="shared" si="142"/>
        <v>1.08</v>
      </c>
      <c r="N1826" s="1">
        <f t="shared" si="143"/>
        <v>45618</v>
      </c>
      <c r="O1826" s="3">
        <f>(Table13[[#This Row],[Units_Sold]]*Table13[[#This Row],[Unit_Price_Cleaned]]*(1-Table13[[#This Row],[Discount Cleaned]]))</f>
        <v>-400.24496000000033</v>
      </c>
      <c r="P1826" t="str">
        <f t="shared" si="144"/>
        <v>Loss</v>
      </c>
      <c r="Q1826" t="str" cm="1">
        <f t="array" ref="Q1826">IF(K1826="",INDEX($K$2:$K$2501,MATCH(MAX(COUNTIF($K$2:$K$2501,$K$2:$K$2501)),COUNTIF($K$2:$K$2501,$K$2:$K$2501),0)),K1826)</f>
        <v>B2C</v>
      </c>
    </row>
    <row r="1827" spans="1:17" x14ac:dyDescent="0.3">
      <c r="A1827">
        <v>2825</v>
      </c>
      <c r="B1827" t="s">
        <v>1859</v>
      </c>
      <c r="C1827" t="s">
        <v>29</v>
      </c>
      <c r="D1827" t="s">
        <v>30</v>
      </c>
      <c r="E1827">
        <v>2</v>
      </c>
      <c r="H1827" s="3">
        <f t="shared" si="140"/>
        <v>5235.2780769230776</v>
      </c>
      <c r="J1827" t="s">
        <v>18</v>
      </c>
      <c r="K1827" t="s">
        <v>23</v>
      </c>
      <c r="L1827" s="2">
        <f t="shared" si="141"/>
        <v>2617.6390384615388</v>
      </c>
      <c r="M1827" s="4">
        <f t="shared" si="142"/>
        <v>0.6</v>
      </c>
      <c r="N1827" s="1">
        <f t="shared" si="143"/>
        <v>45782</v>
      </c>
      <c r="O1827" s="3">
        <f>(Table13[[#This Row],[Units_Sold]]*Table13[[#This Row],[Unit_Price_Cleaned]]*(1-Table13[[#This Row],[Discount Cleaned]]))</f>
        <v>2094.111230769231</v>
      </c>
      <c r="P1827" t="str">
        <f t="shared" si="144"/>
        <v>Profit</v>
      </c>
      <c r="Q1827" t="str" cm="1">
        <f t="array" ref="Q1827">IF(K1827="",INDEX($K$2:$K$2501,MATCH(MAX(COUNTIF($K$2:$K$2501,$K$2:$K$2501)),COUNTIF($K$2:$K$2501,$K$2:$K$2501),0)),K1827)</f>
        <v>B2B</v>
      </c>
    </row>
    <row r="1828" spans="1:17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 s="3">
        <f t="shared" si="140"/>
        <v>-2715.5458490566025</v>
      </c>
      <c r="J1828" t="s">
        <v>22</v>
      </c>
      <c r="K1828" t="s">
        <v>16</v>
      </c>
      <c r="L1828" s="2">
        <f t="shared" si="141"/>
        <v>2715.5458490566025</v>
      </c>
      <c r="M1828" s="4">
        <f t="shared" si="142"/>
        <v>0.6</v>
      </c>
      <c r="N1828" s="1">
        <f t="shared" si="143"/>
        <v>45782</v>
      </c>
      <c r="O1828" s="3">
        <f>(Table13[[#This Row],[Units_Sold]]*Table13[[#This Row],[Unit_Price_Cleaned]]*(1-Table13[[#This Row],[Discount Cleaned]]))</f>
        <v>-1086.218339622641</v>
      </c>
      <c r="P1828" t="str">
        <f t="shared" si="144"/>
        <v>Loss</v>
      </c>
      <c r="Q1828" t="str" cm="1">
        <f t="array" ref="Q1828">IF(K1828="",INDEX($K$2:$K$2501,MATCH(MAX(COUNTIF($K$2:$K$2501,$K$2:$K$2501)),COUNTIF($K$2:$K$2501,$K$2:$K$2501),0)),K1828)</f>
        <v>B2C</v>
      </c>
    </row>
    <row r="1829" spans="1:17" x14ac:dyDescent="0.3">
      <c r="A1829">
        <v>2827</v>
      </c>
      <c r="B1829" t="s">
        <v>1861</v>
      </c>
      <c r="C1829" t="s">
        <v>13</v>
      </c>
      <c r="D1829" t="s">
        <v>14</v>
      </c>
      <c r="E1829">
        <v>2</v>
      </c>
      <c r="F1829">
        <v>3996.87</v>
      </c>
      <c r="H1829" s="3">
        <f t="shared" si="140"/>
        <v>7993.74</v>
      </c>
      <c r="I1829" s="1">
        <v>45538</v>
      </c>
      <c r="J1829" t="s">
        <v>22</v>
      </c>
      <c r="L1829" s="2">
        <f t="shared" si="141"/>
        <v>3996.87</v>
      </c>
      <c r="M1829" s="4">
        <f t="shared" si="142"/>
        <v>0.6</v>
      </c>
      <c r="N1829" s="1">
        <f t="shared" si="143"/>
        <v>45538</v>
      </c>
      <c r="O1829" s="3">
        <f>(Table13[[#This Row],[Units_Sold]]*Table13[[#This Row],[Unit_Price_Cleaned]]*(1-Table13[[#This Row],[Discount Cleaned]]))</f>
        <v>3197.4960000000001</v>
      </c>
      <c r="P1829" t="str">
        <f t="shared" si="144"/>
        <v>Profit</v>
      </c>
      <c r="Q1829" t="str" cm="1">
        <f t="array" ref="Q1829">IF(K1829="",INDEX($K$2:$K$2501,MATCH(MAX(COUNTIF($K$2:$K$2501,$K$2:$K$2501)),COUNTIF($K$2:$K$2501,$K$2:$K$2501),0)),K1829)</f>
        <v>B2B</v>
      </c>
    </row>
    <row r="1830" spans="1:17" x14ac:dyDescent="0.3">
      <c r="A1830">
        <v>2828</v>
      </c>
      <c r="B1830" t="s">
        <v>1862</v>
      </c>
      <c r="C1830" t="s">
        <v>25</v>
      </c>
      <c r="D1830" t="s">
        <v>26</v>
      </c>
      <c r="E1830">
        <v>2</v>
      </c>
      <c r="F1830">
        <v>2963.02</v>
      </c>
      <c r="H1830" s="3">
        <f t="shared" si="140"/>
        <v>5926.04</v>
      </c>
      <c r="I1830" s="1">
        <v>45825</v>
      </c>
      <c r="J1830" t="s">
        <v>40</v>
      </c>
      <c r="K1830" t="s">
        <v>23</v>
      </c>
      <c r="L1830" s="2">
        <f t="shared" si="141"/>
        <v>2963.02</v>
      </c>
      <c r="M1830" s="4">
        <f t="shared" si="142"/>
        <v>0.6</v>
      </c>
      <c r="N1830" s="1">
        <f t="shared" si="143"/>
        <v>45825</v>
      </c>
      <c r="O1830" s="3">
        <f>(Table13[[#This Row],[Units_Sold]]*Table13[[#This Row],[Unit_Price_Cleaned]]*(1-Table13[[#This Row],[Discount Cleaned]]))</f>
        <v>2370.4160000000002</v>
      </c>
      <c r="P1830" t="str">
        <f t="shared" si="144"/>
        <v>Profit</v>
      </c>
      <c r="Q1830" t="str" cm="1">
        <f t="array" ref="Q1830">IF(K1830="",INDEX($K$2:$K$2501,MATCH(MAX(COUNTIF($K$2:$K$2501,$K$2:$K$2501)),COUNTIF($K$2:$K$2501,$K$2:$K$2501),0)),K1830)</f>
        <v>B2B</v>
      </c>
    </row>
    <row r="1831" spans="1:17" x14ac:dyDescent="0.3">
      <c r="A1831">
        <v>2829</v>
      </c>
      <c r="B1831" t="s">
        <v>1863</v>
      </c>
      <c r="C1831" t="s">
        <v>20</v>
      </c>
      <c r="D1831" t="s">
        <v>88</v>
      </c>
      <c r="E1831">
        <v>2</v>
      </c>
      <c r="F1831">
        <v>4817.45</v>
      </c>
      <c r="G1831">
        <v>1.07</v>
      </c>
      <c r="H1831" s="3">
        <f t="shared" si="140"/>
        <v>9634.9</v>
      </c>
      <c r="J1831" t="s">
        <v>46</v>
      </c>
      <c r="K1831" t="s">
        <v>23</v>
      </c>
      <c r="L1831" s="2">
        <f t="shared" si="141"/>
        <v>4817.45</v>
      </c>
      <c r="M1831" s="4">
        <f t="shared" si="142"/>
        <v>1.07</v>
      </c>
      <c r="N1831" s="1">
        <f t="shared" si="143"/>
        <v>45782</v>
      </c>
      <c r="O1831" s="3">
        <f>(Table13[[#This Row],[Units_Sold]]*Table13[[#This Row],[Unit_Price_Cleaned]]*(1-Table13[[#This Row],[Discount Cleaned]]))</f>
        <v>-674.44300000000055</v>
      </c>
      <c r="P1831" t="str">
        <f t="shared" si="144"/>
        <v>Loss</v>
      </c>
      <c r="Q1831" t="str" cm="1">
        <f t="array" ref="Q1831">IF(K1831="",INDEX($K$2:$K$2501,MATCH(MAX(COUNTIF($K$2:$K$2501,$K$2:$K$2501)),COUNTIF($K$2:$K$2501,$K$2:$K$2501),0)),K1831)</f>
        <v>B2B</v>
      </c>
    </row>
    <row r="1832" spans="1:17" x14ac:dyDescent="0.3">
      <c r="A1832">
        <v>2830</v>
      </c>
      <c r="B1832" t="s">
        <v>1864</v>
      </c>
      <c r="C1832" t="s">
        <v>33</v>
      </c>
      <c r="D1832" t="s">
        <v>34</v>
      </c>
      <c r="E1832">
        <v>2</v>
      </c>
      <c r="F1832">
        <v>3588.42</v>
      </c>
      <c r="G1832">
        <v>0.04</v>
      </c>
      <c r="H1832" s="3">
        <f t="shared" si="140"/>
        <v>7176.84</v>
      </c>
      <c r="I1832" s="1">
        <v>45820</v>
      </c>
      <c r="J1832" t="s">
        <v>15</v>
      </c>
      <c r="L1832" s="2">
        <f t="shared" si="141"/>
        <v>3588.42</v>
      </c>
      <c r="M1832" s="4">
        <f t="shared" si="142"/>
        <v>0.04</v>
      </c>
      <c r="N1832" s="1">
        <f t="shared" si="143"/>
        <v>45820</v>
      </c>
      <c r="O1832" s="3">
        <f>(Table13[[#This Row],[Units_Sold]]*Table13[[#This Row],[Unit_Price_Cleaned]]*(1-Table13[[#This Row],[Discount Cleaned]]))</f>
        <v>6889.7663999999995</v>
      </c>
      <c r="P1832" t="str">
        <f t="shared" si="144"/>
        <v>Profit</v>
      </c>
      <c r="Q1832" t="str" cm="1">
        <f t="array" ref="Q1832">IF(K1832="",INDEX($K$2:$K$2501,MATCH(MAX(COUNTIF($K$2:$K$2501,$K$2:$K$2501)),COUNTIF($K$2:$K$2501,$K$2:$K$2501),0)),K1832)</f>
        <v>B2B</v>
      </c>
    </row>
    <row r="1833" spans="1:17" x14ac:dyDescent="0.3">
      <c r="A1833">
        <v>2831</v>
      </c>
      <c r="B1833" t="s">
        <v>850</v>
      </c>
      <c r="C1833" t="s">
        <v>38</v>
      </c>
      <c r="D1833" t="s">
        <v>39</v>
      </c>
      <c r="E1833">
        <v>2</v>
      </c>
      <c r="H1833" s="3">
        <f t="shared" si="140"/>
        <v>6016.7688888888888</v>
      </c>
      <c r="I1833" s="1">
        <v>45495</v>
      </c>
      <c r="J1833" t="s">
        <v>18</v>
      </c>
      <c r="K1833" t="s">
        <v>23</v>
      </c>
      <c r="L1833" s="2">
        <f t="shared" si="141"/>
        <v>3008.3844444444444</v>
      </c>
      <c r="M1833" s="4">
        <f t="shared" si="142"/>
        <v>0.6</v>
      </c>
      <c r="N1833" s="1">
        <f t="shared" si="143"/>
        <v>45495</v>
      </c>
      <c r="O1833" s="3">
        <f>(Table13[[#This Row],[Units_Sold]]*Table13[[#This Row],[Unit_Price_Cleaned]]*(1-Table13[[#This Row],[Discount Cleaned]]))</f>
        <v>2406.7075555555557</v>
      </c>
      <c r="P1833" t="str">
        <f t="shared" si="144"/>
        <v>Profit</v>
      </c>
      <c r="Q1833" t="str" cm="1">
        <f t="array" ref="Q1833">IF(K1833="",INDEX($K$2:$K$2501,MATCH(MAX(COUNTIF($K$2:$K$2501,$K$2:$K$2501)),COUNTIF($K$2:$K$2501,$K$2:$K$2501),0)),K1833)</f>
        <v>B2B</v>
      </c>
    </row>
    <row r="1834" spans="1:17" x14ac:dyDescent="0.3">
      <c r="A1834">
        <v>2832</v>
      </c>
      <c r="B1834" t="s">
        <v>1865</v>
      </c>
      <c r="C1834" t="s">
        <v>25</v>
      </c>
      <c r="D1834" t="s">
        <v>86</v>
      </c>
      <c r="E1834">
        <v>2</v>
      </c>
      <c r="G1834">
        <v>0.56000000000000005</v>
      </c>
      <c r="H1834" s="3">
        <f t="shared" si="140"/>
        <v>5003.0619999999999</v>
      </c>
      <c r="I1834" s="1">
        <v>45572</v>
      </c>
      <c r="J1834" t="s">
        <v>22</v>
      </c>
      <c r="L1834" s="2">
        <f t="shared" si="141"/>
        <v>2501.5309999999999</v>
      </c>
      <c r="M1834" s="4">
        <f t="shared" si="142"/>
        <v>0.56000000000000005</v>
      </c>
      <c r="N1834" s="1">
        <f t="shared" si="143"/>
        <v>45572</v>
      </c>
      <c r="O1834" s="3">
        <f>(Table13[[#This Row],[Units_Sold]]*Table13[[#This Row],[Unit_Price_Cleaned]]*(1-Table13[[#This Row],[Discount Cleaned]]))</f>
        <v>2201.3472799999995</v>
      </c>
      <c r="P1834" t="str">
        <f t="shared" si="144"/>
        <v>Profit</v>
      </c>
      <c r="Q1834" t="str" cm="1">
        <f t="array" ref="Q1834">IF(K1834="",INDEX($K$2:$K$2501,MATCH(MAX(COUNTIF($K$2:$K$2501,$K$2:$K$2501)),COUNTIF($K$2:$K$2501,$K$2:$K$2501),0)),K1834)</f>
        <v>B2B</v>
      </c>
    </row>
    <row r="1835" spans="1:17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 s="3">
        <f t="shared" si="140"/>
        <v>21366.65</v>
      </c>
      <c r="J1835" t="s">
        <v>40</v>
      </c>
      <c r="K1835" t="s">
        <v>16</v>
      </c>
      <c r="L1835" s="2">
        <f t="shared" si="141"/>
        <v>4273.33</v>
      </c>
      <c r="M1835" s="4">
        <f t="shared" si="142"/>
        <v>0.6</v>
      </c>
      <c r="N1835" s="1">
        <f t="shared" si="143"/>
        <v>45782</v>
      </c>
      <c r="O1835" s="3">
        <f>(Table13[[#This Row],[Units_Sold]]*Table13[[#This Row],[Unit_Price_Cleaned]]*(1-Table13[[#This Row],[Discount Cleaned]]))</f>
        <v>8546.6600000000017</v>
      </c>
      <c r="P1835" t="str">
        <f t="shared" si="144"/>
        <v>Profit</v>
      </c>
      <c r="Q1835" t="str" cm="1">
        <f t="array" ref="Q1835">IF(K1835="",INDEX($K$2:$K$2501,MATCH(MAX(COUNTIF($K$2:$K$2501,$K$2:$K$2501)),COUNTIF($K$2:$K$2501,$K$2:$K$2501),0)),K1835)</f>
        <v>B2C</v>
      </c>
    </row>
    <row r="1836" spans="1:17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 s="3">
        <f t="shared" si="140"/>
        <v>-7045.96</v>
      </c>
      <c r="I1836" s="1">
        <v>45597</v>
      </c>
      <c r="J1836" t="s">
        <v>15</v>
      </c>
      <c r="K1836" t="s">
        <v>16</v>
      </c>
      <c r="L1836" s="2">
        <f t="shared" si="141"/>
        <v>3522.98</v>
      </c>
      <c r="M1836" s="4">
        <f t="shared" si="142"/>
        <v>0.6</v>
      </c>
      <c r="N1836" s="1">
        <f t="shared" si="143"/>
        <v>45597</v>
      </c>
      <c r="O1836" s="3">
        <f>(Table13[[#This Row],[Units_Sold]]*Table13[[#This Row],[Unit_Price_Cleaned]]*(1-Table13[[#This Row],[Discount Cleaned]]))</f>
        <v>-2818.384</v>
      </c>
      <c r="P1836" t="str">
        <f t="shared" si="144"/>
        <v>Loss</v>
      </c>
      <c r="Q1836" t="str" cm="1">
        <f t="array" ref="Q1836">IF(K1836="",INDEX($K$2:$K$2501,MATCH(MAX(COUNTIF($K$2:$K$2501,$K$2:$K$2501)),COUNTIF($K$2:$K$2501,$K$2:$K$2501),0)),K1836)</f>
        <v>B2C</v>
      </c>
    </row>
    <row r="1837" spans="1:17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 s="3">
        <f t="shared" si="140"/>
        <v>14021.32596153846</v>
      </c>
      <c r="I1837" s="1">
        <v>45839</v>
      </c>
      <c r="J1837" t="s">
        <v>56</v>
      </c>
      <c r="K1837" t="s">
        <v>23</v>
      </c>
      <c r="L1837" s="2">
        <f t="shared" si="141"/>
        <v>2804.2651923076919</v>
      </c>
      <c r="M1837" s="4">
        <f t="shared" si="142"/>
        <v>0.98</v>
      </c>
      <c r="N1837" s="1">
        <f t="shared" si="143"/>
        <v>45839</v>
      </c>
      <c r="O1837" s="3">
        <f>(Table13[[#This Row],[Units_Sold]]*Table13[[#This Row],[Unit_Price_Cleaned]]*(1-Table13[[#This Row],[Discount Cleaned]]))</f>
        <v>280.42651923076943</v>
      </c>
      <c r="P1837" t="str">
        <f t="shared" si="144"/>
        <v>Loss</v>
      </c>
      <c r="Q1837" t="str" cm="1">
        <f t="array" ref="Q1837">IF(K1837="",INDEX($K$2:$K$2501,MATCH(MAX(COUNTIF($K$2:$K$2501,$K$2:$K$2501)),COUNTIF($K$2:$K$2501,$K$2:$K$2501),0)),K1837)</f>
        <v>B2B</v>
      </c>
    </row>
    <row r="1838" spans="1:17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 s="3">
        <f t="shared" si="140"/>
        <v>18439.8</v>
      </c>
      <c r="I1838" s="1">
        <v>45448</v>
      </c>
      <c r="J1838" t="s">
        <v>40</v>
      </c>
      <c r="K1838" t="s">
        <v>23</v>
      </c>
      <c r="L1838" s="2">
        <f t="shared" si="141"/>
        <v>4609.95</v>
      </c>
      <c r="M1838" s="4">
        <f t="shared" si="142"/>
        <v>0.6</v>
      </c>
      <c r="N1838" s="1">
        <f t="shared" si="143"/>
        <v>45448</v>
      </c>
      <c r="O1838" s="3">
        <f>(Table13[[#This Row],[Units_Sold]]*Table13[[#This Row],[Unit_Price_Cleaned]]*(1-Table13[[#This Row],[Discount Cleaned]]))</f>
        <v>7375.92</v>
      </c>
      <c r="P1838" t="str">
        <f t="shared" si="144"/>
        <v>Profit</v>
      </c>
      <c r="Q1838" t="str" cm="1">
        <f t="array" ref="Q1838">IF(K1838="",INDEX($K$2:$K$2501,MATCH(MAX(COUNTIF($K$2:$K$2501,$K$2:$K$2501)),COUNTIF($K$2:$K$2501,$K$2:$K$2501),0)),K1838)</f>
        <v>B2B</v>
      </c>
    </row>
    <row r="1839" spans="1:17" x14ac:dyDescent="0.3">
      <c r="A1839">
        <v>2837</v>
      </c>
      <c r="B1839" t="s">
        <v>1870</v>
      </c>
      <c r="C1839" t="s">
        <v>13</v>
      </c>
      <c r="D1839" t="s">
        <v>14</v>
      </c>
      <c r="E1839">
        <v>2</v>
      </c>
      <c r="F1839">
        <v>4443.01</v>
      </c>
      <c r="H1839" s="3">
        <f t="shared" si="140"/>
        <v>8886.02</v>
      </c>
      <c r="I1839" s="1">
        <v>45743</v>
      </c>
      <c r="J1839" t="s">
        <v>40</v>
      </c>
      <c r="K1839" t="s">
        <v>23</v>
      </c>
      <c r="L1839" s="2">
        <f t="shared" si="141"/>
        <v>4443.01</v>
      </c>
      <c r="M1839" s="4">
        <f t="shared" si="142"/>
        <v>0.6</v>
      </c>
      <c r="N1839" s="1">
        <f t="shared" si="143"/>
        <v>45743</v>
      </c>
      <c r="O1839" s="3">
        <f>(Table13[[#This Row],[Units_Sold]]*Table13[[#This Row],[Unit_Price_Cleaned]]*(1-Table13[[#This Row],[Discount Cleaned]]))</f>
        <v>3554.4080000000004</v>
      </c>
      <c r="P1839" t="str">
        <f t="shared" si="144"/>
        <v>Profit</v>
      </c>
      <c r="Q1839" t="str" cm="1">
        <f t="array" ref="Q1839">IF(K1839="",INDEX($K$2:$K$2501,MATCH(MAX(COUNTIF($K$2:$K$2501,$K$2:$K$2501)),COUNTIF($K$2:$K$2501,$K$2:$K$2501),0)),K1839)</f>
        <v>B2B</v>
      </c>
    </row>
    <row r="1840" spans="1:17" x14ac:dyDescent="0.3">
      <c r="A1840">
        <v>2838</v>
      </c>
      <c r="B1840" t="s">
        <v>1871</v>
      </c>
      <c r="C1840" t="s">
        <v>38</v>
      </c>
      <c r="D1840" t="s">
        <v>91</v>
      </c>
      <c r="E1840">
        <v>2</v>
      </c>
      <c r="G1840">
        <v>0.97</v>
      </c>
      <c r="H1840" s="3">
        <f t="shared" si="140"/>
        <v>5737.5536363636356</v>
      </c>
      <c r="J1840" t="s">
        <v>22</v>
      </c>
      <c r="K1840" t="s">
        <v>23</v>
      </c>
      <c r="L1840" s="2">
        <f t="shared" si="141"/>
        <v>2868.7768181818178</v>
      </c>
      <c r="M1840" s="4">
        <f t="shared" si="142"/>
        <v>0.97</v>
      </c>
      <c r="N1840" s="1">
        <f t="shared" si="143"/>
        <v>45782</v>
      </c>
      <c r="O1840" s="3">
        <f>(Table13[[#This Row],[Units_Sold]]*Table13[[#This Row],[Unit_Price_Cleaned]]*(1-Table13[[#This Row],[Discount Cleaned]]))</f>
        <v>172.12660909090923</v>
      </c>
      <c r="P1840" t="str">
        <f t="shared" si="144"/>
        <v>Loss</v>
      </c>
      <c r="Q1840" t="str" cm="1">
        <f t="array" ref="Q1840">IF(K1840="",INDEX($K$2:$K$2501,MATCH(MAX(COUNTIF($K$2:$K$2501,$K$2:$K$2501)),COUNTIF($K$2:$K$2501,$K$2:$K$2501),0)),K1840)</f>
        <v>B2B</v>
      </c>
    </row>
    <row r="1841" spans="1:17" x14ac:dyDescent="0.3">
      <c r="A1841">
        <v>2839</v>
      </c>
      <c r="B1841" t="s">
        <v>1872</v>
      </c>
      <c r="C1841" t="s">
        <v>25</v>
      </c>
      <c r="D1841" t="s">
        <v>86</v>
      </c>
      <c r="E1841">
        <v>2</v>
      </c>
      <c r="F1841">
        <v>561.24</v>
      </c>
      <c r="H1841" s="3">
        <f t="shared" si="140"/>
        <v>1122.48</v>
      </c>
      <c r="I1841" s="1">
        <v>45589</v>
      </c>
      <c r="J1841" t="s">
        <v>56</v>
      </c>
      <c r="L1841" s="2">
        <f t="shared" si="141"/>
        <v>561.24</v>
      </c>
      <c r="M1841" s="4">
        <f t="shared" si="142"/>
        <v>0.6</v>
      </c>
      <c r="N1841" s="1">
        <f t="shared" si="143"/>
        <v>45589</v>
      </c>
      <c r="O1841" s="3">
        <f>(Table13[[#This Row],[Units_Sold]]*Table13[[#This Row],[Unit_Price_Cleaned]]*(1-Table13[[#This Row],[Discount Cleaned]]))</f>
        <v>448.99200000000002</v>
      </c>
      <c r="P1841" t="str">
        <f t="shared" si="144"/>
        <v>Loss</v>
      </c>
      <c r="Q1841" t="str" cm="1">
        <f t="array" ref="Q1841">IF(K1841="",INDEX($K$2:$K$2501,MATCH(MAX(COUNTIF($K$2:$K$2501,$K$2:$K$2501)),COUNTIF($K$2:$K$2501,$K$2:$K$2501),0)),K1841)</f>
        <v>B2B</v>
      </c>
    </row>
    <row r="1842" spans="1:17" x14ac:dyDescent="0.3">
      <c r="A1842">
        <v>2840</v>
      </c>
      <c r="B1842" t="s">
        <v>1873</v>
      </c>
      <c r="C1842" t="s">
        <v>20</v>
      </c>
      <c r="D1842" t="s">
        <v>80</v>
      </c>
      <c r="E1842">
        <v>2</v>
      </c>
      <c r="F1842">
        <v>2297.54</v>
      </c>
      <c r="H1842" s="3">
        <f t="shared" si="140"/>
        <v>4595.08</v>
      </c>
      <c r="I1842" s="1">
        <v>45739</v>
      </c>
      <c r="J1842" t="s">
        <v>56</v>
      </c>
      <c r="K1842" t="s">
        <v>23</v>
      </c>
      <c r="L1842" s="2">
        <f t="shared" si="141"/>
        <v>2297.54</v>
      </c>
      <c r="M1842" s="4">
        <f t="shared" si="142"/>
        <v>0.6</v>
      </c>
      <c r="N1842" s="1">
        <f t="shared" si="143"/>
        <v>45739</v>
      </c>
      <c r="O1842" s="3">
        <f>(Table13[[#This Row],[Units_Sold]]*Table13[[#This Row],[Unit_Price_Cleaned]]*(1-Table13[[#This Row],[Discount Cleaned]]))</f>
        <v>1838.0320000000002</v>
      </c>
      <c r="P1842" t="str">
        <f t="shared" si="144"/>
        <v>Profit</v>
      </c>
      <c r="Q1842" t="str" cm="1">
        <f t="array" ref="Q1842">IF(K1842="",INDEX($K$2:$K$2501,MATCH(MAX(COUNTIF($K$2:$K$2501,$K$2:$K$2501)),COUNTIF($K$2:$K$2501,$K$2:$K$2501),0)),K1842)</f>
        <v>B2B</v>
      </c>
    </row>
    <row r="1843" spans="1:17" x14ac:dyDescent="0.3">
      <c r="A1843">
        <v>2841</v>
      </c>
      <c r="B1843" t="s">
        <v>1874</v>
      </c>
      <c r="C1843" t="s">
        <v>13</v>
      </c>
      <c r="D1843" t="s">
        <v>102</v>
      </c>
      <c r="E1843">
        <v>2</v>
      </c>
      <c r="F1843">
        <v>4154.05</v>
      </c>
      <c r="H1843" s="3">
        <f t="shared" si="140"/>
        <v>8308.1</v>
      </c>
      <c r="I1843" s="1">
        <v>45665</v>
      </c>
      <c r="J1843" t="s">
        <v>22</v>
      </c>
      <c r="K1843" t="s">
        <v>23</v>
      </c>
      <c r="L1843" s="2">
        <f t="shared" si="141"/>
        <v>4154.05</v>
      </c>
      <c r="M1843" s="4">
        <f t="shared" si="142"/>
        <v>0.6</v>
      </c>
      <c r="N1843" s="1">
        <f t="shared" si="143"/>
        <v>45665</v>
      </c>
      <c r="O1843" s="3">
        <f>(Table13[[#This Row],[Units_Sold]]*Table13[[#This Row],[Unit_Price_Cleaned]]*(1-Table13[[#This Row],[Discount Cleaned]]))</f>
        <v>3323.2400000000002</v>
      </c>
      <c r="P1843" t="str">
        <f t="shared" si="144"/>
        <v>Profit</v>
      </c>
      <c r="Q1843" t="str" cm="1">
        <f t="array" ref="Q1843">IF(K1843="",INDEX($K$2:$K$2501,MATCH(MAX(COUNTIF($K$2:$K$2501,$K$2:$K$2501)),COUNTIF($K$2:$K$2501,$K$2:$K$2501),0)),K1843)</f>
        <v>B2B</v>
      </c>
    </row>
    <row r="1844" spans="1:17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 s="3">
        <f t="shared" si="140"/>
        <v>0</v>
      </c>
      <c r="I1844" s="1">
        <v>45560</v>
      </c>
      <c r="J1844" t="s">
        <v>15</v>
      </c>
      <c r="K1844" t="s">
        <v>23</v>
      </c>
      <c r="L1844" s="2">
        <f t="shared" si="141"/>
        <v>1812.58</v>
      </c>
      <c r="M1844" s="4">
        <f t="shared" si="142"/>
        <v>0.6</v>
      </c>
      <c r="N1844" s="1">
        <f t="shared" si="143"/>
        <v>45560</v>
      </c>
      <c r="O1844" s="3">
        <f>(Table13[[#This Row],[Units_Sold]]*Table13[[#This Row],[Unit_Price_Cleaned]]*(1-Table13[[#This Row],[Discount Cleaned]]))</f>
        <v>0</v>
      </c>
      <c r="P1844" t="str">
        <f t="shared" si="144"/>
        <v>Loss</v>
      </c>
      <c r="Q1844" t="str" cm="1">
        <f t="array" ref="Q1844">IF(K1844="",INDEX($K$2:$K$2501,MATCH(MAX(COUNTIF($K$2:$K$2501,$K$2:$K$2501)),COUNTIF($K$2:$K$2501,$K$2:$K$2501),0)),K1844)</f>
        <v>B2B</v>
      </c>
    </row>
    <row r="1845" spans="1:17" x14ac:dyDescent="0.3">
      <c r="A1845">
        <v>2843</v>
      </c>
      <c r="B1845" t="s">
        <v>1876</v>
      </c>
      <c r="C1845" t="s">
        <v>33</v>
      </c>
      <c r="D1845" t="s">
        <v>82</v>
      </c>
      <c r="E1845">
        <v>2</v>
      </c>
      <c r="F1845">
        <v>1110.1099999999999</v>
      </c>
      <c r="H1845" s="3">
        <f t="shared" si="140"/>
        <v>2220.2199999999998</v>
      </c>
      <c r="I1845" s="1">
        <v>45679</v>
      </c>
      <c r="J1845" t="s">
        <v>22</v>
      </c>
      <c r="K1845" t="s">
        <v>23</v>
      </c>
      <c r="L1845" s="2">
        <f t="shared" si="141"/>
        <v>1110.1099999999999</v>
      </c>
      <c r="M1845" s="4">
        <f t="shared" si="142"/>
        <v>0.6</v>
      </c>
      <c r="N1845" s="1">
        <f t="shared" si="143"/>
        <v>45679</v>
      </c>
      <c r="O1845" s="3">
        <f>(Table13[[#This Row],[Units_Sold]]*Table13[[#This Row],[Unit_Price_Cleaned]]*(1-Table13[[#This Row],[Discount Cleaned]]))</f>
        <v>888.08799999999997</v>
      </c>
      <c r="P1845" t="str">
        <f t="shared" si="144"/>
        <v>Profit</v>
      </c>
      <c r="Q1845" t="str" cm="1">
        <f t="array" ref="Q1845">IF(K1845="",INDEX($K$2:$K$2501,MATCH(MAX(COUNTIF($K$2:$K$2501,$K$2:$K$2501)),COUNTIF($K$2:$K$2501,$K$2:$K$2501),0)),K1845)</f>
        <v>B2B</v>
      </c>
    </row>
    <row r="1846" spans="1:17" x14ac:dyDescent="0.3">
      <c r="A1846">
        <v>2844</v>
      </c>
      <c r="B1846" t="s">
        <v>1877</v>
      </c>
      <c r="C1846" t="s">
        <v>13</v>
      </c>
      <c r="D1846" t="s">
        <v>49</v>
      </c>
      <c r="E1846">
        <v>2</v>
      </c>
      <c r="F1846">
        <v>2549.59</v>
      </c>
      <c r="H1846" s="3">
        <f t="shared" si="140"/>
        <v>5099.18</v>
      </c>
      <c r="I1846" s="1">
        <v>45431</v>
      </c>
      <c r="J1846" t="s">
        <v>15</v>
      </c>
      <c r="L1846" s="2">
        <f t="shared" si="141"/>
        <v>2549.59</v>
      </c>
      <c r="M1846" s="4">
        <f t="shared" si="142"/>
        <v>0.6</v>
      </c>
      <c r="N1846" s="1">
        <f t="shared" si="143"/>
        <v>45431</v>
      </c>
      <c r="O1846" s="3">
        <f>(Table13[[#This Row],[Units_Sold]]*Table13[[#This Row],[Unit_Price_Cleaned]]*(1-Table13[[#This Row],[Discount Cleaned]]))</f>
        <v>2039.6720000000003</v>
      </c>
      <c r="P1846" t="str">
        <f t="shared" si="144"/>
        <v>Profit</v>
      </c>
      <c r="Q1846" t="str" cm="1">
        <f t="array" ref="Q1846">IF(K1846="",INDEX($K$2:$K$2501,MATCH(MAX(COUNTIF($K$2:$K$2501,$K$2:$K$2501)),COUNTIF($K$2:$K$2501,$K$2:$K$2501),0)),K1846)</f>
        <v>B2B</v>
      </c>
    </row>
    <row r="1847" spans="1:17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 s="3">
        <f t="shared" si="140"/>
        <v>-5451.7114285714297</v>
      </c>
      <c r="I1847" s="1">
        <v>45751</v>
      </c>
      <c r="J1847" t="s">
        <v>15</v>
      </c>
      <c r="K1847" t="s">
        <v>23</v>
      </c>
      <c r="L1847" s="2">
        <f t="shared" si="141"/>
        <v>2725.8557142857148</v>
      </c>
      <c r="M1847" s="4">
        <f t="shared" si="142"/>
        <v>0.6</v>
      </c>
      <c r="N1847" s="1">
        <f t="shared" si="143"/>
        <v>45751</v>
      </c>
      <c r="O1847" s="3">
        <f>(Table13[[#This Row],[Units_Sold]]*Table13[[#This Row],[Unit_Price_Cleaned]]*(1-Table13[[#This Row],[Discount Cleaned]]))</f>
        <v>-2180.6845714285719</v>
      </c>
      <c r="P1847" t="str">
        <f t="shared" si="144"/>
        <v>Loss</v>
      </c>
      <c r="Q1847" t="str" cm="1">
        <f t="array" ref="Q1847">IF(K1847="",INDEX($K$2:$K$2501,MATCH(MAX(COUNTIF($K$2:$K$2501,$K$2:$K$2501)),COUNTIF($K$2:$K$2501,$K$2:$K$2501),0)),K1847)</f>
        <v>B2B</v>
      </c>
    </row>
    <row r="1848" spans="1:17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 s="3">
        <f t="shared" si="140"/>
        <v>-5050.08</v>
      </c>
      <c r="I1848" s="1">
        <v>45560</v>
      </c>
      <c r="J1848" t="s">
        <v>56</v>
      </c>
      <c r="L1848" s="2">
        <f t="shared" si="141"/>
        <v>2525.04</v>
      </c>
      <c r="M1848" s="4">
        <f t="shared" si="142"/>
        <v>0.3</v>
      </c>
      <c r="N1848" s="1">
        <f t="shared" si="143"/>
        <v>45560</v>
      </c>
      <c r="O1848" s="3">
        <f>(Table13[[#This Row],[Units_Sold]]*Table13[[#This Row],[Unit_Price_Cleaned]]*(1-Table13[[#This Row],[Discount Cleaned]]))</f>
        <v>-3535.0559999999996</v>
      </c>
      <c r="P1848" t="str">
        <f t="shared" si="144"/>
        <v>Loss</v>
      </c>
      <c r="Q1848" t="str" cm="1">
        <f t="array" ref="Q1848">IF(K1848="",INDEX($K$2:$K$2501,MATCH(MAX(COUNTIF($K$2:$K$2501,$K$2:$K$2501)),COUNTIF($K$2:$K$2501,$K$2:$K$2501),0)),K1848)</f>
        <v>B2B</v>
      </c>
    </row>
    <row r="1849" spans="1:17" x14ac:dyDescent="0.3">
      <c r="A1849">
        <v>2847</v>
      </c>
      <c r="B1849" t="s">
        <v>1880</v>
      </c>
      <c r="C1849" t="s">
        <v>25</v>
      </c>
      <c r="D1849" t="s">
        <v>86</v>
      </c>
      <c r="E1849">
        <v>2</v>
      </c>
      <c r="F1849">
        <v>3424.29</v>
      </c>
      <c r="G1849">
        <v>1.08</v>
      </c>
      <c r="H1849" s="3">
        <f t="shared" si="140"/>
        <v>6848.58</v>
      </c>
      <c r="I1849" s="1">
        <v>45516</v>
      </c>
      <c r="J1849" t="s">
        <v>46</v>
      </c>
      <c r="K1849" t="s">
        <v>23</v>
      </c>
      <c r="L1849" s="2">
        <f t="shared" si="141"/>
        <v>3424.29</v>
      </c>
      <c r="M1849" s="4">
        <f t="shared" si="142"/>
        <v>1.08</v>
      </c>
      <c r="N1849" s="1">
        <f t="shared" si="143"/>
        <v>45516</v>
      </c>
      <c r="O1849" s="3">
        <f>(Table13[[#This Row],[Units_Sold]]*Table13[[#This Row],[Unit_Price_Cleaned]]*(1-Table13[[#This Row],[Discount Cleaned]]))</f>
        <v>-547.88640000000044</v>
      </c>
      <c r="P1849" t="str">
        <f t="shared" si="144"/>
        <v>Loss</v>
      </c>
      <c r="Q1849" t="str" cm="1">
        <f t="array" ref="Q1849">IF(K1849="",INDEX($K$2:$K$2501,MATCH(MAX(COUNTIF($K$2:$K$2501,$K$2:$K$2501)),COUNTIF($K$2:$K$2501,$K$2:$K$2501),0)),K1849)</f>
        <v>B2B</v>
      </c>
    </row>
    <row r="1850" spans="1:17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 s="3">
        <f t="shared" si="140"/>
        <v>5400.2526086956505</v>
      </c>
      <c r="I1850" s="1">
        <v>45535</v>
      </c>
      <c r="J1850" t="s">
        <v>18</v>
      </c>
      <c r="K1850" t="s">
        <v>16</v>
      </c>
      <c r="L1850" s="2">
        <f t="shared" si="141"/>
        <v>2700.1263043478252</v>
      </c>
      <c r="M1850" s="4">
        <f t="shared" si="142"/>
        <v>0.6</v>
      </c>
      <c r="N1850" s="1">
        <f t="shared" si="143"/>
        <v>45535</v>
      </c>
      <c r="O1850" s="3">
        <f>(Table13[[#This Row],[Units_Sold]]*Table13[[#This Row],[Unit_Price_Cleaned]]*(1-Table13[[#This Row],[Discount Cleaned]]))</f>
        <v>2160.1010434782602</v>
      </c>
      <c r="P1850" t="str">
        <f t="shared" si="144"/>
        <v>Profit</v>
      </c>
      <c r="Q1850" t="str" cm="1">
        <f t="array" ref="Q1850">IF(K1850="",INDEX($K$2:$K$2501,MATCH(MAX(COUNTIF($K$2:$K$2501,$K$2:$K$2501)),COUNTIF($K$2:$K$2501,$K$2:$K$2501),0)),K1850)</f>
        <v>B2C</v>
      </c>
    </row>
    <row r="1851" spans="1:17" x14ac:dyDescent="0.3">
      <c r="A1851">
        <v>2849</v>
      </c>
      <c r="B1851" t="s">
        <v>1882</v>
      </c>
      <c r="C1851" t="s">
        <v>29</v>
      </c>
      <c r="D1851" t="s">
        <v>42</v>
      </c>
      <c r="E1851">
        <v>2</v>
      </c>
      <c r="G1851">
        <v>0.35</v>
      </c>
      <c r="H1851" s="3">
        <f t="shared" si="140"/>
        <v>5119.3334615384629</v>
      </c>
      <c r="J1851" t="s">
        <v>22</v>
      </c>
      <c r="K1851" t="s">
        <v>23</v>
      </c>
      <c r="L1851" s="2">
        <f t="shared" si="141"/>
        <v>2559.6667307692314</v>
      </c>
      <c r="M1851" s="4">
        <f t="shared" si="142"/>
        <v>0.35</v>
      </c>
      <c r="N1851" s="1">
        <f t="shared" si="143"/>
        <v>45782</v>
      </c>
      <c r="O1851" s="3">
        <f>(Table13[[#This Row],[Units_Sold]]*Table13[[#This Row],[Unit_Price_Cleaned]]*(1-Table13[[#This Row],[Discount Cleaned]]))</f>
        <v>3327.5667500000009</v>
      </c>
      <c r="P1851" t="str">
        <f t="shared" si="144"/>
        <v>Profit</v>
      </c>
      <c r="Q1851" t="str" cm="1">
        <f t="array" ref="Q1851">IF(K1851="",INDEX($K$2:$K$2501,MATCH(MAX(COUNTIF($K$2:$K$2501,$K$2:$K$2501)),COUNTIF($K$2:$K$2501,$K$2:$K$2501),0)),K1851)</f>
        <v>B2B</v>
      </c>
    </row>
    <row r="1852" spans="1:17" x14ac:dyDescent="0.3">
      <c r="A1852">
        <v>2850</v>
      </c>
      <c r="B1852" t="s">
        <v>1883</v>
      </c>
      <c r="C1852" t="s">
        <v>13</v>
      </c>
      <c r="D1852" t="s">
        <v>14</v>
      </c>
      <c r="E1852">
        <v>2</v>
      </c>
      <c r="F1852">
        <v>2687.96</v>
      </c>
      <c r="H1852" s="3">
        <f t="shared" si="140"/>
        <v>5375.92</v>
      </c>
      <c r="I1852" s="1">
        <v>45559</v>
      </c>
      <c r="J1852" t="s">
        <v>15</v>
      </c>
      <c r="K1852" t="s">
        <v>23</v>
      </c>
      <c r="L1852" s="2">
        <f t="shared" si="141"/>
        <v>2687.96</v>
      </c>
      <c r="M1852" s="4">
        <f t="shared" si="142"/>
        <v>0.6</v>
      </c>
      <c r="N1852" s="1">
        <f t="shared" si="143"/>
        <v>45559</v>
      </c>
      <c r="O1852" s="3">
        <f>(Table13[[#This Row],[Units_Sold]]*Table13[[#This Row],[Unit_Price_Cleaned]]*(1-Table13[[#This Row],[Discount Cleaned]]))</f>
        <v>2150.3679999999999</v>
      </c>
      <c r="P1852" t="str">
        <f t="shared" si="144"/>
        <v>Profit</v>
      </c>
      <c r="Q1852" t="str" cm="1">
        <f t="array" ref="Q1852">IF(K1852="",INDEX($K$2:$K$2501,MATCH(MAX(COUNTIF($K$2:$K$2501,$K$2:$K$2501)),COUNTIF($K$2:$K$2501,$K$2:$K$2501),0)),K1852)</f>
        <v>B2B</v>
      </c>
    </row>
    <row r="1853" spans="1:17" x14ac:dyDescent="0.3">
      <c r="A1853">
        <v>2851</v>
      </c>
      <c r="B1853" t="s">
        <v>1884</v>
      </c>
      <c r="C1853" t="s">
        <v>38</v>
      </c>
      <c r="D1853" t="s">
        <v>39</v>
      </c>
      <c r="E1853">
        <v>2</v>
      </c>
      <c r="F1853">
        <v>1525.28</v>
      </c>
      <c r="H1853" s="3">
        <f t="shared" si="140"/>
        <v>3050.56</v>
      </c>
      <c r="I1853" s="1">
        <v>45543</v>
      </c>
      <c r="J1853" t="s">
        <v>56</v>
      </c>
      <c r="K1853" t="s">
        <v>16</v>
      </c>
      <c r="L1853" s="2">
        <f t="shared" si="141"/>
        <v>1525.28</v>
      </c>
      <c r="M1853" s="4">
        <f t="shared" si="142"/>
        <v>0.6</v>
      </c>
      <c r="N1853" s="1">
        <f t="shared" si="143"/>
        <v>45543</v>
      </c>
      <c r="O1853" s="3">
        <f>(Table13[[#This Row],[Units_Sold]]*Table13[[#This Row],[Unit_Price_Cleaned]]*(1-Table13[[#This Row],[Discount Cleaned]]))</f>
        <v>1220.2239999999999</v>
      </c>
      <c r="P1853" t="str">
        <f t="shared" si="144"/>
        <v>Profit</v>
      </c>
      <c r="Q1853" t="str" cm="1">
        <f t="array" ref="Q1853">IF(K1853="",INDEX($K$2:$K$2501,MATCH(MAX(COUNTIF($K$2:$K$2501,$K$2:$K$2501)),COUNTIF($K$2:$K$2501,$K$2:$K$2501),0)),K1853)</f>
        <v>B2C</v>
      </c>
    </row>
    <row r="1854" spans="1:17" x14ac:dyDescent="0.3">
      <c r="A1854">
        <v>2852</v>
      </c>
      <c r="B1854" t="s">
        <v>1885</v>
      </c>
      <c r="C1854" t="s">
        <v>25</v>
      </c>
      <c r="D1854" t="s">
        <v>86</v>
      </c>
      <c r="E1854">
        <v>2</v>
      </c>
      <c r="F1854">
        <v>1816.76</v>
      </c>
      <c r="H1854" s="3">
        <f t="shared" si="140"/>
        <v>3633.52</v>
      </c>
      <c r="J1854" t="s">
        <v>22</v>
      </c>
      <c r="L1854" s="2">
        <f t="shared" si="141"/>
        <v>1816.76</v>
      </c>
      <c r="M1854" s="4">
        <f t="shared" si="142"/>
        <v>0.6</v>
      </c>
      <c r="N1854" s="1">
        <f t="shared" si="143"/>
        <v>45782</v>
      </c>
      <c r="O1854" s="3">
        <f>(Table13[[#This Row],[Units_Sold]]*Table13[[#This Row],[Unit_Price_Cleaned]]*(1-Table13[[#This Row],[Discount Cleaned]]))</f>
        <v>1453.4080000000001</v>
      </c>
      <c r="P1854" t="str">
        <f t="shared" si="144"/>
        <v>Profit</v>
      </c>
      <c r="Q1854" t="str" cm="1">
        <f t="array" ref="Q1854">IF(K1854="",INDEX($K$2:$K$2501,MATCH(MAX(COUNTIF($K$2:$K$2501,$K$2:$K$2501)),COUNTIF($K$2:$K$2501,$K$2:$K$2501),0)),K1854)</f>
        <v>B2B</v>
      </c>
    </row>
    <row r="1855" spans="1:17" x14ac:dyDescent="0.3">
      <c r="A1855">
        <v>2853</v>
      </c>
      <c r="B1855" t="s">
        <v>1886</v>
      </c>
      <c r="C1855" t="s">
        <v>33</v>
      </c>
      <c r="D1855" t="s">
        <v>82</v>
      </c>
      <c r="E1855">
        <v>2</v>
      </c>
      <c r="F1855">
        <v>1212.44</v>
      </c>
      <c r="G1855">
        <v>0.89</v>
      </c>
      <c r="H1855" s="3">
        <f t="shared" si="140"/>
        <v>2424.88</v>
      </c>
      <c r="I1855" s="1">
        <v>45860</v>
      </c>
      <c r="J1855" t="s">
        <v>22</v>
      </c>
      <c r="K1855" t="s">
        <v>16</v>
      </c>
      <c r="L1855" s="2">
        <f t="shared" si="141"/>
        <v>1212.44</v>
      </c>
      <c r="M1855" s="4">
        <f t="shared" si="142"/>
        <v>0.89</v>
      </c>
      <c r="N1855" s="1">
        <f t="shared" si="143"/>
        <v>45860</v>
      </c>
      <c r="O1855" s="3">
        <f>(Table13[[#This Row],[Units_Sold]]*Table13[[#This Row],[Unit_Price_Cleaned]]*(1-Table13[[#This Row],[Discount Cleaned]]))</f>
        <v>266.73679999999996</v>
      </c>
      <c r="P1855" t="str">
        <f t="shared" si="144"/>
        <v>Loss</v>
      </c>
      <c r="Q1855" t="str" cm="1">
        <f t="array" ref="Q1855">IF(K1855="",INDEX($K$2:$K$2501,MATCH(MAX(COUNTIF($K$2:$K$2501,$K$2:$K$2501)),COUNTIF($K$2:$K$2501,$K$2:$K$2501),0)),K1855)</f>
        <v>B2C</v>
      </c>
    </row>
    <row r="1856" spans="1:17" x14ac:dyDescent="0.3">
      <c r="A1856">
        <v>2854</v>
      </c>
      <c r="B1856" t="s">
        <v>1887</v>
      </c>
      <c r="C1856" t="s">
        <v>13</v>
      </c>
      <c r="D1856" t="s">
        <v>14</v>
      </c>
      <c r="E1856">
        <v>2</v>
      </c>
      <c r="F1856">
        <v>3303.02</v>
      </c>
      <c r="G1856">
        <v>0.7</v>
      </c>
      <c r="H1856" s="3">
        <f t="shared" si="140"/>
        <v>6606.04</v>
      </c>
      <c r="J1856" t="s">
        <v>22</v>
      </c>
      <c r="K1856" t="s">
        <v>23</v>
      </c>
      <c r="L1856" s="2">
        <f t="shared" si="141"/>
        <v>3303.02</v>
      </c>
      <c r="M1856" s="4">
        <f t="shared" si="142"/>
        <v>0.7</v>
      </c>
      <c r="N1856" s="1">
        <f t="shared" si="143"/>
        <v>45782</v>
      </c>
      <c r="O1856" s="3">
        <f>(Table13[[#This Row],[Units_Sold]]*Table13[[#This Row],[Unit_Price_Cleaned]]*(1-Table13[[#This Row],[Discount Cleaned]]))</f>
        <v>1981.8120000000004</v>
      </c>
      <c r="P1856" t="str">
        <f t="shared" si="144"/>
        <v>Profit</v>
      </c>
      <c r="Q1856" t="str" cm="1">
        <f t="array" ref="Q1856">IF(K1856="",INDEX($K$2:$K$2501,MATCH(MAX(COUNTIF($K$2:$K$2501,$K$2:$K$2501)),COUNTIF($K$2:$K$2501,$K$2:$K$2501),0)),K1856)</f>
        <v>B2B</v>
      </c>
    </row>
    <row r="1857" spans="1:17" x14ac:dyDescent="0.3">
      <c r="A1857">
        <v>2855</v>
      </c>
      <c r="B1857" t="s">
        <v>1888</v>
      </c>
      <c r="C1857" t="s">
        <v>13</v>
      </c>
      <c r="D1857" t="s">
        <v>14</v>
      </c>
      <c r="E1857">
        <v>2</v>
      </c>
      <c r="F1857">
        <v>1831.4</v>
      </c>
      <c r="H1857" s="3">
        <f t="shared" si="140"/>
        <v>3662.8</v>
      </c>
      <c r="I1857" s="1">
        <v>45584</v>
      </c>
      <c r="J1857" t="s">
        <v>56</v>
      </c>
      <c r="L1857" s="2">
        <f t="shared" si="141"/>
        <v>1831.4</v>
      </c>
      <c r="M1857" s="4">
        <f t="shared" si="142"/>
        <v>0.6</v>
      </c>
      <c r="N1857" s="1">
        <f t="shared" si="143"/>
        <v>45584</v>
      </c>
      <c r="O1857" s="3">
        <f>(Table13[[#This Row],[Units_Sold]]*Table13[[#This Row],[Unit_Price_Cleaned]]*(1-Table13[[#This Row],[Discount Cleaned]]))</f>
        <v>1465.1200000000001</v>
      </c>
      <c r="P1857" t="str">
        <f t="shared" si="144"/>
        <v>Profit</v>
      </c>
      <c r="Q1857" t="str" cm="1">
        <f t="array" ref="Q1857">IF(K1857="",INDEX($K$2:$K$2501,MATCH(MAX(COUNTIF($K$2:$K$2501,$K$2:$K$2501)),COUNTIF($K$2:$K$2501,$K$2:$K$2501),0)),K1857)</f>
        <v>B2B</v>
      </c>
    </row>
    <row r="1858" spans="1:17" x14ac:dyDescent="0.3">
      <c r="A1858">
        <v>2856</v>
      </c>
      <c r="B1858" t="s">
        <v>1889</v>
      </c>
      <c r="C1858" t="s">
        <v>38</v>
      </c>
      <c r="D1858" t="s">
        <v>63</v>
      </c>
      <c r="E1858">
        <v>2</v>
      </c>
      <c r="H1858" s="3">
        <f t="shared" ref="H1858:H1921" si="145">(L1858*E1858)</f>
        <v>5690.4839344262318</v>
      </c>
      <c r="J1858" t="s">
        <v>56</v>
      </c>
      <c r="K1858" t="s">
        <v>23</v>
      </c>
      <c r="L1858" s="2">
        <f t="shared" ref="L1858:L1921" si="146">IF(F1858="",AVERAGEIF($D$2:$D$2501,D1858,$F$2:$F$2501),F1858)</f>
        <v>2845.2419672131159</v>
      </c>
      <c r="M1858" s="4">
        <f t="shared" ref="M1858:M1921" si="147">IF(G1858="",MEDIAN($G$2,$G$2501),G1858)</f>
        <v>0.6</v>
      </c>
      <c r="N1858" s="1">
        <f t="shared" ref="N1858:N1921" si="148">IF(I1858="",MODE($I$32:$I$2501),I1858)</f>
        <v>45782</v>
      </c>
      <c r="O1858" s="3">
        <f>(Table13[[#This Row],[Units_Sold]]*Table13[[#This Row],[Unit_Price_Cleaned]]*(1-Table13[[#This Row],[Discount Cleaned]]))</f>
        <v>2276.193573770493</v>
      </c>
      <c r="P1858" t="str">
        <f t="shared" ref="P1858:P1921" si="149">IF(O1858&gt;500,"Profit","Loss")</f>
        <v>Profit</v>
      </c>
      <c r="Q1858" t="str" cm="1">
        <f t="array" ref="Q1858">IF(K1858="",INDEX($K$2:$K$2501,MATCH(MAX(COUNTIF($K$2:$K$2501,$K$2:$K$2501)),COUNTIF($K$2:$K$2501,$K$2:$K$2501),0)),K1858)</f>
        <v>B2B</v>
      </c>
    </row>
    <row r="1859" spans="1:17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 s="3">
        <f t="shared" si="145"/>
        <v>13925.438983050846</v>
      </c>
      <c r="I1859" s="1">
        <v>45777</v>
      </c>
      <c r="J1859" t="s">
        <v>22</v>
      </c>
      <c r="K1859" t="s">
        <v>23</v>
      </c>
      <c r="L1859" s="2">
        <f t="shared" si="146"/>
        <v>2785.0877966101693</v>
      </c>
      <c r="M1859" s="4">
        <f t="shared" si="147"/>
        <v>0.6</v>
      </c>
      <c r="N1859" s="1">
        <f t="shared" si="148"/>
        <v>45777</v>
      </c>
      <c r="O1859" s="3">
        <f>(Table13[[#This Row],[Units_Sold]]*Table13[[#This Row],[Unit_Price_Cleaned]]*(1-Table13[[#This Row],[Discount Cleaned]]))</f>
        <v>5570.1755932203387</v>
      </c>
      <c r="P1859" t="str">
        <f t="shared" si="149"/>
        <v>Profit</v>
      </c>
      <c r="Q1859" t="str" cm="1">
        <f t="array" ref="Q1859">IF(K1859="",INDEX($K$2:$K$2501,MATCH(MAX(COUNTIF($K$2:$K$2501,$K$2:$K$2501)),COUNTIF($K$2:$K$2501,$K$2:$K$2501),0)),K1859)</f>
        <v>B2B</v>
      </c>
    </row>
    <row r="1860" spans="1:17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 s="3">
        <f t="shared" si="145"/>
        <v>-3270.29</v>
      </c>
      <c r="I1860" s="1">
        <v>45695</v>
      </c>
      <c r="J1860" t="s">
        <v>46</v>
      </c>
      <c r="K1860" t="s">
        <v>16</v>
      </c>
      <c r="L1860" s="2">
        <f t="shared" si="146"/>
        <v>3270.29</v>
      </c>
      <c r="M1860" s="4">
        <f t="shared" si="147"/>
        <v>0.6</v>
      </c>
      <c r="N1860" s="1">
        <f t="shared" si="148"/>
        <v>45695</v>
      </c>
      <c r="O1860" s="3">
        <f>(Table13[[#This Row],[Units_Sold]]*Table13[[#This Row],[Unit_Price_Cleaned]]*(1-Table13[[#This Row],[Discount Cleaned]]))</f>
        <v>-1308.116</v>
      </c>
      <c r="P1860" t="str">
        <f t="shared" si="149"/>
        <v>Loss</v>
      </c>
      <c r="Q1860" t="str" cm="1">
        <f t="array" ref="Q1860">IF(K1860="",INDEX($K$2:$K$2501,MATCH(MAX(COUNTIF($K$2:$K$2501,$K$2:$K$2501)),COUNTIF($K$2:$K$2501,$K$2:$K$2501),0)),K1860)</f>
        <v>B2C</v>
      </c>
    </row>
    <row r="1861" spans="1:17" x14ac:dyDescent="0.3">
      <c r="A1861">
        <v>2859</v>
      </c>
      <c r="B1861" t="s">
        <v>1892</v>
      </c>
      <c r="C1861" t="s">
        <v>29</v>
      </c>
      <c r="D1861" t="s">
        <v>42</v>
      </c>
      <c r="E1861">
        <v>2</v>
      </c>
      <c r="G1861">
        <v>0.78</v>
      </c>
      <c r="H1861" s="3">
        <f t="shared" si="145"/>
        <v>5119.3334615384629</v>
      </c>
      <c r="I1861" s="1">
        <v>45451</v>
      </c>
      <c r="J1861" t="s">
        <v>40</v>
      </c>
      <c r="K1861" t="s">
        <v>23</v>
      </c>
      <c r="L1861" s="2">
        <f t="shared" si="146"/>
        <v>2559.6667307692314</v>
      </c>
      <c r="M1861" s="4">
        <f t="shared" si="147"/>
        <v>0.78</v>
      </c>
      <c r="N1861" s="1">
        <f t="shared" si="148"/>
        <v>45451</v>
      </c>
      <c r="O1861" s="3">
        <f>(Table13[[#This Row],[Units_Sold]]*Table13[[#This Row],[Unit_Price_Cleaned]]*(1-Table13[[#This Row],[Discount Cleaned]]))</f>
        <v>1126.2533615384616</v>
      </c>
      <c r="P1861" t="str">
        <f t="shared" si="149"/>
        <v>Profit</v>
      </c>
      <c r="Q1861" t="str" cm="1">
        <f t="array" ref="Q1861">IF(K1861="",INDEX($K$2:$K$2501,MATCH(MAX(COUNTIF($K$2:$K$2501,$K$2:$K$2501)),COUNTIF($K$2:$K$2501,$K$2:$K$2501),0)),K1861)</f>
        <v>B2B</v>
      </c>
    </row>
    <row r="1862" spans="1:17" x14ac:dyDescent="0.3">
      <c r="A1862">
        <v>2860</v>
      </c>
      <c r="B1862" t="s">
        <v>1893</v>
      </c>
      <c r="C1862" t="s">
        <v>13</v>
      </c>
      <c r="D1862" t="s">
        <v>49</v>
      </c>
      <c r="E1862">
        <v>2</v>
      </c>
      <c r="F1862">
        <v>4428.24</v>
      </c>
      <c r="G1862">
        <v>0.09</v>
      </c>
      <c r="H1862" s="3">
        <f t="shared" si="145"/>
        <v>8856.48</v>
      </c>
      <c r="J1862" t="s">
        <v>22</v>
      </c>
      <c r="L1862" s="2">
        <f t="shared" si="146"/>
        <v>4428.24</v>
      </c>
      <c r="M1862" s="4">
        <f t="shared" si="147"/>
        <v>0.09</v>
      </c>
      <c r="N1862" s="1">
        <f t="shared" si="148"/>
        <v>45782</v>
      </c>
      <c r="O1862" s="3">
        <f>(Table13[[#This Row],[Units_Sold]]*Table13[[#This Row],[Unit_Price_Cleaned]]*(1-Table13[[#This Row],[Discount Cleaned]]))</f>
        <v>8059.3967999999995</v>
      </c>
      <c r="P1862" t="str">
        <f t="shared" si="149"/>
        <v>Profit</v>
      </c>
      <c r="Q1862" t="str" cm="1">
        <f t="array" ref="Q1862">IF(K1862="",INDEX($K$2:$K$2501,MATCH(MAX(COUNTIF($K$2:$K$2501,$K$2:$K$2501)),COUNTIF($K$2:$K$2501,$K$2:$K$2501),0)),K1862)</f>
        <v>B2B</v>
      </c>
    </row>
    <row r="1863" spans="1:17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 s="3">
        <f t="shared" si="145"/>
        <v>11217.060769230768</v>
      </c>
      <c r="I1863" s="1">
        <v>45839</v>
      </c>
      <c r="J1863" t="s">
        <v>15</v>
      </c>
      <c r="L1863" s="2">
        <f t="shared" si="146"/>
        <v>2804.2651923076919</v>
      </c>
      <c r="M1863" s="4">
        <f t="shared" si="147"/>
        <v>0.06</v>
      </c>
      <c r="N1863" s="1">
        <f t="shared" si="148"/>
        <v>45839</v>
      </c>
      <c r="O1863" s="3">
        <f>(Table13[[#This Row],[Units_Sold]]*Table13[[#This Row],[Unit_Price_Cleaned]]*(1-Table13[[#This Row],[Discount Cleaned]]))</f>
        <v>10544.037123076921</v>
      </c>
      <c r="P1863" t="str">
        <f t="shared" si="149"/>
        <v>Profit</v>
      </c>
      <c r="Q1863" t="str" cm="1">
        <f t="array" ref="Q1863">IF(K1863="",INDEX($K$2:$K$2501,MATCH(MAX(COUNTIF($K$2:$K$2501,$K$2:$K$2501)),COUNTIF($K$2:$K$2501,$K$2:$K$2501),0)),K1863)</f>
        <v>B2B</v>
      </c>
    </row>
    <row r="1864" spans="1:17" x14ac:dyDescent="0.3">
      <c r="A1864">
        <v>2862</v>
      </c>
      <c r="B1864" t="s">
        <v>1895</v>
      </c>
      <c r="C1864" t="s">
        <v>13</v>
      </c>
      <c r="D1864" t="s">
        <v>49</v>
      </c>
      <c r="E1864">
        <v>2</v>
      </c>
      <c r="H1864" s="3">
        <f t="shared" si="145"/>
        <v>5570.1755932203387</v>
      </c>
      <c r="J1864" t="s">
        <v>46</v>
      </c>
      <c r="K1864" t="s">
        <v>16</v>
      </c>
      <c r="L1864" s="2">
        <f t="shared" si="146"/>
        <v>2785.0877966101693</v>
      </c>
      <c r="M1864" s="4">
        <f t="shared" si="147"/>
        <v>0.6</v>
      </c>
      <c r="N1864" s="1">
        <f t="shared" si="148"/>
        <v>45782</v>
      </c>
      <c r="O1864" s="3">
        <f>(Table13[[#This Row],[Units_Sold]]*Table13[[#This Row],[Unit_Price_Cleaned]]*(1-Table13[[#This Row],[Discount Cleaned]]))</f>
        <v>2228.0702372881356</v>
      </c>
      <c r="P1864" t="str">
        <f t="shared" si="149"/>
        <v>Profit</v>
      </c>
      <c r="Q1864" t="str" cm="1">
        <f t="array" ref="Q1864">IF(K1864="",INDEX($K$2:$K$2501,MATCH(MAX(COUNTIF($K$2:$K$2501,$K$2:$K$2501)),COUNTIF($K$2:$K$2501,$K$2:$K$2501),0)),K1864)</f>
        <v>B2C</v>
      </c>
    </row>
    <row r="1865" spans="1:17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 s="3">
        <f t="shared" si="145"/>
        <v>8758.56</v>
      </c>
      <c r="I1865" s="1">
        <v>45425</v>
      </c>
      <c r="J1865" t="s">
        <v>40</v>
      </c>
      <c r="K1865" t="s">
        <v>23</v>
      </c>
      <c r="L1865" s="2">
        <f t="shared" si="146"/>
        <v>1459.76</v>
      </c>
      <c r="M1865" s="4">
        <f t="shared" si="147"/>
        <v>1.18</v>
      </c>
      <c r="N1865" s="1">
        <f t="shared" si="148"/>
        <v>45425</v>
      </c>
      <c r="O1865" s="3">
        <f>(Table13[[#This Row],[Units_Sold]]*Table13[[#This Row],[Unit_Price_Cleaned]]*(1-Table13[[#This Row],[Discount Cleaned]]))</f>
        <v>-1576.5407999999993</v>
      </c>
      <c r="P1865" t="str">
        <f t="shared" si="149"/>
        <v>Loss</v>
      </c>
      <c r="Q1865" t="str" cm="1">
        <f t="array" ref="Q1865">IF(K1865="",INDEX($K$2:$K$2501,MATCH(MAX(COUNTIF($K$2:$K$2501,$K$2:$K$2501)),COUNTIF($K$2:$K$2501,$K$2:$K$2501),0)),K1865)</f>
        <v>B2B</v>
      </c>
    </row>
    <row r="1866" spans="1:17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 s="3">
        <f t="shared" si="145"/>
        <v>12676.45</v>
      </c>
      <c r="I1866" s="1">
        <v>45500</v>
      </c>
      <c r="J1866" t="s">
        <v>40</v>
      </c>
      <c r="L1866" s="2">
        <f t="shared" si="146"/>
        <v>2535.29</v>
      </c>
      <c r="M1866" s="4">
        <f t="shared" si="147"/>
        <v>0.6</v>
      </c>
      <c r="N1866" s="1">
        <f t="shared" si="148"/>
        <v>45500</v>
      </c>
      <c r="O1866" s="3">
        <f>(Table13[[#This Row],[Units_Sold]]*Table13[[#This Row],[Unit_Price_Cleaned]]*(1-Table13[[#This Row],[Discount Cleaned]]))</f>
        <v>5070.5800000000008</v>
      </c>
      <c r="P1866" t="str">
        <f t="shared" si="149"/>
        <v>Profit</v>
      </c>
      <c r="Q1866" t="str" cm="1">
        <f t="array" ref="Q1866">IF(K1866="",INDEX($K$2:$K$2501,MATCH(MAX(COUNTIF($K$2:$K$2501,$K$2:$K$2501)),COUNTIF($K$2:$K$2501,$K$2:$K$2501),0)),K1866)</f>
        <v>B2B</v>
      </c>
    </row>
    <row r="1867" spans="1:17" x14ac:dyDescent="0.3">
      <c r="A1867">
        <v>2865</v>
      </c>
      <c r="B1867" t="s">
        <v>1622</v>
      </c>
      <c r="C1867" t="s">
        <v>13</v>
      </c>
      <c r="D1867" t="s">
        <v>36</v>
      </c>
      <c r="E1867">
        <v>2</v>
      </c>
      <c r="F1867">
        <v>2043.3</v>
      </c>
      <c r="G1867">
        <v>0.33</v>
      </c>
      <c r="H1867" s="3">
        <f t="shared" si="145"/>
        <v>4086.6</v>
      </c>
      <c r="J1867" t="s">
        <v>18</v>
      </c>
      <c r="K1867" t="s">
        <v>23</v>
      </c>
      <c r="L1867" s="2">
        <f t="shared" si="146"/>
        <v>2043.3</v>
      </c>
      <c r="M1867" s="4">
        <f t="shared" si="147"/>
        <v>0.33</v>
      </c>
      <c r="N1867" s="1">
        <f t="shared" si="148"/>
        <v>45782</v>
      </c>
      <c r="O1867" s="3">
        <f>(Table13[[#This Row],[Units_Sold]]*Table13[[#This Row],[Unit_Price_Cleaned]]*(1-Table13[[#This Row],[Discount Cleaned]]))</f>
        <v>2738.0219999999995</v>
      </c>
      <c r="P1867" t="str">
        <f t="shared" si="149"/>
        <v>Profit</v>
      </c>
      <c r="Q1867" t="str" cm="1">
        <f t="array" ref="Q1867">IF(K1867="",INDEX($K$2:$K$2501,MATCH(MAX(COUNTIF($K$2:$K$2501,$K$2:$K$2501)),COUNTIF($K$2:$K$2501,$K$2:$K$2501),0)),K1867)</f>
        <v>B2B</v>
      </c>
    </row>
    <row r="1868" spans="1:17" x14ac:dyDescent="0.3">
      <c r="A1868">
        <v>2866</v>
      </c>
      <c r="B1868" t="s">
        <v>1898</v>
      </c>
      <c r="C1868" t="s">
        <v>13</v>
      </c>
      <c r="D1868" t="s">
        <v>102</v>
      </c>
      <c r="E1868">
        <v>2</v>
      </c>
      <c r="H1868" s="3">
        <f t="shared" si="145"/>
        <v>5152.6113793103432</v>
      </c>
      <c r="I1868" s="1">
        <v>45730</v>
      </c>
      <c r="J1868" t="s">
        <v>40</v>
      </c>
      <c r="L1868" s="2">
        <f t="shared" si="146"/>
        <v>2576.3056896551716</v>
      </c>
      <c r="M1868" s="4">
        <f t="shared" si="147"/>
        <v>0.6</v>
      </c>
      <c r="N1868" s="1">
        <f t="shared" si="148"/>
        <v>45730</v>
      </c>
      <c r="O1868" s="3">
        <f>(Table13[[#This Row],[Units_Sold]]*Table13[[#This Row],[Unit_Price_Cleaned]]*(1-Table13[[#This Row],[Discount Cleaned]]))</f>
        <v>2061.0445517241374</v>
      </c>
      <c r="P1868" t="str">
        <f t="shared" si="149"/>
        <v>Profit</v>
      </c>
      <c r="Q1868" t="str" cm="1">
        <f t="array" ref="Q1868">IF(K1868="",INDEX($K$2:$K$2501,MATCH(MAX(COUNTIF($K$2:$K$2501,$K$2:$K$2501)),COUNTIF($K$2:$K$2501,$K$2:$K$2501),0)),K1868)</f>
        <v>B2B</v>
      </c>
    </row>
    <row r="1869" spans="1:17" x14ac:dyDescent="0.3">
      <c r="A1869">
        <v>2867</v>
      </c>
      <c r="B1869" t="s">
        <v>1899</v>
      </c>
      <c r="C1869" t="s">
        <v>13</v>
      </c>
      <c r="D1869" t="s">
        <v>102</v>
      </c>
      <c r="E1869">
        <v>2</v>
      </c>
      <c r="H1869" s="3">
        <f t="shared" si="145"/>
        <v>5152.6113793103432</v>
      </c>
      <c r="J1869" t="s">
        <v>15</v>
      </c>
      <c r="K1869" t="s">
        <v>16</v>
      </c>
      <c r="L1869" s="2">
        <f t="shared" si="146"/>
        <v>2576.3056896551716</v>
      </c>
      <c r="M1869" s="4">
        <f t="shared" si="147"/>
        <v>0.6</v>
      </c>
      <c r="N1869" s="1">
        <f t="shared" si="148"/>
        <v>45782</v>
      </c>
      <c r="O1869" s="3">
        <f>(Table13[[#This Row],[Units_Sold]]*Table13[[#This Row],[Unit_Price_Cleaned]]*(1-Table13[[#This Row],[Discount Cleaned]]))</f>
        <v>2061.0445517241374</v>
      </c>
      <c r="P1869" t="str">
        <f t="shared" si="149"/>
        <v>Profit</v>
      </c>
      <c r="Q1869" t="str" cm="1">
        <f t="array" ref="Q1869">IF(K1869="",INDEX($K$2:$K$2501,MATCH(MAX(COUNTIF($K$2:$K$2501,$K$2:$K$2501)),COUNTIF($K$2:$K$2501,$K$2:$K$2501),0)),K1869)</f>
        <v>B2C</v>
      </c>
    </row>
    <row r="1870" spans="1:17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 s="3">
        <f t="shared" si="145"/>
        <v>5568.84</v>
      </c>
      <c r="I1870" s="1">
        <v>45611</v>
      </c>
      <c r="J1870" t="s">
        <v>40</v>
      </c>
      <c r="K1870" t="s">
        <v>23</v>
      </c>
      <c r="L1870" s="2">
        <f t="shared" si="146"/>
        <v>1392.21</v>
      </c>
      <c r="M1870" s="4">
        <f t="shared" si="147"/>
        <v>0.6</v>
      </c>
      <c r="N1870" s="1">
        <f t="shared" si="148"/>
        <v>45611</v>
      </c>
      <c r="O1870" s="3">
        <f>(Table13[[#This Row],[Units_Sold]]*Table13[[#This Row],[Unit_Price_Cleaned]]*(1-Table13[[#This Row],[Discount Cleaned]]))</f>
        <v>2227.5360000000001</v>
      </c>
      <c r="P1870" t="str">
        <f t="shared" si="149"/>
        <v>Profit</v>
      </c>
      <c r="Q1870" t="str" cm="1">
        <f t="array" ref="Q1870">IF(K1870="",INDEX($K$2:$K$2501,MATCH(MAX(COUNTIF($K$2:$K$2501,$K$2:$K$2501)),COUNTIF($K$2:$K$2501,$K$2:$K$2501),0)),K1870)</f>
        <v>B2B</v>
      </c>
    </row>
    <row r="1871" spans="1:17" x14ac:dyDescent="0.3">
      <c r="A1871">
        <v>2869</v>
      </c>
      <c r="B1871" t="s">
        <v>1901</v>
      </c>
      <c r="C1871" t="s">
        <v>38</v>
      </c>
      <c r="D1871" t="s">
        <v>39</v>
      </c>
      <c r="E1871">
        <v>2</v>
      </c>
      <c r="F1871">
        <v>4238.91</v>
      </c>
      <c r="H1871" s="3">
        <f t="shared" si="145"/>
        <v>8477.82</v>
      </c>
      <c r="J1871" t="s">
        <v>56</v>
      </c>
      <c r="K1871" t="s">
        <v>23</v>
      </c>
      <c r="L1871" s="2">
        <f t="shared" si="146"/>
        <v>4238.91</v>
      </c>
      <c r="M1871" s="4">
        <f t="shared" si="147"/>
        <v>0.6</v>
      </c>
      <c r="N1871" s="1">
        <f t="shared" si="148"/>
        <v>45782</v>
      </c>
      <c r="O1871" s="3">
        <f>(Table13[[#This Row],[Units_Sold]]*Table13[[#This Row],[Unit_Price_Cleaned]]*(1-Table13[[#This Row],[Discount Cleaned]]))</f>
        <v>3391.1280000000002</v>
      </c>
      <c r="P1871" t="str">
        <f t="shared" si="149"/>
        <v>Profit</v>
      </c>
      <c r="Q1871" t="str" cm="1">
        <f t="array" ref="Q1871">IF(K1871="",INDEX($K$2:$K$2501,MATCH(MAX(COUNTIF($K$2:$K$2501,$K$2:$K$2501)),COUNTIF($K$2:$K$2501,$K$2:$K$2501),0)),K1871)</f>
        <v>B2B</v>
      </c>
    </row>
    <row r="1872" spans="1:17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 s="3">
        <f t="shared" si="145"/>
        <v>1678.68</v>
      </c>
      <c r="I1872" s="1">
        <v>45580</v>
      </c>
      <c r="J1872" t="s">
        <v>46</v>
      </c>
      <c r="K1872" t="s">
        <v>16</v>
      </c>
      <c r="L1872" s="2">
        <f t="shared" si="146"/>
        <v>839.34</v>
      </c>
      <c r="M1872" s="4">
        <f t="shared" si="147"/>
        <v>0.6</v>
      </c>
      <c r="N1872" s="1">
        <f t="shared" si="148"/>
        <v>45580</v>
      </c>
      <c r="O1872" s="3">
        <f>(Table13[[#This Row],[Units_Sold]]*Table13[[#This Row],[Unit_Price_Cleaned]]*(1-Table13[[#This Row],[Discount Cleaned]]))</f>
        <v>671.47200000000009</v>
      </c>
      <c r="P1872" t="str">
        <f t="shared" si="149"/>
        <v>Profit</v>
      </c>
      <c r="Q1872" t="str" cm="1">
        <f t="array" ref="Q1872">IF(K1872="",INDEX($K$2:$K$2501,MATCH(MAX(COUNTIF($K$2:$K$2501,$K$2:$K$2501)),COUNTIF($K$2:$K$2501,$K$2:$K$2501),0)),K1872)</f>
        <v>B2C</v>
      </c>
    </row>
    <row r="1873" spans="1:17" x14ac:dyDescent="0.3">
      <c r="A1873">
        <v>2871</v>
      </c>
      <c r="B1873" t="s">
        <v>1903</v>
      </c>
      <c r="C1873" t="s">
        <v>38</v>
      </c>
      <c r="D1873" t="s">
        <v>63</v>
      </c>
      <c r="E1873">
        <v>2</v>
      </c>
      <c r="H1873" s="3">
        <f t="shared" si="145"/>
        <v>5690.4839344262318</v>
      </c>
      <c r="I1873" s="1">
        <v>45751</v>
      </c>
      <c r="J1873" t="s">
        <v>22</v>
      </c>
      <c r="K1873" t="s">
        <v>16</v>
      </c>
      <c r="L1873" s="2">
        <f t="shared" si="146"/>
        <v>2845.2419672131159</v>
      </c>
      <c r="M1873" s="4">
        <f t="shared" si="147"/>
        <v>0.6</v>
      </c>
      <c r="N1873" s="1">
        <f t="shared" si="148"/>
        <v>45751</v>
      </c>
      <c r="O1873" s="3">
        <f>(Table13[[#This Row],[Units_Sold]]*Table13[[#This Row],[Unit_Price_Cleaned]]*(1-Table13[[#This Row],[Discount Cleaned]]))</f>
        <v>2276.193573770493</v>
      </c>
      <c r="P1873" t="str">
        <f t="shared" si="149"/>
        <v>Profit</v>
      </c>
      <c r="Q1873" t="str" cm="1">
        <f t="array" ref="Q1873">IF(K1873="",INDEX($K$2:$K$2501,MATCH(MAX(COUNTIF($K$2:$K$2501,$K$2:$K$2501)),COUNTIF($K$2:$K$2501,$K$2:$K$2501),0)),K1873)</f>
        <v>B2C</v>
      </c>
    </row>
    <row r="1874" spans="1:17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 s="3">
        <f t="shared" si="145"/>
        <v>-2785.0877966101693</v>
      </c>
      <c r="I1874" s="1">
        <v>45593</v>
      </c>
      <c r="J1874" t="s">
        <v>40</v>
      </c>
      <c r="L1874" s="2">
        <f t="shared" si="146"/>
        <v>2785.0877966101693</v>
      </c>
      <c r="M1874" s="4">
        <f t="shared" si="147"/>
        <v>0.6</v>
      </c>
      <c r="N1874" s="1">
        <f t="shared" si="148"/>
        <v>45593</v>
      </c>
      <c r="O1874" s="3">
        <f>(Table13[[#This Row],[Units_Sold]]*Table13[[#This Row],[Unit_Price_Cleaned]]*(1-Table13[[#This Row],[Discount Cleaned]]))</f>
        <v>-1114.0351186440678</v>
      </c>
      <c r="P1874" t="str">
        <f t="shared" si="149"/>
        <v>Loss</v>
      </c>
      <c r="Q1874" t="str" cm="1">
        <f t="array" ref="Q1874">IF(K1874="",INDEX($K$2:$K$2501,MATCH(MAX(COUNTIF($K$2:$K$2501,$K$2:$K$2501)),COUNTIF($K$2:$K$2501,$K$2:$K$2501),0)),K1874)</f>
        <v>B2B</v>
      </c>
    </row>
    <row r="1875" spans="1:17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 s="3">
        <f t="shared" si="145"/>
        <v>6770.7000000000007</v>
      </c>
      <c r="I1875" s="1">
        <v>45740</v>
      </c>
      <c r="J1875" t="s">
        <v>18</v>
      </c>
      <c r="K1875" t="s">
        <v>23</v>
      </c>
      <c r="L1875" s="2">
        <f t="shared" si="146"/>
        <v>1354.14</v>
      </c>
      <c r="M1875" s="4">
        <f t="shared" si="147"/>
        <v>0.6</v>
      </c>
      <c r="N1875" s="1">
        <f t="shared" si="148"/>
        <v>45740</v>
      </c>
      <c r="O1875" s="3">
        <f>(Table13[[#This Row],[Units_Sold]]*Table13[[#This Row],[Unit_Price_Cleaned]]*(1-Table13[[#This Row],[Discount Cleaned]]))</f>
        <v>2708.2800000000007</v>
      </c>
      <c r="P1875" t="str">
        <f t="shared" si="149"/>
        <v>Profit</v>
      </c>
      <c r="Q1875" t="str" cm="1">
        <f t="array" ref="Q1875">IF(K1875="",INDEX($K$2:$K$2501,MATCH(MAX(COUNTIF($K$2:$K$2501,$K$2:$K$2501)),COUNTIF($K$2:$K$2501,$K$2:$K$2501),0)),K1875)</f>
        <v>B2B</v>
      </c>
    </row>
    <row r="1876" spans="1:17" x14ac:dyDescent="0.3">
      <c r="A1876">
        <v>2874</v>
      </c>
      <c r="B1876" t="s">
        <v>659</v>
      </c>
      <c r="C1876" t="s">
        <v>13</v>
      </c>
      <c r="D1876" t="s">
        <v>36</v>
      </c>
      <c r="E1876">
        <v>2</v>
      </c>
      <c r="F1876">
        <v>3754.23</v>
      </c>
      <c r="G1876">
        <v>0.87</v>
      </c>
      <c r="H1876" s="3">
        <f t="shared" si="145"/>
        <v>7508.46</v>
      </c>
      <c r="I1876" s="1">
        <v>45561</v>
      </c>
      <c r="J1876" t="s">
        <v>22</v>
      </c>
      <c r="L1876" s="2">
        <f t="shared" si="146"/>
        <v>3754.23</v>
      </c>
      <c r="M1876" s="4">
        <f t="shared" si="147"/>
        <v>0.87</v>
      </c>
      <c r="N1876" s="1">
        <f t="shared" si="148"/>
        <v>45561</v>
      </c>
      <c r="O1876" s="3">
        <f>(Table13[[#This Row],[Units_Sold]]*Table13[[#This Row],[Unit_Price_Cleaned]]*(1-Table13[[#This Row],[Discount Cleaned]]))</f>
        <v>976.09980000000007</v>
      </c>
      <c r="P1876" t="str">
        <f t="shared" si="149"/>
        <v>Profit</v>
      </c>
      <c r="Q1876" t="str" cm="1">
        <f t="array" ref="Q1876">IF(K1876="",INDEX($K$2:$K$2501,MATCH(MAX(COUNTIF($K$2:$K$2501,$K$2:$K$2501)),COUNTIF($K$2:$K$2501,$K$2:$K$2501),0)),K1876)</f>
        <v>B2B</v>
      </c>
    </row>
    <row r="1877" spans="1:17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 s="3">
        <f t="shared" si="145"/>
        <v>5362.348727272727</v>
      </c>
      <c r="I1877" s="1">
        <v>45609</v>
      </c>
      <c r="J1877" t="s">
        <v>15</v>
      </c>
      <c r="K1877" t="s">
        <v>23</v>
      </c>
      <c r="L1877" s="2">
        <f t="shared" si="146"/>
        <v>2681.1743636363635</v>
      </c>
      <c r="M1877" s="4">
        <f t="shared" si="147"/>
        <v>0.6</v>
      </c>
      <c r="N1877" s="1">
        <f t="shared" si="148"/>
        <v>45609</v>
      </c>
      <c r="O1877" s="3">
        <f>(Table13[[#This Row],[Units_Sold]]*Table13[[#This Row],[Unit_Price_Cleaned]]*(1-Table13[[#This Row],[Discount Cleaned]]))</f>
        <v>2144.9394909090911</v>
      </c>
      <c r="P1877" t="str">
        <f t="shared" si="149"/>
        <v>Profit</v>
      </c>
      <c r="Q1877" t="str" cm="1">
        <f t="array" ref="Q1877">IF(K1877="",INDEX($K$2:$K$2501,MATCH(MAX(COUNTIF($K$2:$K$2501,$K$2:$K$2501)),COUNTIF($K$2:$K$2501,$K$2:$K$2501),0)),K1877)</f>
        <v>B2B</v>
      </c>
    </row>
    <row r="1878" spans="1:17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 s="3">
        <f t="shared" si="145"/>
        <v>22948.920000000002</v>
      </c>
      <c r="I1878" s="1">
        <v>45506</v>
      </c>
      <c r="J1878" t="s">
        <v>40</v>
      </c>
      <c r="K1878" t="s">
        <v>16</v>
      </c>
      <c r="L1878" s="2">
        <f t="shared" si="146"/>
        <v>3824.82</v>
      </c>
      <c r="M1878" s="4">
        <f t="shared" si="147"/>
        <v>0.82</v>
      </c>
      <c r="N1878" s="1">
        <f t="shared" si="148"/>
        <v>45506</v>
      </c>
      <c r="O1878" s="3">
        <f>(Table13[[#This Row],[Units_Sold]]*Table13[[#This Row],[Unit_Price_Cleaned]]*(1-Table13[[#This Row],[Discount Cleaned]]))</f>
        <v>4130.8056000000015</v>
      </c>
      <c r="P1878" t="str">
        <f t="shared" si="149"/>
        <v>Profit</v>
      </c>
      <c r="Q1878" t="str" cm="1">
        <f t="array" ref="Q1878">IF(K1878="",INDEX($K$2:$K$2501,MATCH(MAX(COUNTIF($K$2:$K$2501,$K$2:$K$2501)),COUNTIF($K$2:$K$2501,$K$2:$K$2501),0)),K1878)</f>
        <v>B2C</v>
      </c>
    </row>
    <row r="1879" spans="1:17" x14ac:dyDescent="0.3">
      <c r="A1879">
        <v>2877</v>
      </c>
      <c r="B1879" t="s">
        <v>1908</v>
      </c>
      <c r="C1879" t="s">
        <v>25</v>
      </c>
      <c r="D1879" t="s">
        <v>86</v>
      </c>
      <c r="E1879">
        <v>2</v>
      </c>
      <c r="G1879">
        <v>0.28999999999999998</v>
      </c>
      <c r="H1879" s="3">
        <f t="shared" si="145"/>
        <v>5003.0619999999999</v>
      </c>
      <c r="J1879" t="s">
        <v>56</v>
      </c>
      <c r="K1879" t="s">
        <v>23</v>
      </c>
      <c r="L1879" s="2">
        <f t="shared" si="146"/>
        <v>2501.5309999999999</v>
      </c>
      <c r="M1879" s="4">
        <f t="shared" si="147"/>
        <v>0.28999999999999998</v>
      </c>
      <c r="N1879" s="1">
        <f t="shared" si="148"/>
        <v>45782</v>
      </c>
      <c r="O1879" s="3">
        <f>(Table13[[#This Row],[Units_Sold]]*Table13[[#This Row],[Unit_Price_Cleaned]]*(1-Table13[[#This Row],[Discount Cleaned]]))</f>
        <v>3552.1740199999999</v>
      </c>
      <c r="P1879" t="str">
        <f t="shared" si="149"/>
        <v>Profit</v>
      </c>
      <c r="Q1879" t="str" cm="1">
        <f t="array" ref="Q1879">IF(K1879="",INDEX($K$2:$K$2501,MATCH(MAX(COUNTIF($K$2:$K$2501,$K$2:$K$2501)),COUNTIF($K$2:$K$2501,$K$2:$K$2501),0)),K1879)</f>
        <v>B2B</v>
      </c>
    </row>
    <row r="1880" spans="1:17" x14ac:dyDescent="0.3">
      <c r="A1880">
        <v>2878</v>
      </c>
      <c r="B1880" t="s">
        <v>1909</v>
      </c>
      <c r="C1880" t="s">
        <v>20</v>
      </c>
      <c r="D1880" t="s">
        <v>80</v>
      </c>
      <c r="E1880">
        <v>2</v>
      </c>
      <c r="H1880" s="3">
        <f t="shared" si="145"/>
        <v>4967.1688000000004</v>
      </c>
      <c r="I1880" s="1">
        <v>45663</v>
      </c>
      <c r="J1880" t="s">
        <v>56</v>
      </c>
      <c r="K1880" t="s">
        <v>16</v>
      </c>
      <c r="L1880" s="2">
        <f t="shared" si="146"/>
        <v>2483.5844000000002</v>
      </c>
      <c r="M1880" s="4">
        <f t="shared" si="147"/>
        <v>0.6</v>
      </c>
      <c r="N1880" s="1">
        <f t="shared" si="148"/>
        <v>45663</v>
      </c>
      <c r="O1880" s="3">
        <f>(Table13[[#This Row],[Units_Sold]]*Table13[[#This Row],[Unit_Price_Cleaned]]*(1-Table13[[#This Row],[Discount Cleaned]]))</f>
        <v>1986.8675200000002</v>
      </c>
      <c r="P1880" t="str">
        <f t="shared" si="149"/>
        <v>Profit</v>
      </c>
      <c r="Q1880" t="str" cm="1">
        <f t="array" ref="Q1880">IF(K1880="",INDEX($K$2:$K$2501,MATCH(MAX(COUNTIF($K$2:$K$2501,$K$2:$K$2501)),COUNTIF($K$2:$K$2501,$K$2:$K$2501),0)),K1880)</f>
        <v>B2C</v>
      </c>
    </row>
    <row r="1881" spans="1:17" x14ac:dyDescent="0.3">
      <c r="A1881">
        <v>2879</v>
      </c>
      <c r="B1881" t="s">
        <v>1910</v>
      </c>
      <c r="C1881" t="s">
        <v>20</v>
      </c>
      <c r="D1881" t="s">
        <v>80</v>
      </c>
      <c r="E1881">
        <v>2</v>
      </c>
      <c r="G1881">
        <v>0.02</v>
      </c>
      <c r="H1881" s="3">
        <f t="shared" si="145"/>
        <v>4967.1688000000004</v>
      </c>
      <c r="J1881" t="s">
        <v>15</v>
      </c>
      <c r="K1881" t="s">
        <v>23</v>
      </c>
      <c r="L1881" s="2">
        <f t="shared" si="146"/>
        <v>2483.5844000000002</v>
      </c>
      <c r="M1881" s="4">
        <f t="shared" si="147"/>
        <v>0.02</v>
      </c>
      <c r="N1881" s="1">
        <f t="shared" si="148"/>
        <v>45782</v>
      </c>
      <c r="O1881" s="3">
        <f>(Table13[[#This Row],[Units_Sold]]*Table13[[#This Row],[Unit_Price_Cleaned]]*(1-Table13[[#This Row],[Discount Cleaned]]))</f>
        <v>4867.8254240000006</v>
      </c>
      <c r="P1881" t="str">
        <f t="shared" si="149"/>
        <v>Profit</v>
      </c>
      <c r="Q1881" t="str" cm="1">
        <f t="array" ref="Q1881">IF(K1881="",INDEX($K$2:$K$2501,MATCH(MAX(COUNTIF($K$2:$K$2501,$K$2:$K$2501)),COUNTIF($K$2:$K$2501,$K$2:$K$2501),0)),K1881)</f>
        <v>B2B</v>
      </c>
    </row>
    <row r="1882" spans="1:17" x14ac:dyDescent="0.3">
      <c r="A1882">
        <v>2880</v>
      </c>
      <c r="B1882" t="s">
        <v>1911</v>
      </c>
      <c r="C1882" t="s">
        <v>29</v>
      </c>
      <c r="D1882" t="s">
        <v>30</v>
      </c>
      <c r="E1882">
        <v>2</v>
      </c>
      <c r="H1882" s="3">
        <f t="shared" si="145"/>
        <v>5235.2780769230776</v>
      </c>
      <c r="I1882" s="1">
        <v>45823</v>
      </c>
      <c r="J1882" t="s">
        <v>22</v>
      </c>
      <c r="K1882" t="s">
        <v>16</v>
      </c>
      <c r="L1882" s="2">
        <f t="shared" si="146"/>
        <v>2617.6390384615388</v>
      </c>
      <c r="M1882" s="4">
        <f t="shared" si="147"/>
        <v>0.6</v>
      </c>
      <c r="N1882" s="1">
        <f t="shared" si="148"/>
        <v>45823</v>
      </c>
      <c r="O1882" s="3">
        <f>(Table13[[#This Row],[Units_Sold]]*Table13[[#This Row],[Unit_Price_Cleaned]]*(1-Table13[[#This Row],[Discount Cleaned]]))</f>
        <v>2094.111230769231</v>
      </c>
      <c r="P1882" t="str">
        <f t="shared" si="149"/>
        <v>Profit</v>
      </c>
      <c r="Q1882" t="str" cm="1">
        <f t="array" ref="Q1882">IF(K1882="",INDEX($K$2:$K$2501,MATCH(MAX(COUNTIF($K$2:$K$2501,$K$2:$K$2501)),COUNTIF($K$2:$K$2501,$K$2:$K$2501),0)),K1882)</f>
        <v>B2C</v>
      </c>
    </row>
    <row r="1883" spans="1:17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 s="3">
        <f t="shared" si="145"/>
        <v>-5765.0093103448271</v>
      </c>
      <c r="I1883" s="1">
        <v>45538</v>
      </c>
      <c r="J1883" t="s">
        <v>56</v>
      </c>
      <c r="K1883" t="s">
        <v>16</v>
      </c>
      <c r="L1883" s="2">
        <f t="shared" si="146"/>
        <v>2882.5046551724135</v>
      </c>
      <c r="M1883" s="4">
        <f t="shared" si="147"/>
        <v>0.6</v>
      </c>
      <c r="N1883" s="1">
        <f t="shared" si="148"/>
        <v>45538</v>
      </c>
      <c r="O1883" s="3">
        <f>(Table13[[#This Row],[Units_Sold]]*Table13[[#This Row],[Unit_Price_Cleaned]]*(1-Table13[[#This Row],[Discount Cleaned]]))</f>
        <v>-2306.0037241379309</v>
      </c>
      <c r="P1883" t="str">
        <f t="shared" si="149"/>
        <v>Loss</v>
      </c>
      <c r="Q1883" t="str" cm="1">
        <f t="array" ref="Q1883">IF(K1883="",INDEX($K$2:$K$2501,MATCH(MAX(COUNTIF($K$2:$K$2501,$K$2:$K$2501)),COUNTIF($K$2:$K$2501,$K$2:$K$2501),0)),K1883)</f>
        <v>B2C</v>
      </c>
    </row>
    <row r="1884" spans="1:17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 s="3">
        <f t="shared" si="145"/>
        <v>1750.59</v>
      </c>
      <c r="I1884" s="1">
        <v>45701</v>
      </c>
      <c r="J1884" t="s">
        <v>22</v>
      </c>
      <c r="L1884" s="2">
        <f t="shared" si="146"/>
        <v>583.53</v>
      </c>
      <c r="M1884" s="4">
        <f t="shared" si="147"/>
        <v>0.6</v>
      </c>
      <c r="N1884" s="1">
        <f t="shared" si="148"/>
        <v>45701</v>
      </c>
      <c r="O1884" s="3">
        <f>(Table13[[#This Row],[Units_Sold]]*Table13[[#This Row],[Unit_Price_Cleaned]]*(1-Table13[[#This Row],[Discount Cleaned]]))</f>
        <v>700.23599999999999</v>
      </c>
      <c r="P1884" t="str">
        <f t="shared" si="149"/>
        <v>Profit</v>
      </c>
      <c r="Q1884" t="str" cm="1">
        <f t="array" ref="Q1884">IF(K1884="",INDEX($K$2:$K$2501,MATCH(MAX(COUNTIF($K$2:$K$2501,$K$2:$K$2501)),COUNTIF($K$2:$K$2501,$K$2:$K$2501),0)),K1884)</f>
        <v>B2B</v>
      </c>
    </row>
    <row r="1885" spans="1:17" x14ac:dyDescent="0.3">
      <c r="A1885">
        <v>2883</v>
      </c>
      <c r="B1885" t="s">
        <v>1914</v>
      </c>
      <c r="C1885" t="s">
        <v>33</v>
      </c>
      <c r="D1885" t="s">
        <v>82</v>
      </c>
      <c r="E1885">
        <v>2</v>
      </c>
      <c r="F1885">
        <v>2320.7600000000002</v>
      </c>
      <c r="H1885" s="3">
        <f t="shared" si="145"/>
        <v>4641.5200000000004</v>
      </c>
      <c r="I1885" s="1">
        <v>45850</v>
      </c>
      <c r="J1885" t="s">
        <v>18</v>
      </c>
      <c r="K1885" t="s">
        <v>16</v>
      </c>
      <c r="L1885" s="2">
        <f t="shared" si="146"/>
        <v>2320.7600000000002</v>
      </c>
      <c r="M1885" s="4">
        <f t="shared" si="147"/>
        <v>0.6</v>
      </c>
      <c r="N1885" s="1">
        <f t="shared" si="148"/>
        <v>45850</v>
      </c>
      <c r="O1885" s="3">
        <f>(Table13[[#This Row],[Units_Sold]]*Table13[[#This Row],[Unit_Price_Cleaned]]*(1-Table13[[#This Row],[Discount Cleaned]]))</f>
        <v>1856.6080000000002</v>
      </c>
      <c r="P1885" t="str">
        <f t="shared" si="149"/>
        <v>Profit</v>
      </c>
      <c r="Q1885" t="str" cm="1">
        <f t="array" ref="Q1885">IF(K1885="",INDEX($K$2:$K$2501,MATCH(MAX(COUNTIF($K$2:$K$2501,$K$2:$K$2501)),COUNTIF($K$2:$K$2501,$K$2:$K$2501),0)),K1885)</f>
        <v>B2C</v>
      </c>
    </row>
    <row r="1886" spans="1:17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 s="3">
        <f t="shared" si="145"/>
        <v>5152.6113793103432</v>
      </c>
      <c r="I1886" s="1">
        <v>45701</v>
      </c>
      <c r="J1886" t="s">
        <v>46</v>
      </c>
      <c r="K1886" t="s">
        <v>23</v>
      </c>
      <c r="L1886" s="2">
        <f t="shared" si="146"/>
        <v>2576.3056896551716</v>
      </c>
      <c r="M1886" s="4">
        <f t="shared" si="147"/>
        <v>0.4</v>
      </c>
      <c r="N1886" s="1">
        <f t="shared" si="148"/>
        <v>45701</v>
      </c>
      <c r="O1886" s="3">
        <f>(Table13[[#This Row],[Units_Sold]]*Table13[[#This Row],[Unit_Price_Cleaned]]*(1-Table13[[#This Row],[Discount Cleaned]]))</f>
        <v>3091.5668275862058</v>
      </c>
      <c r="P1886" t="str">
        <f t="shared" si="149"/>
        <v>Profit</v>
      </c>
      <c r="Q1886" t="str" cm="1">
        <f t="array" ref="Q1886">IF(K1886="",INDEX($K$2:$K$2501,MATCH(MAX(COUNTIF($K$2:$K$2501,$K$2:$K$2501)),COUNTIF($K$2:$K$2501,$K$2:$K$2501),0)),K1886)</f>
        <v>B2B</v>
      </c>
    </row>
    <row r="1887" spans="1:17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 s="3">
        <f t="shared" si="145"/>
        <v>5332.96</v>
      </c>
      <c r="I1887" s="1">
        <v>45776</v>
      </c>
      <c r="J1887" t="s">
        <v>46</v>
      </c>
      <c r="K1887" t="s">
        <v>23</v>
      </c>
      <c r="L1887" s="2">
        <f t="shared" si="146"/>
        <v>2666.48</v>
      </c>
      <c r="M1887" s="4">
        <f t="shared" si="147"/>
        <v>0.6</v>
      </c>
      <c r="N1887" s="1">
        <f t="shared" si="148"/>
        <v>45776</v>
      </c>
      <c r="O1887" s="3">
        <f>(Table13[[#This Row],[Units_Sold]]*Table13[[#This Row],[Unit_Price_Cleaned]]*(1-Table13[[#This Row],[Discount Cleaned]]))</f>
        <v>2133.1840000000002</v>
      </c>
      <c r="P1887" t="str">
        <f t="shared" si="149"/>
        <v>Profit</v>
      </c>
      <c r="Q1887" t="str" cm="1">
        <f t="array" ref="Q1887">IF(K1887="",INDEX($K$2:$K$2501,MATCH(MAX(COUNTIF($K$2:$K$2501,$K$2:$K$2501)),COUNTIF($K$2:$K$2501,$K$2:$K$2501),0)),K1887)</f>
        <v>B2B</v>
      </c>
    </row>
    <row r="1888" spans="1:17" x14ac:dyDescent="0.3">
      <c r="A1888">
        <v>2886</v>
      </c>
      <c r="B1888" t="s">
        <v>1917</v>
      </c>
      <c r="C1888" t="s">
        <v>33</v>
      </c>
      <c r="D1888" t="s">
        <v>82</v>
      </c>
      <c r="E1888">
        <v>2</v>
      </c>
      <c r="F1888">
        <v>3229.15</v>
      </c>
      <c r="G1888">
        <v>1.03</v>
      </c>
      <c r="H1888" s="3">
        <f t="shared" si="145"/>
        <v>6458.3</v>
      </c>
      <c r="I1888" s="1">
        <v>45747</v>
      </c>
      <c r="J1888" t="s">
        <v>18</v>
      </c>
      <c r="K1888" t="s">
        <v>23</v>
      </c>
      <c r="L1888" s="2">
        <f t="shared" si="146"/>
        <v>3229.15</v>
      </c>
      <c r="M1888" s="4">
        <f t="shared" si="147"/>
        <v>1.03</v>
      </c>
      <c r="N1888" s="1">
        <f t="shared" si="148"/>
        <v>45747</v>
      </c>
      <c r="O1888" s="3">
        <f>(Table13[[#This Row],[Units_Sold]]*Table13[[#This Row],[Unit_Price_Cleaned]]*(1-Table13[[#This Row],[Discount Cleaned]]))</f>
        <v>-193.74900000000017</v>
      </c>
      <c r="P1888" t="str">
        <f t="shared" si="149"/>
        <v>Loss</v>
      </c>
      <c r="Q1888" t="str" cm="1">
        <f t="array" ref="Q1888">IF(K1888="",INDEX($K$2:$K$2501,MATCH(MAX(COUNTIF($K$2:$K$2501,$K$2:$K$2501)),COUNTIF($K$2:$K$2501,$K$2:$K$2501),0)),K1888)</f>
        <v>B2B</v>
      </c>
    </row>
    <row r="1889" spans="1:17" x14ac:dyDescent="0.3">
      <c r="A1889">
        <v>2887</v>
      </c>
      <c r="B1889" t="s">
        <v>1918</v>
      </c>
      <c r="C1889" t="s">
        <v>13</v>
      </c>
      <c r="D1889" t="s">
        <v>36</v>
      </c>
      <c r="E1889">
        <v>2</v>
      </c>
      <c r="F1889">
        <v>3331.72</v>
      </c>
      <c r="G1889">
        <v>1.25</v>
      </c>
      <c r="H1889" s="3">
        <f t="shared" si="145"/>
        <v>6663.44</v>
      </c>
      <c r="J1889" t="s">
        <v>22</v>
      </c>
      <c r="K1889" t="s">
        <v>23</v>
      </c>
      <c r="L1889" s="2">
        <f t="shared" si="146"/>
        <v>3331.72</v>
      </c>
      <c r="M1889" s="4">
        <f t="shared" si="147"/>
        <v>1.25</v>
      </c>
      <c r="N1889" s="1">
        <f t="shared" si="148"/>
        <v>45782</v>
      </c>
      <c r="O1889" s="3">
        <f>(Table13[[#This Row],[Units_Sold]]*Table13[[#This Row],[Unit_Price_Cleaned]]*(1-Table13[[#This Row],[Discount Cleaned]]))</f>
        <v>-1665.86</v>
      </c>
      <c r="P1889" t="str">
        <f t="shared" si="149"/>
        <v>Loss</v>
      </c>
      <c r="Q1889" t="str" cm="1">
        <f t="array" ref="Q1889">IF(K1889="",INDEX($K$2:$K$2501,MATCH(MAX(COUNTIF($K$2:$K$2501,$K$2:$K$2501)),COUNTIF($K$2:$K$2501,$K$2:$K$2501),0)),K1889)</f>
        <v>B2B</v>
      </c>
    </row>
    <row r="1890" spans="1:17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 s="3">
        <f t="shared" si="145"/>
        <v>-3008.3844444444444</v>
      </c>
      <c r="I1890" s="1">
        <v>45148</v>
      </c>
      <c r="J1890" t="s">
        <v>18</v>
      </c>
      <c r="L1890" s="2">
        <f t="shared" si="146"/>
        <v>3008.3844444444444</v>
      </c>
      <c r="M1890" s="4">
        <f t="shared" si="147"/>
        <v>0.6</v>
      </c>
      <c r="N1890" s="1">
        <f t="shared" si="148"/>
        <v>45148</v>
      </c>
      <c r="O1890" s="3">
        <f>(Table13[[#This Row],[Units_Sold]]*Table13[[#This Row],[Unit_Price_Cleaned]]*(1-Table13[[#This Row],[Discount Cleaned]]))</f>
        <v>-1203.3537777777779</v>
      </c>
      <c r="P1890" t="str">
        <f t="shared" si="149"/>
        <v>Loss</v>
      </c>
      <c r="Q1890" t="str" cm="1">
        <f t="array" ref="Q1890">IF(K1890="",INDEX($K$2:$K$2501,MATCH(MAX(COUNTIF($K$2:$K$2501,$K$2:$K$2501)),COUNTIF($K$2:$K$2501,$K$2:$K$2501),0)),K1890)</f>
        <v>B2B</v>
      </c>
    </row>
    <row r="1891" spans="1:17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 s="3">
        <f t="shared" si="145"/>
        <v>14444.357142857143</v>
      </c>
      <c r="I1891" s="1">
        <v>45130</v>
      </c>
      <c r="J1891" t="s">
        <v>56</v>
      </c>
      <c r="L1891" s="2">
        <f t="shared" si="146"/>
        <v>2888.8714285714286</v>
      </c>
      <c r="M1891" s="4">
        <f t="shared" si="147"/>
        <v>0.6</v>
      </c>
      <c r="N1891" s="1">
        <f t="shared" si="148"/>
        <v>45130</v>
      </c>
      <c r="O1891" s="3">
        <f>(Table13[[#This Row],[Units_Sold]]*Table13[[#This Row],[Unit_Price_Cleaned]]*(1-Table13[[#This Row],[Discount Cleaned]]))</f>
        <v>5777.7428571428572</v>
      </c>
      <c r="P1891" t="str">
        <f t="shared" si="149"/>
        <v>Profit</v>
      </c>
      <c r="Q1891" t="str" cm="1">
        <f t="array" ref="Q1891">IF(K1891="",INDEX($K$2:$K$2501,MATCH(MAX(COUNTIF($K$2:$K$2501,$K$2:$K$2501)),COUNTIF($K$2:$K$2501,$K$2:$K$2501),0)),K1891)</f>
        <v>B2B</v>
      </c>
    </row>
    <row r="1892" spans="1:17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 s="3">
        <f t="shared" si="145"/>
        <v>2357.36</v>
      </c>
      <c r="I1892" s="1">
        <v>45413</v>
      </c>
      <c r="J1892" t="s">
        <v>46</v>
      </c>
      <c r="L1892" s="2">
        <f t="shared" si="146"/>
        <v>2357.36</v>
      </c>
      <c r="M1892" s="4">
        <f t="shared" si="147"/>
        <v>0.6</v>
      </c>
      <c r="N1892" s="1">
        <f t="shared" si="148"/>
        <v>45413</v>
      </c>
      <c r="O1892" s="3">
        <f>(Table13[[#This Row],[Units_Sold]]*Table13[[#This Row],[Unit_Price_Cleaned]]*(1-Table13[[#This Row],[Discount Cleaned]]))</f>
        <v>942.94400000000007</v>
      </c>
      <c r="P1892" t="str">
        <f t="shared" si="149"/>
        <v>Profit</v>
      </c>
      <c r="Q1892" t="str" cm="1">
        <f t="array" ref="Q1892">IF(K1892="",INDEX($K$2:$K$2501,MATCH(MAX(COUNTIF($K$2:$K$2501,$K$2:$K$2501)),COUNTIF($K$2:$K$2501,$K$2:$K$2501),0)),K1892)</f>
        <v>B2B</v>
      </c>
    </row>
    <row r="1893" spans="1:17" x14ac:dyDescent="0.3">
      <c r="A1893">
        <v>2891</v>
      </c>
      <c r="B1893" t="s">
        <v>1922</v>
      </c>
      <c r="C1893" t="s">
        <v>20</v>
      </c>
      <c r="D1893" t="s">
        <v>21</v>
      </c>
      <c r="E1893">
        <v>2</v>
      </c>
      <c r="H1893" s="3">
        <f t="shared" si="145"/>
        <v>5362.348727272727</v>
      </c>
      <c r="J1893" t="s">
        <v>18</v>
      </c>
      <c r="L1893" s="2">
        <f t="shared" si="146"/>
        <v>2681.1743636363635</v>
      </c>
      <c r="M1893" s="4">
        <f t="shared" si="147"/>
        <v>0.6</v>
      </c>
      <c r="N1893" s="1">
        <f t="shared" si="148"/>
        <v>45782</v>
      </c>
      <c r="O1893" s="3">
        <f>(Table13[[#This Row],[Units_Sold]]*Table13[[#This Row],[Unit_Price_Cleaned]]*(1-Table13[[#This Row],[Discount Cleaned]]))</f>
        <v>2144.9394909090911</v>
      </c>
      <c r="P1893" t="str">
        <f t="shared" si="149"/>
        <v>Profit</v>
      </c>
      <c r="Q1893" t="str" cm="1">
        <f t="array" ref="Q1893">IF(K1893="",INDEX($K$2:$K$2501,MATCH(MAX(COUNTIF($K$2:$K$2501,$K$2:$K$2501)),COUNTIF($K$2:$K$2501,$K$2:$K$2501),0)),K1893)</f>
        <v>B2B</v>
      </c>
    </row>
    <row r="1894" spans="1:17" x14ac:dyDescent="0.3">
      <c r="A1894">
        <v>2892</v>
      </c>
      <c r="B1894" t="s">
        <v>1923</v>
      </c>
      <c r="C1894" t="s">
        <v>29</v>
      </c>
      <c r="D1894" t="s">
        <v>30</v>
      </c>
      <c r="E1894">
        <v>2</v>
      </c>
      <c r="H1894" s="3">
        <f t="shared" si="145"/>
        <v>5235.2780769230776</v>
      </c>
      <c r="I1894" s="1">
        <v>45519</v>
      </c>
      <c r="J1894" t="s">
        <v>18</v>
      </c>
      <c r="L1894" s="2">
        <f t="shared" si="146"/>
        <v>2617.6390384615388</v>
      </c>
      <c r="M1894" s="4">
        <f t="shared" si="147"/>
        <v>0.6</v>
      </c>
      <c r="N1894" s="1">
        <f t="shared" si="148"/>
        <v>45519</v>
      </c>
      <c r="O1894" s="3">
        <f>(Table13[[#This Row],[Units_Sold]]*Table13[[#This Row],[Unit_Price_Cleaned]]*(1-Table13[[#This Row],[Discount Cleaned]]))</f>
        <v>2094.111230769231</v>
      </c>
      <c r="P1894" t="str">
        <f t="shared" si="149"/>
        <v>Profit</v>
      </c>
      <c r="Q1894" t="str" cm="1">
        <f t="array" ref="Q1894">IF(K1894="",INDEX($K$2:$K$2501,MATCH(MAX(COUNTIF($K$2:$K$2501,$K$2:$K$2501)),COUNTIF($K$2:$K$2501,$K$2:$K$2501),0)),K1894)</f>
        <v>B2B</v>
      </c>
    </row>
    <row r="1895" spans="1:17" x14ac:dyDescent="0.3">
      <c r="A1895">
        <v>2893</v>
      </c>
      <c r="B1895" t="s">
        <v>1924</v>
      </c>
      <c r="C1895" t="s">
        <v>25</v>
      </c>
      <c r="D1895" t="s">
        <v>26</v>
      </c>
      <c r="E1895">
        <v>2</v>
      </c>
      <c r="H1895" s="3">
        <f t="shared" si="145"/>
        <v>5777.7428571428572</v>
      </c>
      <c r="I1895" s="1">
        <v>45542</v>
      </c>
      <c r="J1895" t="s">
        <v>40</v>
      </c>
      <c r="K1895" t="s">
        <v>23</v>
      </c>
      <c r="L1895" s="2">
        <f t="shared" si="146"/>
        <v>2888.8714285714286</v>
      </c>
      <c r="M1895" s="4">
        <f t="shared" si="147"/>
        <v>0.6</v>
      </c>
      <c r="N1895" s="1">
        <f t="shared" si="148"/>
        <v>45542</v>
      </c>
      <c r="O1895" s="3">
        <f>(Table13[[#This Row],[Units_Sold]]*Table13[[#This Row],[Unit_Price_Cleaned]]*(1-Table13[[#This Row],[Discount Cleaned]]))</f>
        <v>2311.0971428571429</v>
      </c>
      <c r="P1895" t="str">
        <f t="shared" si="149"/>
        <v>Profit</v>
      </c>
      <c r="Q1895" t="str" cm="1">
        <f t="array" ref="Q1895">IF(K1895="",INDEX($K$2:$K$2501,MATCH(MAX(COUNTIF($K$2:$K$2501,$K$2:$K$2501)),COUNTIF($K$2:$K$2501,$K$2:$K$2501),0)),K1895)</f>
        <v>B2B</v>
      </c>
    </row>
    <row r="1896" spans="1:17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 s="3">
        <f t="shared" si="145"/>
        <v>8666.6142857142859</v>
      </c>
      <c r="J1896" t="s">
        <v>40</v>
      </c>
      <c r="K1896" t="s">
        <v>23</v>
      </c>
      <c r="L1896" s="2">
        <f t="shared" si="146"/>
        <v>2888.8714285714286</v>
      </c>
      <c r="M1896" s="4">
        <f t="shared" si="147"/>
        <v>0.6</v>
      </c>
      <c r="N1896" s="1">
        <f t="shared" si="148"/>
        <v>45782</v>
      </c>
      <c r="O1896" s="3">
        <f>(Table13[[#This Row],[Units_Sold]]*Table13[[#This Row],[Unit_Price_Cleaned]]*(1-Table13[[#This Row],[Discount Cleaned]]))</f>
        <v>3466.6457142857143</v>
      </c>
      <c r="P1896" t="str">
        <f t="shared" si="149"/>
        <v>Profit</v>
      </c>
      <c r="Q1896" t="str" cm="1">
        <f t="array" ref="Q1896">IF(K1896="",INDEX($K$2:$K$2501,MATCH(MAX(COUNTIF($K$2:$K$2501,$K$2:$K$2501)),COUNTIF($K$2:$K$2501,$K$2:$K$2501),0)),K1896)</f>
        <v>B2B</v>
      </c>
    </row>
    <row r="1897" spans="1:17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 s="3">
        <f t="shared" si="145"/>
        <v>7186.12</v>
      </c>
      <c r="J1897" t="s">
        <v>56</v>
      </c>
      <c r="K1897" t="s">
        <v>16</v>
      </c>
      <c r="L1897" s="2">
        <f t="shared" si="146"/>
        <v>3593.06</v>
      </c>
      <c r="M1897" s="4">
        <f t="shared" si="147"/>
        <v>0.34</v>
      </c>
      <c r="N1897" s="1">
        <f t="shared" si="148"/>
        <v>45782</v>
      </c>
      <c r="O1897" s="3">
        <f>(Table13[[#This Row],[Units_Sold]]*Table13[[#This Row],[Unit_Price_Cleaned]]*(1-Table13[[#This Row],[Discount Cleaned]]))</f>
        <v>4742.8391999999994</v>
      </c>
      <c r="P1897" t="str">
        <f t="shared" si="149"/>
        <v>Profit</v>
      </c>
      <c r="Q1897" t="str" cm="1">
        <f t="array" ref="Q1897">IF(K1897="",INDEX($K$2:$K$2501,MATCH(MAX(COUNTIF($K$2:$K$2501,$K$2:$K$2501)),COUNTIF($K$2:$K$2501,$K$2:$K$2501),0)),K1897)</f>
        <v>B2C</v>
      </c>
    </row>
    <row r="1898" spans="1:17" x14ac:dyDescent="0.3">
      <c r="A1898">
        <v>2896</v>
      </c>
      <c r="B1898" t="s">
        <v>1927</v>
      </c>
      <c r="C1898" t="s">
        <v>38</v>
      </c>
      <c r="D1898" t="s">
        <v>63</v>
      </c>
      <c r="E1898">
        <v>2</v>
      </c>
      <c r="H1898" s="3">
        <f t="shared" si="145"/>
        <v>5690.4839344262318</v>
      </c>
      <c r="I1898" s="1">
        <v>45552</v>
      </c>
      <c r="J1898" t="s">
        <v>56</v>
      </c>
      <c r="K1898" t="s">
        <v>16</v>
      </c>
      <c r="L1898" s="2">
        <f t="shared" si="146"/>
        <v>2845.2419672131159</v>
      </c>
      <c r="M1898" s="4">
        <f t="shared" si="147"/>
        <v>0.6</v>
      </c>
      <c r="N1898" s="1">
        <f t="shared" si="148"/>
        <v>45552</v>
      </c>
      <c r="O1898" s="3">
        <f>(Table13[[#This Row],[Units_Sold]]*Table13[[#This Row],[Unit_Price_Cleaned]]*(1-Table13[[#This Row],[Discount Cleaned]]))</f>
        <v>2276.193573770493</v>
      </c>
      <c r="P1898" t="str">
        <f t="shared" si="149"/>
        <v>Profit</v>
      </c>
      <c r="Q1898" t="str" cm="1">
        <f t="array" ref="Q1898">IF(K1898="",INDEX($K$2:$K$2501,MATCH(MAX(COUNTIF($K$2:$K$2501,$K$2:$K$2501)),COUNTIF($K$2:$K$2501,$K$2:$K$2501),0)),K1898)</f>
        <v>B2C</v>
      </c>
    </row>
    <row r="1899" spans="1:17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 s="3">
        <f t="shared" si="145"/>
        <v>1194.44</v>
      </c>
      <c r="I1899" s="1">
        <v>45824</v>
      </c>
      <c r="J1899" t="s">
        <v>15</v>
      </c>
      <c r="K1899" t="s">
        <v>23</v>
      </c>
      <c r="L1899" s="2">
        <f t="shared" si="146"/>
        <v>1194.44</v>
      </c>
      <c r="M1899" s="4">
        <f t="shared" si="147"/>
        <v>0.6</v>
      </c>
      <c r="N1899" s="1">
        <f t="shared" si="148"/>
        <v>45824</v>
      </c>
      <c r="O1899" s="3">
        <f>(Table13[[#This Row],[Units_Sold]]*Table13[[#This Row],[Unit_Price_Cleaned]]*(1-Table13[[#This Row],[Discount Cleaned]]))</f>
        <v>477.77600000000007</v>
      </c>
      <c r="P1899" t="str">
        <f t="shared" si="149"/>
        <v>Loss</v>
      </c>
      <c r="Q1899" t="str" cm="1">
        <f t="array" ref="Q1899">IF(K1899="",INDEX($K$2:$K$2501,MATCH(MAX(COUNTIF($K$2:$K$2501,$K$2:$K$2501)),COUNTIF($K$2:$K$2501,$K$2:$K$2501),0)),K1899)</f>
        <v>B2B</v>
      </c>
    </row>
    <row r="1900" spans="1:17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 s="3">
        <f t="shared" si="145"/>
        <v>17071.451803278695</v>
      </c>
      <c r="I1900" s="1">
        <v>45795</v>
      </c>
      <c r="J1900" t="s">
        <v>15</v>
      </c>
      <c r="K1900" t="s">
        <v>23</v>
      </c>
      <c r="L1900" s="2">
        <f t="shared" si="146"/>
        <v>2845.2419672131159</v>
      </c>
      <c r="M1900" s="4">
        <f t="shared" si="147"/>
        <v>0.54</v>
      </c>
      <c r="N1900" s="1">
        <f t="shared" si="148"/>
        <v>45795</v>
      </c>
      <c r="O1900" s="3">
        <f>(Table13[[#This Row],[Units_Sold]]*Table13[[#This Row],[Unit_Price_Cleaned]]*(1-Table13[[#This Row],[Discount Cleaned]]))</f>
        <v>7852.8678295081991</v>
      </c>
      <c r="P1900" t="str">
        <f t="shared" si="149"/>
        <v>Profit</v>
      </c>
      <c r="Q1900" t="str" cm="1">
        <f t="array" ref="Q1900">IF(K1900="",INDEX($K$2:$K$2501,MATCH(MAX(COUNTIF($K$2:$K$2501,$K$2:$K$2501)),COUNTIF($K$2:$K$2501,$K$2:$K$2501),0)),K1900)</f>
        <v>B2B</v>
      </c>
    </row>
    <row r="1901" spans="1:17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 s="3">
        <f t="shared" si="145"/>
        <v>6173.18</v>
      </c>
      <c r="I1901" s="1">
        <v>45683</v>
      </c>
      <c r="J1901" t="s">
        <v>15</v>
      </c>
      <c r="K1901" t="s">
        <v>16</v>
      </c>
      <c r="L1901" s="2">
        <f t="shared" si="146"/>
        <v>3086.59</v>
      </c>
      <c r="M1901" s="4">
        <f t="shared" si="147"/>
        <v>0.6</v>
      </c>
      <c r="N1901" s="1">
        <f t="shared" si="148"/>
        <v>45683</v>
      </c>
      <c r="O1901" s="3">
        <f>(Table13[[#This Row],[Units_Sold]]*Table13[[#This Row],[Unit_Price_Cleaned]]*(1-Table13[[#This Row],[Discount Cleaned]]))</f>
        <v>2469.2720000000004</v>
      </c>
      <c r="P1901" t="str">
        <f t="shared" si="149"/>
        <v>Profit</v>
      </c>
      <c r="Q1901" t="str" cm="1">
        <f t="array" ref="Q1901">IF(K1901="",INDEX($K$2:$K$2501,MATCH(MAX(COUNTIF($K$2:$K$2501,$K$2:$K$2501)),COUNTIF($K$2:$K$2501,$K$2:$K$2501),0)),K1901)</f>
        <v>B2C</v>
      </c>
    </row>
    <row r="1902" spans="1:17" x14ac:dyDescent="0.3">
      <c r="A1902">
        <v>2900</v>
      </c>
      <c r="B1902" t="s">
        <v>1931</v>
      </c>
      <c r="C1902" t="s">
        <v>38</v>
      </c>
      <c r="D1902" t="s">
        <v>63</v>
      </c>
      <c r="E1902">
        <v>2</v>
      </c>
      <c r="H1902" s="3">
        <f t="shared" si="145"/>
        <v>5690.4839344262318</v>
      </c>
      <c r="J1902" t="s">
        <v>18</v>
      </c>
      <c r="K1902" t="s">
        <v>23</v>
      </c>
      <c r="L1902" s="2">
        <f t="shared" si="146"/>
        <v>2845.2419672131159</v>
      </c>
      <c r="M1902" s="4">
        <f t="shared" si="147"/>
        <v>0.6</v>
      </c>
      <c r="N1902" s="1">
        <f t="shared" si="148"/>
        <v>45782</v>
      </c>
      <c r="O1902" s="3">
        <f>(Table13[[#This Row],[Units_Sold]]*Table13[[#This Row],[Unit_Price_Cleaned]]*(1-Table13[[#This Row],[Discount Cleaned]]))</f>
        <v>2276.193573770493</v>
      </c>
      <c r="P1902" t="str">
        <f t="shared" si="149"/>
        <v>Profit</v>
      </c>
      <c r="Q1902" t="str" cm="1">
        <f t="array" ref="Q1902">IF(K1902="",INDEX($K$2:$K$2501,MATCH(MAX(COUNTIF($K$2:$K$2501,$K$2:$K$2501)),COUNTIF($K$2:$K$2501,$K$2:$K$2501),0)),K1902)</f>
        <v>B2B</v>
      </c>
    </row>
    <row r="1903" spans="1:17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 s="3">
        <f t="shared" si="145"/>
        <v>3635.42</v>
      </c>
      <c r="I1903" s="1">
        <v>45775</v>
      </c>
      <c r="J1903" t="s">
        <v>22</v>
      </c>
      <c r="K1903" t="s">
        <v>16</v>
      </c>
      <c r="L1903" s="2">
        <f t="shared" si="146"/>
        <v>1817.71</v>
      </c>
      <c r="M1903" s="4">
        <f t="shared" si="147"/>
        <v>0.6</v>
      </c>
      <c r="N1903" s="1">
        <f t="shared" si="148"/>
        <v>45775</v>
      </c>
      <c r="O1903" s="3">
        <f>(Table13[[#This Row],[Units_Sold]]*Table13[[#This Row],[Unit_Price_Cleaned]]*(1-Table13[[#This Row],[Discount Cleaned]]))</f>
        <v>1454.1680000000001</v>
      </c>
      <c r="P1903" t="str">
        <f t="shared" si="149"/>
        <v>Profit</v>
      </c>
      <c r="Q1903" t="str" cm="1">
        <f t="array" ref="Q1903">IF(K1903="",INDEX($K$2:$K$2501,MATCH(MAX(COUNTIF($K$2:$K$2501,$K$2:$K$2501)),COUNTIF($K$2:$K$2501,$K$2:$K$2501),0)),K1903)</f>
        <v>B2C</v>
      </c>
    </row>
    <row r="1904" spans="1:17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 s="3">
        <f t="shared" si="145"/>
        <v>15766.849999999999</v>
      </c>
      <c r="I1904" s="1">
        <v>45563</v>
      </c>
      <c r="J1904" t="s">
        <v>40</v>
      </c>
      <c r="L1904" s="2">
        <f t="shared" si="146"/>
        <v>3153.37</v>
      </c>
      <c r="M1904" s="4">
        <f t="shared" si="147"/>
        <v>0.6</v>
      </c>
      <c r="N1904" s="1">
        <f t="shared" si="148"/>
        <v>45563</v>
      </c>
      <c r="O1904" s="3">
        <f>(Table13[[#This Row],[Units_Sold]]*Table13[[#This Row],[Unit_Price_Cleaned]]*(1-Table13[[#This Row],[Discount Cleaned]]))</f>
        <v>6306.74</v>
      </c>
      <c r="P1904" t="str">
        <f t="shared" si="149"/>
        <v>Profit</v>
      </c>
      <c r="Q1904" t="str" cm="1">
        <f t="array" ref="Q1904">IF(K1904="",INDEX($K$2:$K$2501,MATCH(MAX(COUNTIF($K$2:$K$2501,$K$2:$K$2501)),COUNTIF($K$2:$K$2501,$K$2:$K$2501),0)),K1904)</f>
        <v>B2B</v>
      </c>
    </row>
    <row r="1905" spans="1:17" x14ac:dyDescent="0.3">
      <c r="A1905">
        <v>2903</v>
      </c>
      <c r="B1905" t="s">
        <v>1934</v>
      </c>
      <c r="C1905" t="s">
        <v>33</v>
      </c>
      <c r="D1905" t="s">
        <v>72</v>
      </c>
      <c r="E1905">
        <v>2</v>
      </c>
      <c r="H1905" s="3">
        <f t="shared" si="145"/>
        <v>5431.091698113205</v>
      </c>
      <c r="J1905" t="s">
        <v>56</v>
      </c>
      <c r="K1905" t="s">
        <v>16</v>
      </c>
      <c r="L1905" s="2">
        <f t="shared" si="146"/>
        <v>2715.5458490566025</v>
      </c>
      <c r="M1905" s="4">
        <f t="shared" si="147"/>
        <v>0.6</v>
      </c>
      <c r="N1905" s="1">
        <f t="shared" si="148"/>
        <v>45782</v>
      </c>
      <c r="O1905" s="3">
        <f>(Table13[[#This Row],[Units_Sold]]*Table13[[#This Row],[Unit_Price_Cleaned]]*(1-Table13[[#This Row],[Discount Cleaned]]))</f>
        <v>2172.436679245282</v>
      </c>
      <c r="P1905" t="str">
        <f t="shared" si="149"/>
        <v>Profit</v>
      </c>
      <c r="Q1905" t="str" cm="1">
        <f t="array" ref="Q1905">IF(K1905="",INDEX($K$2:$K$2501,MATCH(MAX(COUNTIF($K$2:$K$2501,$K$2:$K$2501)),COUNTIF($K$2:$K$2501,$K$2:$K$2501),0)),K1905)</f>
        <v>B2C</v>
      </c>
    </row>
    <row r="1906" spans="1:17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 s="3">
        <f t="shared" si="145"/>
        <v>6013.65</v>
      </c>
      <c r="I1906" s="1">
        <v>45599</v>
      </c>
      <c r="J1906" t="s">
        <v>56</v>
      </c>
      <c r="K1906" t="s">
        <v>16</v>
      </c>
      <c r="L1906" s="2">
        <f t="shared" si="146"/>
        <v>1202.73</v>
      </c>
      <c r="M1906" s="4">
        <f t="shared" si="147"/>
        <v>0.6</v>
      </c>
      <c r="N1906" s="1">
        <f t="shared" si="148"/>
        <v>45599</v>
      </c>
      <c r="O1906" s="3">
        <f>(Table13[[#This Row],[Units_Sold]]*Table13[[#This Row],[Unit_Price_Cleaned]]*(1-Table13[[#This Row],[Discount Cleaned]]))</f>
        <v>2405.46</v>
      </c>
      <c r="P1906" t="str">
        <f t="shared" si="149"/>
        <v>Profit</v>
      </c>
      <c r="Q1906" t="str" cm="1">
        <f t="array" ref="Q1906">IF(K1906="",INDEX($K$2:$K$2501,MATCH(MAX(COUNTIF($K$2:$K$2501,$K$2:$K$2501)),COUNTIF($K$2:$K$2501,$K$2:$K$2501),0)),K1906)</f>
        <v>B2C</v>
      </c>
    </row>
    <row r="1907" spans="1:17" x14ac:dyDescent="0.3">
      <c r="A1907">
        <v>2905</v>
      </c>
      <c r="B1907" t="s">
        <v>1936</v>
      </c>
      <c r="C1907" t="s">
        <v>13</v>
      </c>
      <c r="D1907" t="s">
        <v>49</v>
      </c>
      <c r="E1907">
        <v>2</v>
      </c>
      <c r="F1907">
        <v>1478.93</v>
      </c>
      <c r="H1907" s="3">
        <f t="shared" si="145"/>
        <v>2957.86</v>
      </c>
      <c r="I1907" s="1">
        <v>45715</v>
      </c>
      <c r="J1907" t="s">
        <v>56</v>
      </c>
      <c r="K1907" t="s">
        <v>16</v>
      </c>
      <c r="L1907" s="2">
        <f t="shared" si="146"/>
        <v>1478.93</v>
      </c>
      <c r="M1907" s="4">
        <f t="shared" si="147"/>
        <v>0.6</v>
      </c>
      <c r="N1907" s="1">
        <f t="shared" si="148"/>
        <v>45715</v>
      </c>
      <c r="O1907" s="3">
        <f>(Table13[[#This Row],[Units_Sold]]*Table13[[#This Row],[Unit_Price_Cleaned]]*(1-Table13[[#This Row],[Discount Cleaned]]))</f>
        <v>1183.144</v>
      </c>
      <c r="P1907" t="str">
        <f t="shared" si="149"/>
        <v>Profit</v>
      </c>
      <c r="Q1907" t="str" cm="1">
        <f t="array" ref="Q1907">IF(K1907="",INDEX($K$2:$K$2501,MATCH(MAX(COUNTIF($K$2:$K$2501,$K$2:$K$2501)),COUNTIF($K$2:$K$2501,$K$2:$K$2501),0)),K1907)</f>
        <v>B2C</v>
      </c>
    </row>
    <row r="1908" spans="1:17" x14ac:dyDescent="0.3">
      <c r="A1908">
        <v>2906</v>
      </c>
      <c r="B1908" t="s">
        <v>1937</v>
      </c>
      <c r="C1908" t="s">
        <v>38</v>
      </c>
      <c r="D1908" t="s">
        <v>91</v>
      </c>
      <c r="E1908">
        <v>2</v>
      </c>
      <c r="G1908">
        <v>0.25</v>
      </c>
      <c r="H1908" s="3">
        <f t="shared" si="145"/>
        <v>5737.5536363636356</v>
      </c>
      <c r="I1908" s="1">
        <v>45539</v>
      </c>
      <c r="J1908" t="s">
        <v>18</v>
      </c>
      <c r="L1908" s="2">
        <f t="shared" si="146"/>
        <v>2868.7768181818178</v>
      </c>
      <c r="M1908" s="4">
        <f t="shared" si="147"/>
        <v>0.25</v>
      </c>
      <c r="N1908" s="1">
        <f t="shared" si="148"/>
        <v>45539</v>
      </c>
      <c r="O1908" s="3">
        <f>(Table13[[#This Row],[Units_Sold]]*Table13[[#This Row],[Unit_Price_Cleaned]]*(1-Table13[[#This Row],[Discount Cleaned]]))</f>
        <v>4303.165227272727</v>
      </c>
      <c r="P1908" t="str">
        <f t="shared" si="149"/>
        <v>Profit</v>
      </c>
      <c r="Q1908" t="str" cm="1">
        <f t="array" ref="Q1908">IF(K1908="",INDEX($K$2:$K$2501,MATCH(MAX(COUNTIF($K$2:$K$2501,$K$2:$K$2501)),COUNTIF($K$2:$K$2501,$K$2:$K$2501),0)),K1908)</f>
        <v>B2B</v>
      </c>
    </row>
    <row r="1909" spans="1:17" x14ac:dyDescent="0.3">
      <c r="A1909">
        <v>2907</v>
      </c>
      <c r="B1909" t="s">
        <v>1938</v>
      </c>
      <c r="C1909" t="s">
        <v>33</v>
      </c>
      <c r="D1909" t="s">
        <v>82</v>
      </c>
      <c r="E1909">
        <v>2</v>
      </c>
      <c r="H1909" s="3">
        <f t="shared" si="145"/>
        <v>5552.4404000000004</v>
      </c>
      <c r="I1909" s="1">
        <v>45778</v>
      </c>
      <c r="J1909" t="s">
        <v>56</v>
      </c>
      <c r="K1909" t="s">
        <v>23</v>
      </c>
      <c r="L1909" s="2">
        <f t="shared" si="146"/>
        <v>2776.2202000000002</v>
      </c>
      <c r="M1909" s="4">
        <f t="shared" si="147"/>
        <v>0.6</v>
      </c>
      <c r="N1909" s="1">
        <f t="shared" si="148"/>
        <v>45778</v>
      </c>
      <c r="O1909" s="3">
        <f>(Table13[[#This Row],[Units_Sold]]*Table13[[#This Row],[Unit_Price_Cleaned]]*(1-Table13[[#This Row],[Discount Cleaned]]))</f>
        <v>2220.9761600000002</v>
      </c>
      <c r="P1909" t="str">
        <f t="shared" si="149"/>
        <v>Profit</v>
      </c>
      <c r="Q1909" t="str" cm="1">
        <f t="array" ref="Q1909">IF(K1909="",INDEX($K$2:$K$2501,MATCH(MAX(COUNTIF($K$2:$K$2501,$K$2:$K$2501)),COUNTIF($K$2:$K$2501,$K$2:$K$2501),0)),K1909)</f>
        <v>B2B</v>
      </c>
    </row>
    <row r="1910" spans="1:17" x14ac:dyDescent="0.3">
      <c r="A1910">
        <v>2908</v>
      </c>
      <c r="B1910" t="s">
        <v>1939</v>
      </c>
      <c r="C1910" t="s">
        <v>13</v>
      </c>
      <c r="D1910" t="s">
        <v>49</v>
      </c>
      <c r="E1910">
        <v>2</v>
      </c>
      <c r="G1910">
        <v>0.51</v>
      </c>
      <c r="H1910" s="3">
        <f t="shared" si="145"/>
        <v>5570.1755932203387</v>
      </c>
      <c r="I1910" s="1">
        <v>45136</v>
      </c>
      <c r="J1910" t="s">
        <v>46</v>
      </c>
      <c r="K1910" t="s">
        <v>16</v>
      </c>
      <c r="L1910" s="2">
        <f t="shared" si="146"/>
        <v>2785.0877966101693</v>
      </c>
      <c r="M1910" s="4">
        <f t="shared" si="147"/>
        <v>0.51</v>
      </c>
      <c r="N1910" s="1">
        <f t="shared" si="148"/>
        <v>45136</v>
      </c>
      <c r="O1910" s="3">
        <f>(Table13[[#This Row],[Units_Sold]]*Table13[[#This Row],[Unit_Price_Cleaned]]*(1-Table13[[#This Row],[Discount Cleaned]]))</f>
        <v>2729.3860406779659</v>
      </c>
      <c r="P1910" t="str">
        <f t="shared" si="149"/>
        <v>Profit</v>
      </c>
      <c r="Q1910" t="str" cm="1">
        <f t="array" ref="Q1910">IF(K1910="",INDEX($K$2:$K$2501,MATCH(MAX(COUNTIF($K$2:$K$2501,$K$2:$K$2501)),COUNTIF($K$2:$K$2501,$K$2:$K$2501),0)),K1910)</f>
        <v>B2C</v>
      </c>
    </row>
    <row r="1911" spans="1:17" x14ac:dyDescent="0.3">
      <c r="A1911">
        <v>2909</v>
      </c>
      <c r="B1911" t="s">
        <v>1940</v>
      </c>
      <c r="C1911" t="s">
        <v>33</v>
      </c>
      <c r="D1911" t="s">
        <v>34</v>
      </c>
      <c r="E1911">
        <v>2</v>
      </c>
      <c r="F1911">
        <v>2928.84</v>
      </c>
      <c r="H1911" s="3">
        <f t="shared" si="145"/>
        <v>5857.68</v>
      </c>
      <c r="I1911" s="1">
        <v>45727</v>
      </c>
      <c r="J1911" t="s">
        <v>15</v>
      </c>
      <c r="K1911" t="s">
        <v>23</v>
      </c>
      <c r="L1911" s="2">
        <f t="shared" si="146"/>
        <v>2928.84</v>
      </c>
      <c r="M1911" s="4">
        <f t="shared" si="147"/>
        <v>0.6</v>
      </c>
      <c r="N1911" s="1">
        <f t="shared" si="148"/>
        <v>45727</v>
      </c>
      <c r="O1911" s="3">
        <f>(Table13[[#This Row],[Units_Sold]]*Table13[[#This Row],[Unit_Price_Cleaned]]*(1-Table13[[#This Row],[Discount Cleaned]]))</f>
        <v>2343.0720000000001</v>
      </c>
      <c r="P1911" t="str">
        <f t="shared" si="149"/>
        <v>Profit</v>
      </c>
      <c r="Q1911" t="str" cm="1">
        <f t="array" ref="Q1911">IF(K1911="",INDEX($K$2:$K$2501,MATCH(MAX(COUNTIF($K$2:$K$2501,$K$2:$K$2501)),COUNTIF($K$2:$K$2501,$K$2:$K$2501),0)),K1911)</f>
        <v>B2B</v>
      </c>
    </row>
    <row r="1912" spans="1:17" x14ac:dyDescent="0.3">
      <c r="A1912">
        <v>2910</v>
      </c>
      <c r="B1912" t="s">
        <v>1941</v>
      </c>
      <c r="C1912" t="s">
        <v>38</v>
      </c>
      <c r="D1912" t="s">
        <v>91</v>
      </c>
      <c r="E1912">
        <v>2</v>
      </c>
      <c r="F1912">
        <v>1027.54</v>
      </c>
      <c r="G1912">
        <v>0.55000000000000004</v>
      </c>
      <c r="H1912" s="3">
        <f t="shared" si="145"/>
        <v>2055.08</v>
      </c>
      <c r="I1912" s="1">
        <v>45678</v>
      </c>
      <c r="J1912" t="s">
        <v>18</v>
      </c>
      <c r="K1912" t="s">
        <v>16</v>
      </c>
      <c r="L1912" s="2">
        <f t="shared" si="146"/>
        <v>1027.54</v>
      </c>
      <c r="M1912" s="4">
        <f t="shared" si="147"/>
        <v>0.55000000000000004</v>
      </c>
      <c r="N1912" s="1">
        <f t="shared" si="148"/>
        <v>45678</v>
      </c>
      <c r="O1912" s="3">
        <f>(Table13[[#This Row],[Units_Sold]]*Table13[[#This Row],[Unit_Price_Cleaned]]*(1-Table13[[#This Row],[Discount Cleaned]]))</f>
        <v>924.78599999999983</v>
      </c>
      <c r="P1912" t="str">
        <f t="shared" si="149"/>
        <v>Profit</v>
      </c>
      <c r="Q1912" t="str" cm="1">
        <f t="array" ref="Q1912">IF(K1912="",INDEX($K$2:$K$2501,MATCH(MAX(COUNTIF($K$2:$K$2501,$K$2:$K$2501)),COUNTIF($K$2:$K$2501,$K$2:$K$2501),0)),K1912)</f>
        <v>B2C</v>
      </c>
    </row>
    <row r="1913" spans="1:17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 s="3">
        <f t="shared" si="145"/>
        <v>3008.3844444444444</v>
      </c>
      <c r="J1913" t="s">
        <v>18</v>
      </c>
      <c r="K1913" t="s">
        <v>23</v>
      </c>
      <c r="L1913" s="2">
        <f t="shared" si="146"/>
        <v>3008.3844444444444</v>
      </c>
      <c r="M1913" s="4">
        <f t="shared" si="147"/>
        <v>0.6</v>
      </c>
      <c r="N1913" s="1">
        <f t="shared" si="148"/>
        <v>45782</v>
      </c>
      <c r="O1913" s="3">
        <f>(Table13[[#This Row],[Units_Sold]]*Table13[[#This Row],[Unit_Price_Cleaned]]*(1-Table13[[#This Row],[Discount Cleaned]]))</f>
        <v>1203.3537777777779</v>
      </c>
      <c r="P1913" t="str">
        <f t="shared" si="149"/>
        <v>Profit</v>
      </c>
      <c r="Q1913" t="str" cm="1">
        <f t="array" ref="Q1913">IF(K1913="",INDEX($K$2:$K$2501,MATCH(MAX(COUNTIF($K$2:$K$2501,$K$2:$K$2501)),COUNTIF($K$2:$K$2501,$K$2:$K$2501),0)),K1913)</f>
        <v>B2B</v>
      </c>
    </row>
    <row r="1914" spans="1:17" x14ac:dyDescent="0.3">
      <c r="A1914">
        <v>2912</v>
      </c>
      <c r="B1914" t="s">
        <v>1943</v>
      </c>
      <c r="C1914" t="s">
        <v>25</v>
      </c>
      <c r="D1914" t="s">
        <v>86</v>
      </c>
      <c r="E1914">
        <v>2</v>
      </c>
      <c r="H1914" s="3">
        <f t="shared" si="145"/>
        <v>5003.0619999999999</v>
      </c>
      <c r="I1914" s="1">
        <v>45506</v>
      </c>
      <c r="J1914" t="s">
        <v>46</v>
      </c>
      <c r="L1914" s="2">
        <f t="shared" si="146"/>
        <v>2501.5309999999999</v>
      </c>
      <c r="M1914" s="4">
        <f t="shared" si="147"/>
        <v>0.6</v>
      </c>
      <c r="N1914" s="1">
        <f t="shared" si="148"/>
        <v>45506</v>
      </c>
      <c r="O1914" s="3">
        <f>(Table13[[#This Row],[Units_Sold]]*Table13[[#This Row],[Unit_Price_Cleaned]]*(1-Table13[[#This Row],[Discount Cleaned]]))</f>
        <v>2001.2248</v>
      </c>
      <c r="P1914" t="str">
        <f t="shared" si="149"/>
        <v>Profit</v>
      </c>
      <c r="Q1914" t="str" cm="1">
        <f t="array" ref="Q1914">IF(K1914="",INDEX($K$2:$K$2501,MATCH(MAX(COUNTIF($K$2:$K$2501,$K$2:$K$2501)),COUNTIF($K$2:$K$2501,$K$2:$K$2501),0)),K1914)</f>
        <v>B2B</v>
      </c>
    </row>
    <row r="1915" spans="1:17" x14ac:dyDescent="0.3">
      <c r="A1915">
        <v>2913</v>
      </c>
      <c r="B1915" t="s">
        <v>1944</v>
      </c>
      <c r="C1915" t="s">
        <v>25</v>
      </c>
      <c r="D1915" t="s">
        <v>54</v>
      </c>
      <c r="E1915">
        <v>2</v>
      </c>
      <c r="H1915" s="3">
        <f t="shared" si="145"/>
        <v>5060.7673076923093</v>
      </c>
      <c r="J1915" t="s">
        <v>18</v>
      </c>
      <c r="K1915" t="s">
        <v>16</v>
      </c>
      <c r="L1915" s="2">
        <f t="shared" si="146"/>
        <v>2530.3836538461546</v>
      </c>
      <c r="M1915" s="4">
        <f t="shared" si="147"/>
        <v>0.6</v>
      </c>
      <c r="N1915" s="1">
        <f t="shared" si="148"/>
        <v>45782</v>
      </c>
      <c r="O1915" s="3">
        <f>(Table13[[#This Row],[Units_Sold]]*Table13[[#This Row],[Unit_Price_Cleaned]]*(1-Table13[[#This Row],[Discount Cleaned]]))</f>
        <v>2024.3069230769238</v>
      </c>
      <c r="P1915" t="str">
        <f t="shared" si="149"/>
        <v>Profit</v>
      </c>
      <c r="Q1915" t="str" cm="1">
        <f t="array" ref="Q1915">IF(K1915="",INDEX($K$2:$K$2501,MATCH(MAX(COUNTIF($K$2:$K$2501,$K$2:$K$2501)),COUNTIF($K$2:$K$2501,$K$2:$K$2501),0)),K1915)</f>
        <v>B2C</v>
      </c>
    </row>
    <row r="1916" spans="1:17" x14ac:dyDescent="0.3">
      <c r="A1916">
        <v>2914</v>
      </c>
      <c r="B1916" t="s">
        <v>1945</v>
      </c>
      <c r="C1916" t="s">
        <v>29</v>
      </c>
      <c r="D1916" t="s">
        <v>30</v>
      </c>
      <c r="E1916">
        <v>2</v>
      </c>
      <c r="G1916">
        <v>1.03</v>
      </c>
      <c r="H1916" s="3">
        <f t="shared" si="145"/>
        <v>5235.2780769230776</v>
      </c>
      <c r="I1916" s="1">
        <v>45281</v>
      </c>
      <c r="J1916" t="s">
        <v>15</v>
      </c>
      <c r="L1916" s="2">
        <f t="shared" si="146"/>
        <v>2617.6390384615388</v>
      </c>
      <c r="M1916" s="4">
        <f t="shared" si="147"/>
        <v>1.03</v>
      </c>
      <c r="N1916" s="1">
        <f t="shared" si="148"/>
        <v>45281</v>
      </c>
      <c r="O1916" s="3">
        <f>(Table13[[#This Row],[Units_Sold]]*Table13[[#This Row],[Unit_Price_Cleaned]]*(1-Table13[[#This Row],[Discount Cleaned]]))</f>
        <v>-157.05834230769247</v>
      </c>
      <c r="P1916" t="str">
        <f t="shared" si="149"/>
        <v>Loss</v>
      </c>
      <c r="Q1916" t="str" cm="1">
        <f t="array" ref="Q1916">IF(K1916="",INDEX($K$2:$K$2501,MATCH(MAX(COUNTIF($K$2:$K$2501,$K$2:$K$2501)),COUNTIF($K$2:$K$2501,$K$2:$K$2501),0)),K1916)</f>
        <v>B2B</v>
      </c>
    </row>
    <row r="1917" spans="1:17" x14ac:dyDescent="0.3">
      <c r="A1917">
        <v>2915</v>
      </c>
      <c r="B1917" t="s">
        <v>1946</v>
      </c>
      <c r="C1917" t="s">
        <v>29</v>
      </c>
      <c r="D1917" t="s">
        <v>30</v>
      </c>
      <c r="E1917">
        <v>2</v>
      </c>
      <c r="F1917">
        <v>3022.15</v>
      </c>
      <c r="H1917" s="3">
        <f t="shared" si="145"/>
        <v>6044.3</v>
      </c>
      <c r="I1917" s="1">
        <v>45645</v>
      </c>
      <c r="J1917" t="s">
        <v>15</v>
      </c>
      <c r="L1917" s="2">
        <f t="shared" si="146"/>
        <v>3022.15</v>
      </c>
      <c r="M1917" s="4">
        <f t="shared" si="147"/>
        <v>0.6</v>
      </c>
      <c r="N1917" s="1">
        <f t="shared" si="148"/>
        <v>45645</v>
      </c>
      <c r="O1917" s="3">
        <f>(Table13[[#This Row],[Units_Sold]]*Table13[[#This Row],[Unit_Price_Cleaned]]*(1-Table13[[#This Row],[Discount Cleaned]]))</f>
        <v>2417.7200000000003</v>
      </c>
      <c r="P1917" t="str">
        <f t="shared" si="149"/>
        <v>Profit</v>
      </c>
      <c r="Q1917" t="str" cm="1">
        <f t="array" ref="Q1917">IF(K1917="",INDEX($K$2:$K$2501,MATCH(MAX(COUNTIF($K$2:$K$2501,$K$2:$K$2501)),COUNTIF($K$2:$K$2501,$K$2:$K$2501),0)),K1917)</f>
        <v>B2B</v>
      </c>
    </row>
    <row r="1918" spans="1:17" x14ac:dyDescent="0.3">
      <c r="A1918">
        <v>2916</v>
      </c>
      <c r="B1918" t="s">
        <v>1947</v>
      </c>
      <c r="C1918" t="s">
        <v>20</v>
      </c>
      <c r="D1918" t="s">
        <v>88</v>
      </c>
      <c r="E1918">
        <v>2</v>
      </c>
      <c r="F1918">
        <v>2483.4899999999998</v>
      </c>
      <c r="H1918" s="3">
        <f t="shared" si="145"/>
        <v>4966.9799999999996</v>
      </c>
      <c r="I1918" s="1">
        <v>45758</v>
      </c>
      <c r="J1918" t="s">
        <v>18</v>
      </c>
      <c r="K1918" t="s">
        <v>23</v>
      </c>
      <c r="L1918" s="2">
        <f t="shared" si="146"/>
        <v>2483.4899999999998</v>
      </c>
      <c r="M1918" s="4">
        <f t="shared" si="147"/>
        <v>0.6</v>
      </c>
      <c r="N1918" s="1">
        <f t="shared" si="148"/>
        <v>45758</v>
      </c>
      <c r="O1918" s="3">
        <f>(Table13[[#This Row],[Units_Sold]]*Table13[[#This Row],[Unit_Price_Cleaned]]*(1-Table13[[#This Row],[Discount Cleaned]]))</f>
        <v>1986.7919999999999</v>
      </c>
      <c r="P1918" t="str">
        <f t="shared" si="149"/>
        <v>Profit</v>
      </c>
      <c r="Q1918" t="str" cm="1">
        <f t="array" ref="Q1918">IF(K1918="",INDEX($K$2:$K$2501,MATCH(MAX(COUNTIF($K$2:$K$2501,$K$2:$K$2501)),COUNTIF($K$2:$K$2501,$K$2:$K$2501),0)),K1918)</f>
        <v>B2B</v>
      </c>
    </row>
    <row r="1919" spans="1:17" x14ac:dyDescent="0.3">
      <c r="A1919">
        <v>1027</v>
      </c>
      <c r="B1919" t="s">
        <v>1948</v>
      </c>
      <c r="C1919" t="s">
        <v>29</v>
      </c>
      <c r="D1919" t="s">
        <v>120</v>
      </c>
      <c r="E1919">
        <v>2</v>
      </c>
      <c r="F1919">
        <v>2092.33</v>
      </c>
      <c r="H1919" s="3">
        <f t="shared" si="145"/>
        <v>4184.66</v>
      </c>
      <c r="I1919" s="1">
        <v>45761</v>
      </c>
      <c r="J1919" t="s">
        <v>18</v>
      </c>
      <c r="L1919" s="2">
        <f t="shared" si="146"/>
        <v>2092.33</v>
      </c>
      <c r="M1919" s="4">
        <f t="shared" si="147"/>
        <v>0.6</v>
      </c>
      <c r="N1919" s="1">
        <f t="shared" si="148"/>
        <v>45761</v>
      </c>
      <c r="O1919" s="3">
        <f>(Table13[[#This Row],[Units_Sold]]*Table13[[#This Row],[Unit_Price_Cleaned]]*(1-Table13[[#This Row],[Discount Cleaned]]))</f>
        <v>1673.864</v>
      </c>
      <c r="P1919" t="str">
        <f t="shared" si="149"/>
        <v>Profit</v>
      </c>
      <c r="Q1919" t="str" cm="1">
        <f t="array" ref="Q1919">IF(K1919="",INDEX($K$2:$K$2501,MATCH(MAX(COUNTIF($K$2:$K$2501,$K$2:$K$2501)),COUNTIF($K$2:$K$2501,$K$2:$K$2501),0)),K1919)</f>
        <v>B2B</v>
      </c>
    </row>
    <row r="1920" spans="1:17" x14ac:dyDescent="0.3">
      <c r="A1920">
        <v>2918</v>
      </c>
      <c r="B1920" t="s">
        <v>1949</v>
      </c>
      <c r="C1920" t="s">
        <v>25</v>
      </c>
      <c r="D1920" t="s">
        <v>54</v>
      </c>
      <c r="E1920">
        <v>2</v>
      </c>
      <c r="H1920" s="3">
        <f t="shared" si="145"/>
        <v>5060.7673076923093</v>
      </c>
      <c r="J1920" t="s">
        <v>15</v>
      </c>
      <c r="L1920" s="2">
        <f t="shared" si="146"/>
        <v>2530.3836538461546</v>
      </c>
      <c r="M1920" s="4">
        <f t="shared" si="147"/>
        <v>0.6</v>
      </c>
      <c r="N1920" s="1">
        <f t="shared" si="148"/>
        <v>45782</v>
      </c>
      <c r="O1920" s="3">
        <f>(Table13[[#This Row],[Units_Sold]]*Table13[[#This Row],[Unit_Price_Cleaned]]*(1-Table13[[#This Row],[Discount Cleaned]]))</f>
        <v>2024.3069230769238</v>
      </c>
      <c r="P1920" t="str">
        <f t="shared" si="149"/>
        <v>Profit</v>
      </c>
      <c r="Q1920" t="str" cm="1">
        <f t="array" ref="Q1920">IF(K1920="",INDEX($K$2:$K$2501,MATCH(MAX(COUNTIF($K$2:$K$2501,$K$2:$K$2501)),COUNTIF($K$2:$K$2501,$K$2:$K$2501),0)),K1920)</f>
        <v>B2B</v>
      </c>
    </row>
    <row r="1921" spans="1:17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 s="3">
        <f t="shared" si="145"/>
        <v>1071.24</v>
      </c>
      <c r="I1921" s="1">
        <v>45500</v>
      </c>
      <c r="J1921" t="s">
        <v>40</v>
      </c>
      <c r="K1921" t="s">
        <v>16</v>
      </c>
      <c r="L1921" s="2">
        <f t="shared" si="146"/>
        <v>535.62</v>
      </c>
      <c r="M1921" s="4">
        <f t="shared" si="147"/>
        <v>0.6</v>
      </c>
      <c r="N1921" s="1">
        <f t="shared" si="148"/>
        <v>45500</v>
      </c>
      <c r="O1921" s="3">
        <f>(Table13[[#This Row],[Units_Sold]]*Table13[[#This Row],[Unit_Price_Cleaned]]*(1-Table13[[#This Row],[Discount Cleaned]]))</f>
        <v>428.49600000000004</v>
      </c>
      <c r="P1921" t="str">
        <f t="shared" si="149"/>
        <v>Loss</v>
      </c>
      <c r="Q1921" t="str" cm="1">
        <f t="array" ref="Q1921">IF(K1921="",INDEX($K$2:$K$2501,MATCH(MAX(COUNTIF($K$2:$K$2501,$K$2:$K$2501)),COUNTIF($K$2:$K$2501,$K$2:$K$2501),0)),K1921)</f>
        <v>B2C</v>
      </c>
    </row>
    <row r="1922" spans="1:17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 s="3">
        <f t="shared" ref="H1922:H1985" si="150">(L1922*E1922)</f>
        <v>2617.6390384615388</v>
      </c>
      <c r="I1922" s="1">
        <v>45648</v>
      </c>
      <c r="J1922" t="s">
        <v>56</v>
      </c>
      <c r="L1922" s="2">
        <f t="shared" ref="L1922:L1985" si="151">IF(F1922="",AVERAGEIF($D$2:$D$2501,D1922,$F$2:$F$2501),F1922)</f>
        <v>2617.6390384615388</v>
      </c>
      <c r="M1922" s="4">
        <f t="shared" ref="M1922:M1985" si="152">IF(G1922="",MEDIAN($G$2,$G$2501),G1922)</f>
        <v>1.3</v>
      </c>
      <c r="N1922" s="1">
        <f t="shared" ref="N1922:N1985" si="153">IF(I1922="",MODE($I$32:$I$2501),I1922)</f>
        <v>45648</v>
      </c>
      <c r="O1922" s="3">
        <f>(Table13[[#This Row],[Units_Sold]]*Table13[[#This Row],[Unit_Price_Cleaned]]*(1-Table13[[#This Row],[Discount Cleaned]]))</f>
        <v>-785.29171153846175</v>
      </c>
      <c r="P1922" t="str">
        <f t="shared" ref="P1922:P1985" si="154">IF(O1922&gt;500,"Profit","Loss")</f>
        <v>Loss</v>
      </c>
      <c r="Q1922" t="str" cm="1">
        <f t="array" ref="Q1922">IF(K1922="",INDEX($K$2:$K$2501,MATCH(MAX(COUNTIF($K$2:$K$2501,$K$2:$K$2501)),COUNTIF($K$2:$K$2501,$K$2:$K$2501),0)),K1922)</f>
        <v>B2B</v>
      </c>
    </row>
    <row r="1923" spans="1:17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 s="3">
        <f t="shared" si="150"/>
        <v>15182.301923076928</v>
      </c>
      <c r="I1923" s="1">
        <v>45826</v>
      </c>
      <c r="J1923" t="s">
        <v>56</v>
      </c>
      <c r="L1923" s="2">
        <f t="shared" si="151"/>
        <v>2530.3836538461546</v>
      </c>
      <c r="M1923" s="4">
        <f t="shared" si="152"/>
        <v>0.6</v>
      </c>
      <c r="N1923" s="1">
        <f t="shared" si="153"/>
        <v>45826</v>
      </c>
      <c r="O1923" s="3">
        <f>(Table13[[#This Row],[Units_Sold]]*Table13[[#This Row],[Unit_Price_Cleaned]]*(1-Table13[[#This Row],[Discount Cleaned]]))</f>
        <v>6072.9207692307718</v>
      </c>
      <c r="P1923" t="str">
        <f t="shared" si="154"/>
        <v>Profit</v>
      </c>
      <c r="Q1923" t="str" cm="1">
        <f t="array" ref="Q1923">IF(K1923="",INDEX($K$2:$K$2501,MATCH(MAX(COUNTIF($K$2:$K$2501,$K$2:$K$2501)),COUNTIF($K$2:$K$2501,$K$2:$K$2501),0)),K1923)</f>
        <v>B2B</v>
      </c>
    </row>
    <row r="1924" spans="1:17" x14ac:dyDescent="0.3">
      <c r="A1924">
        <v>2922</v>
      </c>
      <c r="B1924" t="s">
        <v>1952</v>
      </c>
      <c r="C1924" t="s">
        <v>20</v>
      </c>
      <c r="D1924" t="s">
        <v>122</v>
      </c>
      <c r="E1924">
        <v>2</v>
      </c>
      <c r="F1924">
        <v>2488.9499999999998</v>
      </c>
      <c r="G1924">
        <v>1.23</v>
      </c>
      <c r="H1924" s="3">
        <f t="shared" si="150"/>
        <v>4977.8999999999996</v>
      </c>
      <c r="J1924" t="s">
        <v>56</v>
      </c>
      <c r="K1924" t="s">
        <v>16</v>
      </c>
      <c r="L1924" s="2">
        <f t="shared" si="151"/>
        <v>2488.9499999999998</v>
      </c>
      <c r="M1924" s="4">
        <f t="shared" si="152"/>
        <v>1.23</v>
      </c>
      <c r="N1924" s="1">
        <f t="shared" si="153"/>
        <v>45782</v>
      </c>
      <c r="O1924" s="3">
        <f>(Table13[[#This Row],[Units_Sold]]*Table13[[#This Row],[Unit_Price_Cleaned]]*(1-Table13[[#This Row],[Discount Cleaned]]))</f>
        <v>-1144.9169999999999</v>
      </c>
      <c r="P1924" t="str">
        <f t="shared" si="154"/>
        <v>Loss</v>
      </c>
      <c r="Q1924" t="str" cm="1">
        <f t="array" ref="Q1924">IF(K1924="",INDEX($K$2:$K$2501,MATCH(MAX(COUNTIF($K$2:$K$2501,$K$2:$K$2501)),COUNTIF($K$2:$K$2501,$K$2:$K$2501),0)),K1924)</f>
        <v>B2C</v>
      </c>
    </row>
    <row r="1925" spans="1:17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 s="3">
        <f t="shared" si="150"/>
        <v>0</v>
      </c>
      <c r="I1925" s="1">
        <v>45311</v>
      </c>
      <c r="J1925" t="s">
        <v>56</v>
      </c>
      <c r="K1925" t="s">
        <v>16</v>
      </c>
      <c r="L1925" s="2">
        <f t="shared" si="151"/>
        <v>2559.6667307692314</v>
      </c>
      <c r="M1925" s="4">
        <f t="shared" si="152"/>
        <v>0.17</v>
      </c>
      <c r="N1925" s="1">
        <f t="shared" si="153"/>
        <v>45311</v>
      </c>
      <c r="O1925" s="3">
        <f>(Table13[[#This Row],[Units_Sold]]*Table13[[#This Row],[Unit_Price_Cleaned]]*(1-Table13[[#This Row],[Discount Cleaned]]))</f>
        <v>0</v>
      </c>
      <c r="P1925" t="str">
        <f t="shared" si="154"/>
        <v>Loss</v>
      </c>
      <c r="Q1925" t="str" cm="1">
        <f t="array" ref="Q1925">IF(K1925="",INDEX($K$2:$K$2501,MATCH(MAX(COUNTIF($K$2:$K$2501,$K$2:$K$2501)),COUNTIF($K$2:$K$2501,$K$2:$K$2501),0)),K1925)</f>
        <v>B2C</v>
      </c>
    </row>
    <row r="1926" spans="1:17" x14ac:dyDescent="0.3">
      <c r="A1926">
        <v>2924</v>
      </c>
      <c r="B1926" t="s">
        <v>1954</v>
      </c>
      <c r="C1926" t="s">
        <v>20</v>
      </c>
      <c r="D1926" t="s">
        <v>80</v>
      </c>
      <c r="E1926">
        <v>2</v>
      </c>
      <c r="F1926">
        <v>4151.88</v>
      </c>
      <c r="G1926">
        <v>0.05</v>
      </c>
      <c r="H1926" s="3">
        <f t="shared" si="150"/>
        <v>8303.76</v>
      </c>
      <c r="I1926" s="1">
        <v>45746</v>
      </c>
      <c r="J1926" t="s">
        <v>46</v>
      </c>
      <c r="L1926" s="2">
        <f t="shared" si="151"/>
        <v>4151.88</v>
      </c>
      <c r="M1926" s="4">
        <f t="shared" si="152"/>
        <v>0.05</v>
      </c>
      <c r="N1926" s="1">
        <f t="shared" si="153"/>
        <v>45746</v>
      </c>
      <c r="O1926" s="3">
        <f>(Table13[[#This Row],[Units_Sold]]*Table13[[#This Row],[Unit_Price_Cleaned]]*(1-Table13[[#This Row],[Discount Cleaned]]))</f>
        <v>7888.5720000000001</v>
      </c>
      <c r="P1926" t="str">
        <f t="shared" si="154"/>
        <v>Profit</v>
      </c>
      <c r="Q1926" t="str" cm="1">
        <f t="array" ref="Q1926">IF(K1926="",INDEX($K$2:$K$2501,MATCH(MAX(COUNTIF($K$2:$K$2501,$K$2:$K$2501)),COUNTIF($K$2:$K$2501,$K$2:$K$2501),0)),K1926)</f>
        <v>B2B</v>
      </c>
    </row>
    <row r="1927" spans="1:17" x14ac:dyDescent="0.3">
      <c r="A1927">
        <v>1004</v>
      </c>
      <c r="B1927" t="s">
        <v>1955</v>
      </c>
      <c r="C1927" t="s">
        <v>13</v>
      </c>
      <c r="D1927" t="s">
        <v>14</v>
      </c>
      <c r="E1927">
        <v>2</v>
      </c>
      <c r="F1927">
        <v>977.64</v>
      </c>
      <c r="H1927" s="3">
        <f t="shared" si="150"/>
        <v>1955.28</v>
      </c>
      <c r="I1927" s="1">
        <v>45613</v>
      </c>
      <c r="J1927" t="s">
        <v>40</v>
      </c>
      <c r="L1927" s="2">
        <f t="shared" si="151"/>
        <v>977.64</v>
      </c>
      <c r="M1927" s="4">
        <f t="shared" si="152"/>
        <v>0.6</v>
      </c>
      <c r="N1927" s="1">
        <f t="shared" si="153"/>
        <v>45613</v>
      </c>
      <c r="O1927" s="3">
        <f>(Table13[[#This Row],[Units_Sold]]*Table13[[#This Row],[Unit_Price_Cleaned]]*(1-Table13[[#This Row],[Discount Cleaned]]))</f>
        <v>782.11200000000008</v>
      </c>
      <c r="P1927" t="str">
        <f t="shared" si="154"/>
        <v>Profit</v>
      </c>
      <c r="Q1927" t="str" cm="1">
        <f t="array" ref="Q1927">IF(K1927="",INDEX($K$2:$K$2501,MATCH(MAX(COUNTIF($K$2:$K$2501,$K$2:$K$2501)),COUNTIF($K$2:$K$2501,$K$2:$K$2501),0)),K1927)</f>
        <v>B2B</v>
      </c>
    </row>
    <row r="1928" spans="1:17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 s="3">
        <f t="shared" si="150"/>
        <v>13052.24</v>
      </c>
      <c r="I1928" s="1">
        <v>45611</v>
      </c>
      <c r="J1928" t="s">
        <v>22</v>
      </c>
      <c r="L1928" s="2">
        <f t="shared" si="151"/>
        <v>3263.06</v>
      </c>
      <c r="M1928" s="4">
        <f t="shared" si="152"/>
        <v>0.16</v>
      </c>
      <c r="N1928" s="1">
        <f t="shared" si="153"/>
        <v>45611</v>
      </c>
      <c r="O1928" s="3">
        <f>(Table13[[#This Row],[Units_Sold]]*Table13[[#This Row],[Unit_Price_Cleaned]]*(1-Table13[[#This Row],[Discount Cleaned]]))</f>
        <v>10963.881599999999</v>
      </c>
      <c r="P1928" t="str">
        <f t="shared" si="154"/>
        <v>Profit</v>
      </c>
      <c r="Q1928" t="str" cm="1">
        <f t="array" ref="Q1928">IF(K1928="",INDEX($K$2:$K$2501,MATCH(MAX(COUNTIF($K$2:$K$2501,$K$2:$K$2501)),COUNTIF($K$2:$K$2501,$K$2:$K$2501),0)),K1928)</f>
        <v>B2B</v>
      </c>
    </row>
    <row r="1929" spans="1:17" x14ac:dyDescent="0.3">
      <c r="A1929">
        <v>2927</v>
      </c>
      <c r="B1929" t="s">
        <v>1957</v>
      </c>
      <c r="C1929" t="s">
        <v>38</v>
      </c>
      <c r="D1929" t="s">
        <v>63</v>
      </c>
      <c r="E1929">
        <v>2</v>
      </c>
      <c r="H1929" s="3">
        <f t="shared" si="150"/>
        <v>5690.4839344262318</v>
      </c>
      <c r="I1929" s="1">
        <v>45859</v>
      </c>
      <c r="J1929" t="s">
        <v>22</v>
      </c>
      <c r="K1929" t="s">
        <v>23</v>
      </c>
      <c r="L1929" s="2">
        <f t="shared" si="151"/>
        <v>2845.2419672131159</v>
      </c>
      <c r="M1929" s="4">
        <f t="shared" si="152"/>
        <v>0.6</v>
      </c>
      <c r="N1929" s="1">
        <f t="shared" si="153"/>
        <v>45859</v>
      </c>
      <c r="O1929" s="3">
        <f>(Table13[[#This Row],[Units_Sold]]*Table13[[#This Row],[Unit_Price_Cleaned]]*(1-Table13[[#This Row],[Discount Cleaned]]))</f>
        <v>2276.193573770493</v>
      </c>
      <c r="P1929" t="str">
        <f t="shared" si="154"/>
        <v>Profit</v>
      </c>
      <c r="Q1929" t="str" cm="1">
        <f t="array" ref="Q1929">IF(K1929="",INDEX($K$2:$K$2501,MATCH(MAX(COUNTIF($K$2:$K$2501,$K$2:$K$2501)),COUNTIF($K$2:$K$2501,$K$2:$K$2501),0)),K1929)</f>
        <v>B2B</v>
      </c>
    </row>
    <row r="1930" spans="1:17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 s="3">
        <f t="shared" si="150"/>
        <v>0</v>
      </c>
      <c r="I1930" s="1">
        <v>45597</v>
      </c>
      <c r="J1930" t="s">
        <v>15</v>
      </c>
      <c r="L1930" s="2">
        <f t="shared" si="151"/>
        <v>2530.3836538461546</v>
      </c>
      <c r="M1930" s="4">
        <f t="shared" si="152"/>
        <v>0.78</v>
      </c>
      <c r="N1930" s="1">
        <f t="shared" si="153"/>
        <v>45597</v>
      </c>
      <c r="O1930" s="3">
        <f>(Table13[[#This Row],[Units_Sold]]*Table13[[#This Row],[Unit_Price_Cleaned]]*(1-Table13[[#This Row],[Discount Cleaned]]))</f>
        <v>0</v>
      </c>
      <c r="P1930" t="str">
        <f t="shared" si="154"/>
        <v>Loss</v>
      </c>
      <c r="Q1930" t="str" cm="1">
        <f t="array" ref="Q1930">IF(K1930="",INDEX($K$2:$K$2501,MATCH(MAX(COUNTIF($K$2:$K$2501,$K$2:$K$2501)),COUNTIF($K$2:$K$2501,$K$2:$K$2501),0)),K1930)</f>
        <v>B2B</v>
      </c>
    </row>
    <row r="1931" spans="1:17" x14ac:dyDescent="0.3">
      <c r="A1931">
        <v>2929</v>
      </c>
      <c r="B1931" t="s">
        <v>1959</v>
      </c>
      <c r="C1931" t="s">
        <v>33</v>
      </c>
      <c r="D1931" t="s">
        <v>72</v>
      </c>
      <c r="E1931">
        <v>2</v>
      </c>
      <c r="F1931">
        <v>4733.41</v>
      </c>
      <c r="G1931">
        <v>1.1299999999999999</v>
      </c>
      <c r="H1931" s="3">
        <f t="shared" si="150"/>
        <v>9466.82</v>
      </c>
      <c r="I1931" s="1">
        <v>45637</v>
      </c>
      <c r="J1931" t="s">
        <v>40</v>
      </c>
      <c r="K1931" t="s">
        <v>16</v>
      </c>
      <c r="L1931" s="2">
        <f t="shared" si="151"/>
        <v>4733.41</v>
      </c>
      <c r="M1931" s="4">
        <f t="shared" si="152"/>
        <v>1.1299999999999999</v>
      </c>
      <c r="N1931" s="1">
        <f t="shared" si="153"/>
        <v>45637</v>
      </c>
      <c r="O1931" s="3">
        <f>(Table13[[#This Row],[Units_Sold]]*Table13[[#This Row],[Unit_Price_Cleaned]]*(1-Table13[[#This Row],[Discount Cleaned]]))</f>
        <v>-1230.6865999999989</v>
      </c>
      <c r="P1931" t="str">
        <f t="shared" si="154"/>
        <v>Loss</v>
      </c>
      <c r="Q1931" t="str" cm="1">
        <f t="array" ref="Q1931">IF(K1931="",INDEX($K$2:$K$2501,MATCH(MAX(COUNTIF($K$2:$K$2501,$K$2:$K$2501)),COUNTIF($K$2:$K$2501,$K$2:$K$2501),0)),K1931)</f>
        <v>B2C</v>
      </c>
    </row>
    <row r="1932" spans="1:17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 s="3">
        <f t="shared" si="150"/>
        <v>0</v>
      </c>
      <c r="I1932" s="1">
        <v>45709</v>
      </c>
      <c r="J1932" t="s">
        <v>18</v>
      </c>
      <c r="L1932" s="2">
        <f t="shared" si="151"/>
        <v>2642.73</v>
      </c>
      <c r="M1932" s="4">
        <f t="shared" si="152"/>
        <v>0.09</v>
      </c>
      <c r="N1932" s="1">
        <f t="shared" si="153"/>
        <v>45709</v>
      </c>
      <c r="O1932" s="3">
        <f>(Table13[[#This Row],[Units_Sold]]*Table13[[#This Row],[Unit_Price_Cleaned]]*(1-Table13[[#This Row],[Discount Cleaned]]))</f>
        <v>0</v>
      </c>
      <c r="P1932" t="str">
        <f t="shared" si="154"/>
        <v>Loss</v>
      </c>
      <c r="Q1932" t="str" cm="1">
        <f t="array" ref="Q1932">IF(K1932="",INDEX($K$2:$K$2501,MATCH(MAX(COUNTIF($K$2:$K$2501,$K$2:$K$2501)),COUNTIF($K$2:$K$2501,$K$2:$K$2501),0)),K1932)</f>
        <v>B2B</v>
      </c>
    </row>
    <row r="1933" spans="1:17" x14ac:dyDescent="0.3">
      <c r="A1933">
        <v>2931</v>
      </c>
      <c r="B1933" t="s">
        <v>1961</v>
      </c>
      <c r="C1933" t="s">
        <v>13</v>
      </c>
      <c r="D1933" t="s">
        <v>102</v>
      </c>
      <c r="E1933">
        <v>2</v>
      </c>
      <c r="F1933">
        <v>2629.78</v>
      </c>
      <c r="G1933">
        <v>1.3</v>
      </c>
      <c r="H1933" s="3">
        <f t="shared" si="150"/>
        <v>5259.56</v>
      </c>
      <c r="J1933" t="s">
        <v>15</v>
      </c>
      <c r="L1933" s="2">
        <f t="shared" si="151"/>
        <v>2629.78</v>
      </c>
      <c r="M1933" s="4">
        <f t="shared" si="152"/>
        <v>1.3</v>
      </c>
      <c r="N1933" s="1">
        <f t="shared" si="153"/>
        <v>45782</v>
      </c>
      <c r="O1933" s="3">
        <f>(Table13[[#This Row],[Units_Sold]]*Table13[[#This Row],[Unit_Price_Cleaned]]*(1-Table13[[#This Row],[Discount Cleaned]]))</f>
        <v>-1577.8680000000004</v>
      </c>
      <c r="P1933" t="str">
        <f t="shared" si="154"/>
        <v>Loss</v>
      </c>
      <c r="Q1933" t="str" cm="1">
        <f t="array" ref="Q1933">IF(K1933="",INDEX($K$2:$K$2501,MATCH(MAX(COUNTIF($K$2:$K$2501,$K$2:$K$2501)),COUNTIF($K$2:$K$2501,$K$2:$K$2501),0)),K1933)</f>
        <v>B2B</v>
      </c>
    </row>
    <row r="1934" spans="1:17" x14ac:dyDescent="0.3">
      <c r="A1934">
        <v>2932</v>
      </c>
      <c r="B1934" t="s">
        <v>1962</v>
      </c>
      <c r="C1934" t="s">
        <v>25</v>
      </c>
      <c r="D1934" t="s">
        <v>54</v>
      </c>
      <c r="E1934">
        <v>2</v>
      </c>
      <c r="H1934" s="3">
        <f t="shared" si="150"/>
        <v>5060.7673076923093</v>
      </c>
      <c r="I1934" s="1">
        <v>45571</v>
      </c>
      <c r="J1934" t="s">
        <v>56</v>
      </c>
      <c r="K1934" t="s">
        <v>23</v>
      </c>
      <c r="L1934" s="2">
        <f t="shared" si="151"/>
        <v>2530.3836538461546</v>
      </c>
      <c r="M1934" s="4">
        <f t="shared" si="152"/>
        <v>0.6</v>
      </c>
      <c r="N1934" s="1">
        <f t="shared" si="153"/>
        <v>45571</v>
      </c>
      <c r="O1934" s="3">
        <f>(Table13[[#This Row],[Units_Sold]]*Table13[[#This Row],[Unit_Price_Cleaned]]*(1-Table13[[#This Row],[Discount Cleaned]]))</f>
        <v>2024.3069230769238</v>
      </c>
      <c r="P1934" t="str">
        <f t="shared" si="154"/>
        <v>Profit</v>
      </c>
      <c r="Q1934" t="str" cm="1">
        <f t="array" ref="Q1934">IF(K1934="",INDEX($K$2:$K$2501,MATCH(MAX(COUNTIF($K$2:$K$2501,$K$2:$K$2501)),COUNTIF($K$2:$K$2501,$K$2:$K$2501),0)),K1934)</f>
        <v>B2B</v>
      </c>
    </row>
    <row r="1935" spans="1:17" x14ac:dyDescent="0.3">
      <c r="A1935">
        <v>2933</v>
      </c>
      <c r="B1935" t="s">
        <v>1963</v>
      </c>
      <c r="C1935" t="s">
        <v>13</v>
      </c>
      <c r="D1935" t="s">
        <v>49</v>
      </c>
      <c r="E1935">
        <v>2</v>
      </c>
      <c r="F1935">
        <v>2891</v>
      </c>
      <c r="H1935" s="3">
        <f t="shared" si="150"/>
        <v>5782</v>
      </c>
      <c r="I1935" s="1">
        <v>45760</v>
      </c>
      <c r="J1935" t="s">
        <v>15</v>
      </c>
      <c r="K1935" t="s">
        <v>16</v>
      </c>
      <c r="L1935" s="2">
        <f t="shared" si="151"/>
        <v>2891</v>
      </c>
      <c r="M1935" s="4">
        <f t="shared" si="152"/>
        <v>0.6</v>
      </c>
      <c r="N1935" s="1">
        <f t="shared" si="153"/>
        <v>45760</v>
      </c>
      <c r="O1935" s="3">
        <f>(Table13[[#This Row],[Units_Sold]]*Table13[[#This Row],[Unit_Price_Cleaned]]*(1-Table13[[#This Row],[Discount Cleaned]]))</f>
        <v>2312.8000000000002</v>
      </c>
      <c r="P1935" t="str">
        <f t="shared" si="154"/>
        <v>Profit</v>
      </c>
      <c r="Q1935" t="str" cm="1">
        <f t="array" ref="Q1935">IF(K1935="",INDEX($K$2:$K$2501,MATCH(MAX(COUNTIF($K$2:$K$2501,$K$2:$K$2501)),COUNTIF($K$2:$K$2501,$K$2:$K$2501),0)),K1935)</f>
        <v>B2C</v>
      </c>
    </row>
    <row r="1936" spans="1:17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 s="3">
        <f t="shared" si="150"/>
        <v>14226.20983606558</v>
      </c>
      <c r="I1936" s="1">
        <v>45656</v>
      </c>
      <c r="J1936" t="s">
        <v>18</v>
      </c>
      <c r="L1936" s="2">
        <f t="shared" si="151"/>
        <v>2845.2419672131159</v>
      </c>
      <c r="M1936" s="4">
        <f t="shared" si="152"/>
        <v>0.6</v>
      </c>
      <c r="N1936" s="1">
        <f t="shared" si="153"/>
        <v>45656</v>
      </c>
      <c r="O1936" s="3">
        <f>(Table13[[#This Row],[Units_Sold]]*Table13[[#This Row],[Unit_Price_Cleaned]]*(1-Table13[[#This Row],[Discount Cleaned]]))</f>
        <v>5690.4839344262327</v>
      </c>
      <c r="P1936" t="str">
        <f t="shared" si="154"/>
        <v>Profit</v>
      </c>
      <c r="Q1936" t="str" cm="1">
        <f t="array" ref="Q1936">IF(K1936="",INDEX($K$2:$K$2501,MATCH(MAX(COUNTIF($K$2:$K$2501,$K$2:$K$2501)),COUNTIF($K$2:$K$2501,$K$2:$K$2501),0)),K1936)</f>
        <v>B2B</v>
      </c>
    </row>
    <row r="1937" spans="1:17" x14ac:dyDescent="0.3">
      <c r="A1937">
        <v>2935</v>
      </c>
      <c r="B1937" t="s">
        <v>1965</v>
      </c>
      <c r="C1937" t="s">
        <v>25</v>
      </c>
      <c r="D1937" t="s">
        <v>26</v>
      </c>
      <c r="E1937">
        <v>2</v>
      </c>
      <c r="F1937">
        <v>3681.08</v>
      </c>
      <c r="H1937" s="3">
        <f t="shared" si="150"/>
        <v>7362.16</v>
      </c>
      <c r="J1937" t="s">
        <v>56</v>
      </c>
      <c r="K1937" t="s">
        <v>23</v>
      </c>
      <c r="L1937" s="2">
        <f t="shared" si="151"/>
        <v>3681.08</v>
      </c>
      <c r="M1937" s="4">
        <f t="shared" si="152"/>
        <v>0.6</v>
      </c>
      <c r="N1937" s="1">
        <f t="shared" si="153"/>
        <v>45782</v>
      </c>
      <c r="O1937" s="3">
        <f>(Table13[[#This Row],[Units_Sold]]*Table13[[#This Row],[Unit_Price_Cleaned]]*(1-Table13[[#This Row],[Discount Cleaned]]))</f>
        <v>2944.864</v>
      </c>
      <c r="P1937" t="str">
        <f t="shared" si="154"/>
        <v>Profit</v>
      </c>
      <c r="Q1937" t="str" cm="1">
        <f t="array" ref="Q1937">IF(K1937="",INDEX($K$2:$K$2501,MATCH(MAX(COUNTIF($K$2:$K$2501,$K$2:$K$2501)),COUNTIF($K$2:$K$2501,$K$2:$K$2501),0)),K1937)</f>
        <v>B2B</v>
      </c>
    </row>
    <row r="1938" spans="1:17" x14ac:dyDescent="0.3">
      <c r="A1938">
        <v>2936</v>
      </c>
      <c r="B1938" t="s">
        <v>1966</v>
      </c>
      <c r="C1938" t="s">
        <v>25</v>
      </c>
      <c r="D1938" t="s">
        <v>26</v>
      </c>
      <c r="E1938">
        <v>2</v>
      </c>
      <c r="F1938">
        <v>4487.5</v>
      </c>
      <c r="H1938" s="3">
        <f t="shared" si="150"/>
        <v>8975</v>
      </c>
      <c r="I1938" s="1">
        <v>45831</v>
      </c>
      <c r="J1938" t="s">
        <v>46</v>
      </c>
      <c r="K1938" t="s">
        <v>23</v>
      </c>
      <c r="L1938" s="2">
        <f t="shared" si="151"/>
        <v>4487.5</v>
      </c>
      <c r="M1938" s="4">
        <f t="shared" si="152"/>
        <v>0.6</v>
      </c>
      <c r="N1938" s="1">
        <f t="shared" si="153"/>
        <v>45831</v>
      </c>
      <c r="O1938" s="3">
        <f>(Table13[[#This Row],[Units_Sold]]*Table13[[#This Row],[Unit_Price_Cleaned]]*(1-Table13[[#This Row],[Discount Cleaned]]))</f>
        <v>3590</v>
      </c>
      <c r="P1938" t="str">
        <f t="shared" si="154"/>
        <v>Profit</v>
      </c>
      <c r="Q1938" t="str" cm="1">
        <f t="array" ref="Q1938">IF(K1938="",INDEX($K$2:$K$2501,MATCH(MAX(COUNTIF($K$2:$K$2501,$K$2:$K$2501)),COUNTIF($K$2:$K$2501,$K$2:$K$2501),0)),K1938)</f>
        <v>B2B</v>
      </c>
    </row>
    <row r="1939" spans="1:17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 s="3">
        <f t="shared" si="150"/>
        <v>-5119.3334615384629</v>
      </c>
      <c r="I1939" s="1">
        <v>45625</v>
      </c>
      <c r="J1939" t="s">
        <v>22</v>
      </c>
      <c r="L1939" s="2">
        <f t="shared" si="151"/>
        <v>2559.6667307692314</v>
      </c>
      <c r="M1939" s="4">
        <f t="shared" si="152"/>
        <v>0.6</v>
      </c>
      <c r="N1939" s="1">
        <f t="shared" si="153"/>
        <v>45625</v>
      </c>
      <c r="O1939" s="3">
        <f>(Table13[[#This Row],[Units_Sold]]*Table13[[#This Row],[Unit_Price_Cleaned]]*(1-Table13[[#This Row],[Discount Cleaned]]))</f>
        <v>-2047.7333846153851</v>
      </c>
      <c r="P1939" t="str">
        <f t="shared" si="154"/>
        <v>Loss</v>
      </c>
      <c r="Q1939" t="str" cm="1">
        <f t="array" ref="Q1939">IF(K1939="",INDEX($K$2:$K$2501,MATCH(MAX(COUNTIF($K$2:$K$2501,$K$2:$K$2501)),COUNTIF($K$2:$K$2501,$K$2:$K$2501),0)),K1939)</f>
        <v>B2B</v>
      </c>
    </row>
    <row r="1940" spans="1:17" x14ac:dyDescent="0.3">
      <c r="A1940">
        <v>2938</v>
      </c>
      <c r="B1940" t="s">
        <v>633</v>
      </c>
      <c r="C1940" t="s">
        <v>25</v>
      </c>
      <c r="D1940" t="s">
        <v>86</v>
      </c>
      <c r="E1940">
        <v>2</v>
      </c>
      <c r="F1940">
        <v>2429.63</v>
      </c>
      <c r="H1940" s="3">
        <f t="shared" si="150"/>
        <v>4859.26</v>
      </c>
      <c r="J1940" t="s">
        <v>18</v>
      </c>
      <c r="K1940" t="s">
        <v>23</v>
      </c>
      <c r="L1940" s="2">
        <f t="shared" si="151"/>
        <v>2429.63</v>
      </c>
      <c r="M1940" s="4">
        <f t="shared" si="152"/>
        <v>0.6</v>
      </c>
      <c r="N1940" s="1">
        <f t="shared" si="153"/>
        <v>45782</v>
      </c>
      <c r="O1940" s="3">
        <f>(Table13[[#This Row],[Units_Sold]]*Table13[[#This Row],[Unit_Price_Cleaned]]*(1-Table13[[#This Row],[Discount Cleaned]]))</f>
        <v>1943.7040000000002</v>
      </c>
      <c r="P1940" t="str">
        <f t="shared" si="154"/>
        <v>Profit</v>
      </c>
      <c r="Q1940" t="str" cm="1">
        <f t="array" ref="Q1940">IF(K1940="",INDEX($K$2:$K$2501,MATCH(MAX(COUNTIF($K$2:$K$2501,$K$2:$K$2501)),COUNTIF($K$2:$K$2501,$K$2:$K$2501),0)),K1940)</f>
        <v>B2B</v>
      </c>
    </row>
    <row r="1941" spans="1:17" x14ac:dyDescent="0.3">
      <c r="A1941">
        <v>2939</v>
      </c>
      <c r="B1941" t="s">
        <v>1968</v>
      </c>
      <c r="C1941" t="s">
        <v>25</v>
      </c>
      <c r="D1941" t="s">
        <v>54</v>
      </c>
      <c r="E1941">
        <v>2</v>
      </c>
      <c r="H1941" s="3">
        <f t="shared" si="150"/>
        <v>5060.7673076923093</v>
      </c>
      <c r="I1941" s="1">
        <v>45680</v>
      </c>
      <c r="J1941" t="s">
        <v>40</v>
      </c>
      <c r="L1941" s="2">
        <f t="shared" si="151"/>
        <v>2530.3836538461546</v>
      </c>
      <c r="M1941" s="4">
        <f t="shared" si="152"/>
        <v>0.6</v>
      </c>
      <c r="N1941" s="1">
        <f t="shared" si="153"/>
        <v>45680</v>
      </c>
      <c r="O1941" s="3">
        <f>(Table13[[#This Row],[Units_Sold]]*Table13[[#This Row],[Unit_Price_Cleaned]]*(1-Table13[[#This Row],[Discount Cleaned]]))</f>
        <v>2024.3069230769238</v>
      </c>
      <c r="P1941" t="str">
        <f t="shared" si="154"/>
        <v>Profit</v>
      </c>
      <c r="Q1941" t="str" cm="1">
        <f t="array" ref="Q1941">IF(K1941="",INDEX($K$2:$K$2501,MATCH(MAX(COUNTIF($K$2:$K$2501,$K$2:$K$2501)),COUNTIF($K$2:$K$2501,$K$2:$K$2501),0)),K1941)</f>
        <v>B2B</v>
      </c>
    </row>
    <row r="1942" spans="1:17" x14ac:dyDescent="0.3">
      <c r="A1942">
        <v>2940</v>
      </c>
      <c r="B1942" t="s">
        <v>1969</v>
      </c>
      <c r="C1942" t="s">
        <v>25</v>
      </c>
      <c r="D1942" t="s">
        <v>66</v>
      </c>
      <c r="E1942">
        <v>2</v>
      </c>
      <c r="H1942" s="3">
        <f t="shared" si="150"/>
        <v>5145.5528000000013</v>
      </c>
      <c r="I1942" s="1">
        <v>45697</v>
      </c>
      <c r="J1942" t="s">
        <v>56</v>
      </c>
      <c r="K1942" t="s">
        <v>16</v>
      </c>
      <c r="L1942" s="2">
        <f t="shared" si="151"/>
        <v>2572.7764000000006</v>
      </c>
      <c r="M1942" s="4">
        <f t="shared" si="152"/>
        <v>0.6</v>
      </c>
      <c r="N1942" s="1">
        <f t="shared" si="153"/>
        <v>45697</v>
      </c>
      <c r="O1942" s="3">
        <f>(Table13[[#This Row],[Units_Sold]]*Table13[[#This Row],[Unit_Price_Cleaned]]*(1-Table13[[#This Row],[Discount Cleaned]]))</f>
        <v>2058.2211200000006</v>
      </c>
      <c r="P1942" t="str">
        <f t="shared" si="154"/>
        <v>Profit</v>
      </c>
      <c r="Q1942" t="str" cm="1">
        <f t="array" ref="Q1942">IF(K1942="",INDEX($K$2:$K$2501,MATCH(MAX(COUNTIF($K$2:$K$2501,$K$2:$K$2501)),COUNTIF($K$2:$K$2501,$K$2:$K$2501),0)),K1942)</f>
        <v>B2C</v>
      </c>
    </row>
    <row r="1943" spans="1:17" x14ac:dyDescent="0.3">
      <c r="A1943">
        <v>2941</v>
      </c>
      <c r="B1943" t="s">
        <v>1970</v>
      </c>
      <c r="C1943" t="s">
        <v>20</v>
      </c>
      <c r="D1943" t="s">
        <v>21</v>
      </c>
      <c r="E1943">
        <v>2</v>
      </c>
      <c r="F1943">
        <v>2144.36</v>
      </c>
      <c r="H1943" s="3">
        <f t="shared" si="150"/>
        <v>4288.72</v>
      </c>
      <c r="I1943" s="1">
        <v>45497</v>
      </c>
      <c r="J1943" t="s">
        <v>46</v>
      </c>
      <c r="K1943" t="s">
        <v>16</v>
      </c>
      <c r="L1943" s="2">
        <f t="shared" si="151"/>
        <v>2144.36</v>
      </c>
      <c r="M1943" s="4">
        <f t="shared" si="152"/>
        <v>0.6</v>
      </c>
      <c r="N1943" s="1">
        <f t="shared" si="153"/>
        <v>45497</v>
      </c>
      <c r="O1943" s="3">
        <f>(Table13[[#This Row],[Units_Sold]]*Table13[[#This Row],[Unit_Price_Cleaned]]*(1-Table13[[#This Row],[Discount Cleaned]]))</f>
        <v>1715.4880000000003</v>
      </c>
      <c r="P1943" t="str">
        <f t="shared" si="154"/>
        <v>Profit</v>
      </c>
      <c r="Q1943" t="str" cm="1">
        <f t="array" ref="Q1943">IF(K1943="",INDEX($K$2:$K$2501,MATCH(MAX(COUNTIF($K$2:$K$2501,$K$2:$K$2501)),COUNTIF($K$2:$K$2501,$K$2:$K$2501),0)),K1943)</f>
        <v>B2C</v>
      </c>
    </row>
    <row r="1944" spans="1:17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 s="3">
        <f t="shared" si="150"/>
        <v>5119.3334615384629</v>
      </c>
      <c r="J1944" t="s">
        <v>46</v>
      </c>
      <c r="L1944" s="2">
        <f t="shared" si="151"/>
        <v>2559.6667307692314</v>
      </c>
      <c r="M1944" s="4">
        <f t="shared" si="152"/>
        <v>0.56000000000000005</v>
      </c>
      <c r="N1944" s="1">
        <f t="shared" si="153"/>
        <v>45782</v>
      </c>
      <c r="O1944" s="3">
        <f>(Table13[[#This Row],[Units_Sold]]*Table13[[#This Row],[Unit_Price_Cleaned]]*(1-Table13[[#This Row],[Discount Cleaned]]))</f>
        <v>2252.5067230769232</v>
      </c>
      <c r="P1944" t="str">
        <f t="shared" si="154"/>
        <v>Profit</v>
      </c>
      <c r="Q1944" t="str" cm="1">
        <f t="array" ref="Q1944">IF(K1944="",INDEX($K$2:$K$2501,MATCH(MAX(COUNTIF($K$2:$K$2501,$K$2:$K$2501)),COUNTIF($K$2:$K$2501,$K$2:$K$2501),0)),K1944)</f>
        <v>B2B</v>
      </c>
    </row>
    <row r="1945" spans="1:17" x14ac:dyDescent="0.3">
      <c r="A1945">
        <v>2943</v>
      </c>
      <c r="B1945" t="s">
        <v>1972</v>
      </c>
      <c r="C1945" t="s">
        <v>13</v>
      </c>
      <c r="D1945" t="s">
        <v>36</v>
      </c>
      <c r="E1945">
        <v>2</v>
      </c>
      <c r="F1945">
        <v>4638.0200000000004</v>
      </c>
      <c r="H1945" s="3">
        <f t="shared" si="150"/>
        <v>9276.0400000000009</v>
      </c>
      <c r="I1945" s="1">
        <v>45723</v>
      </c>
      <c r="J1945" t="s">
        <v>46</v>
      </c>
      <c r="L1945" s="2">
        <f t="shared" si="151"/>
        <v>4638.0200000000004</v>
      </c>
      <c r="M1945" s="4">
        <f t="shared" si="152"/>
        <v>0.6</v>
      </c>
      <c r="N1945" s="1">
        <f t="shared" si="153"/>
        <v>45723</v>
      </c>
      <c r="O1945" s="3">
        <f>(Table13[[#This Row],[Units_Sold]]*Table13[[#This Row],[Unit_Price_Cleaned]]*(1-Table13[[#This Row],[Discount Cleaned]]))</f>
        <v>3710.4160000000006</v>
      </c>
      <c r="P1945" t="str">
        <f t="shared" si="154"/>
        <v>Profit</v>
      </c>
      <c r="Q1945" t="str" cm="1">
        <f t="array" ref="Q1945">IF(K1945="",INDEX($K$2:$K$2501,MATCH(MAX(COUNTIF($K$2:$K$2501,$K$2:$K$2501)),COUNTIF($K$2:$K$2501,$K$2:$K$2501),0)),K1945)</f>
        <v>B2B</v>
      </c>
    </row>
    <row r="1946" spans="1:17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 s="3">
        <f t="shared" si="150"/>
        <v>1313.35</v>
      </c>
      <c r="I1946" s="1">
        <v>45722</v>
      </c>
      <c r="J1946" t="s">
        <v>56</v>
      </c>
      <c r="K1946" t="s">
        <v>16</v>
      </c>
      <c r="L1946" s="2">
        <f t="shared" si="151"/>
        <v>1313.35</v>
      </c>
      <c r="M1946" s="4">
        <f t="shared" si="152"/>
        <v>0.2</v>
      </c>
      <c r="N1946" s="1">
        <f t="shared" si="153"/>
        <v>45722</v>
      </c>
      <c r="O1946" s="3">
        <f>(Table13[[#This Row],[Units_Sold]]*Table13[[#This Row],[Unit_Price_Cleaned]]*(1-Table13[[#This Row],[Discount Cleaned]]))</f>
        <v>1050.68</v>
      </c>
      <c r="P1946" t="str">
        <f t="shared" si="154"/>
        <v>Profit</v>
      </c>
      <c r="Q1946" t="str" cm="1">
        <f t="array" ref="Q1946">IF(K1946="",INDEX($K$2:$K$2501,MATCH(MAX(COUNTIF($K$2:$K$2501,$K$2:$K$2501)),COUNTIF($K$2:$K$2501,$K$2:$K$2501),0)),K1946)</f>
        <v>B2C</v>
      </c>
    </row>
    <row r="1947" spans="1:17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 s="3">
        <f t="shared" si="150"/>
        <v>2501.5309999999999</v>
      </c>
      <c r="I1947" s="1">
        <v>45592</v>
      </c>
      <c r="J1947" t="s">
        <v>22</v>
      </c>
      <c r="L1947" s="2">
        <f t="shared" si="151"/>
        <v>2501.5309999999999</v>
      </c>
      <c r="M1947" s="4">
        <f t="shared" si="152"/>
        <v>0.6</v>
      </c>
      <c r="N1947" s="1">
        <f t="shared" si="153"/>
        <v>45592</v>
      </c>
      <c r="O1947" s="3">
        <f>(Table13[[#This Row],[Units_Sold]]*Table13[[#This Row],[Unit_Price_Cleaned]]*(1-Table13[[#This Row],[Discount Cleaned]]))</f>
        <v>1000.6124</v>
      </c>
      <c r="P1947" t="str">
        <f t="shared" si="154"/>
        <v>Profit</v>
      </c>
      <c r="Q1947" t="str" cm="1">
        <f t="array" ref="Q1947">IF(K1947="",INDEX($K$2:$K$2501,MATCH(MAX(COUNTIF($K$2:$K$2501,$K$2:$K$2501)),COUNTIF($K$2:$K$2501,$K$2:$K$2501),0)),K1947)</f>
        <v>B2B</v>
      </c>
    </row>
    <row r="1948" spans="1:17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 s="3">
        <f t="shared" si="150"/>
        <v>-2845.2419672131159</v>
      </c>
      <c r="I1948" s="1">
        <v>45253</v>
      </c>
      <c r="J1948" t="s">
        <v>22</v>
      </c>
      <c r="K1948" t="s">
        <v>23</v>
      </c>
      <c r="L1948" s="2">
        <f t="shared" si="151"/>
        <v>2845.2419672131159</v>
      </c>
      <c r="M1948" s="4">
        <f t="shared" si="152"/>
        <v>1.2</v>
      </c>
      <c r="N1948" s="1">
        <f t="shared" si="153"/>
        <v>45253</v>
      </c>
      <c r="O1948" s="3">
        <f>(Table13[[#This Row],[Units_Sold]]*Table13[[#This Row],[Unit_Price_Cleaned]]*(1-Table13[[#This Row],[Discount Cleaned]]))</f>
        <v>569.04839344262302</v>
      </c>
      <c r="P1948" t="str">
        <f t="shared" si="154"/>
        <v>Profit</v>
      </c>
      <c r="Q1948" t="str" cm="1">
        <f t="array" ref="Q1948">IF(K1948="",INDEX($K$2:$K$2501,MATCH(MAX(COUNTIF($K$2:$K$2501,$K$2:$K$2501)),COUNTIF($K$2:$K$2501,$K$2:$K$2501),0)),K1948)</f>
        <v>B2B</v>
      </c>
    </row>
    <row r="1949" spans="1:17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 s="3">
        <f t="shared" si="150"/>
        <v>5003.0619999999999</v>
      </c>
      <c r="I1949" s="1">
        <v>45699</v>
      </c>
      <c r="J1949" t="s">
        <v>22</v>
      </c>
      <c r="K1949" t="s">
        <v>16</v>
      </c>
      <c r="L1949" s="2">
        <f t="shared" si="151"/>
        <v>2501.5309999999999</v>
      </c>
      <c r="M1949" s="4">
        <f t="shared" si="152"/>
        <v>0.97</v>
      </c>
      <c r="N1949" s="1">
        <f t="shared" si="153"/>
        <v>45699</v>
      </c>
      <c r="O1949" s="3">
        <f>(Table13[[#This Row],[Units_Sold]]*Table13[[#This Row],[Unit_Price_Cleaned]]*(1-Table13[[#This Row],[Discount Cleaned]]))</f>
        <v>150.09186000000014</v>
      </c>
      <c r="P1949" t="str">
        <f t="shared" si="154"/>
        <v>Loss</v>
      </c>
      <c r="Q1949" t="str" cm="1">
        <f t="array" ref="Q1949">IF(K1949="",INDEX($K$2:$K$2501,MATCH(MAX(COUNTIF($K$2:$K$2501,$K$2:$K$2501)),COUNTIF($K$2:$K$2501,$K$2:$K$2501),0)),K1949)</f>
        <v>B2C</v>
      </c>
    </row>
    <row r="1950" spans="1:17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 s="3">
        <f t="shared" si="150"/>
        <v>12470.75</v>
      </c>
      <c r="I1950" s="1">
        <v>45695</v>
      </c>
      <c r="J1950" t="s">
        <v>15</v>
      </c>
      <c r="K1950" t="s">
        <v>23</v>
      </c>
      <c r="L1950" s="2">
        <f t="shared" si="151"/>
        <v>2494.15</v>
      </c>
      <c r="M1950" s="4">
        <f t="shared" si="152"/>
        <v>0.6</v>
      </c>
      <c r="N1950" s="1">
        <f t="shared" si="153"/>
        <v>45695</v>
      </c>
      <c r="O1950" s="3">
        <f>(Table13[[#This Row],[Units_Sold]]*Table13[[#This Row],[Unit_Price_Cleaned]]*(1-Table13[[#This Row],[Discount Cleaned]]))</f>
        <v>4988.3</v>
      </c>
      <c r="P1950" t="str">
        <f t="shared" si="154"/>
        <v>Profit</v>
      </c>
      <c r="Q1950" t="str" cm="1">
        <f t="array" ref="Q1950">IF(K1950="",INDEX($K$2:$K$2501,MATCH(MAX(COUNTIF($K$2:$K$2501,$K$2:$K$2501)),COUNTIF($K$2:$K$2501,$K$2:$K$2501),0)),K1950)</f>
        <v>B2B</v>
      </c>
    </row>
    <row r="1951" spans="1:17" x14ac:dyDescent="0.3">
      <c r="A1951">
        <v>2949</v>
      </c>
      <c r="B1951" t="s">
        <v>1977</v>
      </c>
      <c r="C1951" t="s">
        <v>13</v>
      </c>
      <c r="D1951" t="s">
        <v>36</v>
      </c>
      <c r="E1951">
        <v>2</v>
      </c>
      <c r="G1951">
        <v>0.1</v>
      </c>
      <c r="H1951" s="3">
        <f t="shared" si="150"/>
        <v>5765.0093103448271</v>
      </c>
      <c r="J1951" t="s">
        <v>46</v>
      </c>
      <c r="L1951" s="2">
        <f t="shared" si="151"/>
        <v>2882.5046551724135</v>
      </c>
      <c r="M1951" s="4">
        <f t="shared" si="152"/>
        <v>0.1</v>
      </c>
      <c r="N1951" s="1">
        <f t="shared" si="153"/>
        <v>45782</v>
      </c>
      <c r="O1951" s="3">
        <f>(Table13[[#This Row],[Units_Sold]]*Table13[[#This Row],[Unit_Price_Cleaned]]*(1-Table13[[#This Row],[Discount Cleaned]]))</f>
        <v>5188.5083793103449</v>
      </c>
      <c r="P1951" t="str">
        <f t="shared" si="154"/>
        <v>Profit</v>
      </c>
      <c r="Q1951" t="str" cm="1">
        <f t="array" ref="Q1951">IF(K1951="",INDEX($K$2:$K$2501,MATCH(MAX(COUNTIF($K$2:$K$2501,$K$2:$K$2501)),COUNTIF($K$2:$K$2501,$K$2:$K$2501),0)),K1951)</f>
        <v>B2B</v>
      </c>
    </row>
    <row r="1952" spans="1:17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 s="3">
        <f t="shared" si="150"/>
        <v>5235.2780769230776</v>
      </c>
      <c r="I1952" s="1">
        <v>45652</v>
      </c>
      <c r="J1952" t="s">
        <v>40</v>
      </c>
      <c r="L1952" s="2">
        <f t="shared" si="151"/>
        <v>2617.6390384615388</v>
      </c>
      <c r="M1952" s="4">
        <f t="shared" si="152"/>
        <v>0.27</v>
      </c>
      <c r="N1952" s="1">
        <f t="shared" si="153"/>
        <v>45652</v>
      </c>
      <c r="O1952" s="3">
        <f>(Table13[[#This Row],[Units_Sold]]*Table13[[#This Row],[Unit_Price_Cleaned]]*(1-Table13[[#This Row],[Discount Cleaned]]))</f>
        <v>3821.7529961538467</v>
      </c>
      <c r="P1952" t="str">
        <f t="shared" si="154"/>
        <v>Profit</v>
      </c>
      <c r="Q1952" t="str" cm="1">
        <f t="array" ref="Q1952">IF(K1952="",INDEX($K$2:$K$2501,MATCH(MAX(COUNTIF($K$2:$K$2501,$K$2:$K$2501)),COUNTIF($K$2:$K$2501,$K$2:$K$2501),0)),K1952)</f>
        <v>B2B</v>
      </c>
    </row>
    <row r="1953" spans="1:17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 s="3">
        <f t="shared" si="150"/>
        <v>14226.20983606558</v>
      </c>
      <c r="J1953" t="s">
        <v>15</v>
      </c>
      <c r="K1953" t="s">
        <v>16</v>
      </c>
      <c r="L1953" s="2">
        <f t="shared" si="151"/>
        <v>2845.2419672131159</v>
      </c>
      <c r="M1953" s="4">
        <f t="shared" si="152"/>
        <v>0.6</v>
      </c>
      <c r="N1953" s="1">
        <f t="shared" si="153"/>
        <v>45782</v>
      </c>
      <c r="O1953" s="3">
        <f>(Table13[[#This Row],[Units_Sold]]*Table13[[#This Row],[Unit_Price_Cleaned]]*(1-Table13[[#This Row],[Discount Cleaned]]))</f>
        <v>5690.4839344262327</v>
      </c>
      <c r="P1953" t="str">
        <f t="shared" si="154"/>
        <v>Profit</v>
      </c>
      <c r="Q1953" t="str" cm="1">
        <f t="array" ref="Q1953">IF(K1953="",INDEX($K$2:$K$2501,MATCH(MAX(COUNTIF($K$2:$K$2501,$K$2:$K$2501)),COUNTIF($K$2:$K$2501,$K$2:$K$2501),0)),K1953)</f>
        <v>B2C</v>
      </c>
    </row>
    <row r="1954" spans="1:17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 s="3">
        <f t="shared" si="150"/>
        <v>-941.36</v>
      </c>
      <c r="I1954" s="1">
        <v>45615</v>
      </c>
      <c r="J1954" t="s">
        <v>18</v>
      </c>
      <c r="K1954" t="s">
        <v>23</v>
      </c>
      <c r="L1954" s="2">
        <f t="shared" si="151"/>
        <v>470.68</v>
      </c>
      <c r="M1954" s="4">
        <f t="shared" si="152"/>
        <v>0.06</v>
      </c>
      <c r="N1954" s="1">
        <f t="shared" si="153"/>
        <v>45615</v>
      </c>
      <c r="O1954" s="3">
        <f>(Table13[[#This Row],[Units_Sold]]*Table13[[#This Row],[Unit_Price_Cleaned]]*(1-Table13[[#This Row],[Discount Cleaned]]))</f>
        <v>-884.87839999999994</v>
      </c>
      <c r="P1954" t="str">
        <f t="shared" si="154"/>
        <v>Loss</v>
      </c>
      <c r="Q1954" t="str" cm="1">
        <f t="array" ref="Q1954">IF(K1954="",INDEX($K$2:$K$2501,MATCH(MAX(COUNTIF($K$2:$K$2501,$K$2:$K$2501)),COUNTIF($K$2:$K$2501,$K$2:$K$2501),0)),K1954)</f>
        <v>B2B</v>
      </c>
    </row>
    <row r="1955" spans="1:17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 s="3">
        <f t="shared" si="150"/>
        <v>10502.94</v>
      </c>
      <c r="J1955" t="s">
        <v>22</v>
      </c>
      <c r="L1955" s="2">
        <f t="shared" si="151"/>
        <v>3500.98</v>
      </c>
      <c r="M1955" s="4">
        <f t="shared" si="152"/>
        <v>0.6</v>
      </c>
      <c r="N1955" s="1">
        <f t="shared" si="153"/>
        <v>45782</v>
      </c>
      <c r="O1955" s="3">
        <f>(Table13[[#This Row],[Units_Sold]]*Table13[[#This Row],[Unit_Price_Cleaned]]*(1-Table13[[#This Row],[Discount Cleaned]]))</f>
        <v>4201.1760000000004</v>
      </c>
      <c r="P1955" t="str">
        <f t="shared" si="154"/>
        <v>Profit</v>
      </c>
      <c r="Q1955" t="str" cm="1">
        <f t="array" ref="Q1955">IF(K1955="",INDEX($K$2:$K$2501,MATCH(MAX(COUNTIF($K$2:$K$2501,$K$2:$K$2501)),COUNTIF($K$2:$K$2501,$K$2:$K$2501),0)),K1955)</f>
        <v>B2B</v>
      </c>
    </row>
    <row r="1956" spans="1:17" x14ac:dyDescent="0.3">
      <c r="A1956">
        <v>2954</v>
      </c>
      <c r="B1956" t="s">
        <v>1982</v>
      </c>
      <c r="C1956" t="s">
        <v>38</v>
      </c>
      <c r="D1956" t="s">
        <v>59</v>
      </c>
      <c r="E1956">
        <v>2</v>
      </c>
      <c r="H1956" s="3">
        <f t="shared" si="150"/>
        <v>5608.5303846153838</v>
      </c>
      <c r="I1956" s="1">
        <v>45518</v>
      </c>
      <c r="J1956" t="s">
        <v>56</v>
      </c>
      <c r="K1956" t="s">
        <v>23</v>
      </c>
      <c r="L1956" s="2">
        <f t="shared" si="151"/>
        <v>2804.2651923076919</v>
      </c>
      <c r="M1956" s="4">
        <f t="shared" si="152"/>
        <v>0.6</v>
      </c>
      <c r="N1956" s="1">
        <f t="shared" si="153"/>
        <v>45518</v>
      </c>
      <c r="O1956" s="3">
        <f>(Table13[[#This Row],[Units_Sold]]*Table13[[#This Row],[Unit_Price_Cleaned]]*(1-Table13[[#This Row],[Discount Cleaned]]))</f>
        <v>2243.4121538461536</v>
      </c>
      <c r="P1956" t="str">
        <f t="shared" si="154"/>
        <v>Profit</v>
      </c>
      <c r="Q1956" t="str" cm="1">
        <f t="array" ref="Q1956">IF(K1956="",INDEX($K$2:$K$2501,MATCH(MAX(COUNTIF($K$2:$K$2501,$K$2:$K$2501)),COUNTIF($K$2:$K$2501,$K$2:$K$2501),0)),K1956)</f>
        <v>B2B</v>
      </c>
    </row>
    <row r="1957" spans="1:17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 s="3">
        <f t="shared" si="150"/>
        <v>17071.451803278695</v>
      </c>
      <c r="I1957" s="1">
        <v>45824</v>
      </c>
      <c r="J1957" t="s">
        <v>18</v>
      </c>
      <c r="K1957" t="s">
        <v>23</v>
      </c>
      <c r="L1957" s="2">
        <f t="shared" si="151"/>
        <v>2845.2419672131159</v>
      </c>
      <c r="M1957" s="4">
        <f t="shared" si="152"/>
        <v>1.28</v>
      </c>
      <c r="N1957" s="1">
        <f t="shared" si="153"/>
        <v>45824</v>
      </c>
      <c r="O1957" s="3">
        <f>(Table13[[#This Row],[Units_Sold]]*Table13[[#This Row],[Unit_Price_Cleaned]]*(1-Table13[[#This Row],[Discount Cleaned]]))</f>
        <v>-4780.0065049180348</v>
      </c>
      <c r="P1957" t="str">
        <f t="shared" si="154"/>
        <v>Loss</v>
      </c>
      <c r="Q1957" t="str" cm="1">
        <f t="array" ref="Q1957">IF(K1957="",INDEX($K$2:$K$2501,MATCH(MAX(COUNTIF($K$2:$K$2501,$K$2:$K$2501)),COUNTIF($K$2:$K$2501,$K$2:$K$2501),0)),K1957)</f>
        <v>B2B</v>
      </c>
    </row>
    <row r="1958" spans="1:17" x14ac:dyDescent="0.3">
      <c r="A1958">
        <v>2956</v>
      </c>
      <c r="B1958" t="s">
        <v>1984</v>
      </c>
      <c r="C1958" t="s">
        <v>20</v>
      </c>
      <c r="D1958" t="s">
        <v>21</v>
      </c>
      <c r="E1958">
        <v>2</v>
      </c>
      <c r="F1958">
        <v>2710.15</v>
      </c>
      <c r="H1958" s="3">
        <f t="shared" si="150"/>
        <v>5420.3</v>
      </c>
      <c r="I1958" s="1">
        <v>45647</v>
      </c>
      <c r="J1958" t="s">
        <v>15</v>
      </c>
      <c r="K1958" t="s">
        <v>16</v>
      </c>
      <c r="L1958" s="2">
        <f t="shared" si="151"/>
        <v>2710.15</v>
      </c>
      <c r="M1958" s="4">
        <f t="shared" si="152"/>
        <v>0.6</v>
      </c>
      <c r="N1958" s="1">
        <f t="shared" si="153"/>
        <v>45647</v>
      </c>
      <c r="O1958" s="3">
        <f>(Table13[[#This Row],[Units_Sold]]*Table13[[#This Row],[Unit_Price_Cleaned]]*(1-Table13[[#This Row],[Discount Cleaned]]))</f>
        <v>2168.1200000000003</v>
      </c>
      <c r="P1958" t="str">
        <f t="shared" si="154"/>
        <v>Profit</v>
      </c>
      <c r="Q1958" t="str" cm="1">
        <f t="array" ref="Q1958">IF(K1958="",INDEX($K$2:$K$2501,MATCH(MAX(COUNTIF($K$2:$K$2501,$K$2:$K$2501)),COUNTIF($K$2:$K$2501,$K$2:$K$2501),0)),K1958)</f>
        <v>B2C</v>
      </c>
    </row>
    <row r="1959" spans="1:17" x14ac:dyDescent="0.3">
      <c r="A1959">
        <v>2957</v>
      </c>
      <c r="B1959" t="s">
        <v>1985</v>
      </c>
      <c r="C1959" t="s">
        <v>29</v>
      </c>
      <c r="D1959" t="s">
        <v>30</v>
      </c>
      <c r="E1959">
        <v>2</v>
      </c>
      <c r="G1959">
        <v>0.68</v>
      </c>
      <c r="H1959" s="3">
        <f t="shared" si="150"/>
        <v>5235.2780769230776</v>
      </c>
      <c r="I1959" s="1">
        <v>45724</v>
      </c>
      <c r="J1959" t="s">
        <v>18</v>
      </c>
      <c r="K1959" t="s">
        <v>16</v>
      </c>
      <c r="L1959" s="2">
        <f t="shared" si="151"/>
        <v>2617.6390384615388</v>
      </c>
      <c r="M1959" s="4">
        <f t="shared" si="152"/>
        <v>0.68</v>
      </c>
      <c r="N1959" s="1">
        <f t="shared" si="153"/>
        <v>45724</v>
      </c>
      <c r="O1959" s="3">
        <f>(Table13[[#This Row],[Units_Sold]]*Table13[[#This Row],[Unit_Price_Cleaned]]*(1-Table13[[#This Row],[Discount Cleaned]]))</f>
        <v>1675.2889846153846</v>
      </c>
      <c r="P1959" t="str">
        <f t="shared" si="154"/>
        <v>Profit</v>
      </c>
      <c r="Q1959" t="str" cm="1">
        <f t="array" ref="Q1959">IF(K1959="",INDEX($K$2:$K$2501,MATCH(MAX(COUNTIF($K$2:$K$2501,$K$2:$K$2501)),COUNTIF($K$2:$K$2501,$K$2:$K$2501),0)),K1959)</f>
        <v>B2C</v>
      </c>
    </row>
    <row r="1960" spans="1:17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 s="3">
        <f t="shared" si="150"/>
        <v>-5431.091698113205</v>
      </c>
      <c r="I1960" s="1">
        <v>45393</v>
      </c>
      <c r="J1960" t="s">
        <v>46</v>
      </c>
      <c r="K1960" t="s">
        <v>16</v>
      </c>
      <c r="L1960" s="2">
        <f t="shared" si="151"/>
        <v>2715.5458490566025</v>
      </c>
      <c r="M1960" s="4">
        <f t="shared" si="152"/>
        <v>0.6</v>
      </c>
      <c r="N1960" s="1">
        <f t="shared" si="153"/>
        <v>45393</v>
      </c>
      <c r="O1960" s="3">
        <f>(Table13[[#This Row],[Units_Sold]]*Table13[[#This Row],[Unit_Price_Cleaned]]*(1-Table13[[#This Row],[Discount Cleaned]]))</f>
        <v>-2172.436679245282</v>
      </c>
      <c r="P1960" t="str">
        <f t="shared" si="154"/>
        <v>Loss</v>
      </c>
      <c r="Q1960" t="str" cm="1">
        <f t="array" ref="Q1960">IF(K1960="",INDEX($K$2:$K$2501,MATCH(MAX(COUNTIF($K$2:$K$2501,$K$2:$K$2501)),COUNTIF($K$2:$K$2501,$K$2:$K$2501),0)),K1960)</f>
        <v>B2C</v>
      </c>
    </row>
    <row r="1961" spans="1:17" x14ac:dyDescent="0.3">
      <c r="A1961">
        <v>2959</v>
      </c>
      <c r="B1961" t="s">
        <v>1987</v>
      </c>
      <c r="C1961" t="s">
        <v>25</v>
      </c>
      <c r="D1961" t="s">
        <v>26</v>
      </c>
      <c r="E1961">
        <v>2</v>
      </c>
      <c r="F1961">
        <v>4113.9799999999996</v>
      </c>
      <c r="H1961" s="3">
        <f t="shared" si="150"/>
        <v>8227.9599999999991</v>
      </c>
      <c r="I1961" s="1">
        <v>45720</v>
      </c>
      <c r="J1961" t="s">
        <v>22</v>
      </c>
      <c r="K1961" t="s">
        <v>16</v>
      </c>
      <c r="L1961" s="2">
        <f t="shared" si="151"/>
        <v>4113.9799999999996</v>
      </c>
      <c r="M1961" s="4">
        <f t="shared" si="152"/>
        <v>0.6</v>
      </c>
      <c r="N1961" s="1">
        <f t="shared" si="153"/>
        <v>45720</v>
      </c>
      <c r="O1961" s="3">
        <f>(Table13[[#This Row],[Units_Sold]]*Table13[[#This Row],[Unit_Price_Cleaned]]*(1-Table13[[#This Row],[Discount Cleaned]]))</f>
        <v>3291.1839999999997</v>
      </c>
      <c r="P1961" t="str">
        <f t="shared" si="154"/>
        <v>Profit</v>
      </c>
      <c r="Q1961" t="str" cm="1">
        <f t="array" ref="Q1961">IF(K1961="",INDEX($K$2:$K$2501,MATCH(MAX(COUNTIF($K$2:$K$2501,$K$2:$K$2501)),COUNTIF($K$2:$K$2501,$K$2:$K$2501),0)),K1961)</f>
        <v>B2C</v>
      </c>
    </row>
    <row r="1962" spans="1:17" x14ac:dyDescent="0.3">
      <c r="A1962">
        <v>2960</v>
      </c>
      <c r="B1962" t="s">
        <v>1988</v>
      </c>
      <c r="C1962" t="s">
        <v>29</v>
      </c>
      <c r="D1962" t="s">
        <v>30</v>
      </c>
      <c r="E1962">
        <v>2</v>
      </c>
      <c r="F1962">
        <v>1536.53</v>
      </c>
      <c r="G1962">
        <v>0.96</v>
      </c>
      <c r="H1962" s="3">
        <f t="shared" si="150"/>
        <v>3073.06</v>
      </c>
      <c r="I1962" s="1">
        <v>45804</v>
      </c>
      <c r="J1962" t="s">
        <v>40</v>
      </c>
      <c r="K1962" t="s">
        <v>23</v>
      </c>
      <c r="L1962" s="2">
        <f t="shared" si="151"/>
        <v>1536.53</v>
      </c>
      <c r="M1962" s="4">
        <f t="shared" si="152"/>
        <v>0.96</v>
      </c>
      <c r="N1962" s="1">
        <f t="shared" si="153"/>
        <v>45804</v>
      </c>
      <c r="O1962" s="3">
        <f>(Table13[[#This Row],[Units_Sold]]*Table13[[#This Row],[Unit_Price_Cleaned]]*(1-Table13[[#This Row],[Discount Cleaned]]))</f>
        <v>122.92240000000011</v>
      </c>
      <c r="P1962" t="str">
        <f t="shared" si="154"/>
        <v>Loss</v>
      </c>
      <c r="Q1962" t="str" cm="1">
        <f t="array" ref="Q1962">IF(K1962="",INDEX($K$2:$K$2501,MATCH(MAX(COUNTIF($K$2:$K$2501,$K$2:$K$2501)),COUNTIF($K$2:$K$2501,$K$2:$K$2501),0)),K1962)</f>
        <v>B2B</v>
      </c>
    </row>
    <row r="1963" spans="1:17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 s="3">
        <f t="shared" si="150"/>
        <v>5431.091698113205</v>
      </c>
      <c r="I1963" s="1">
        <v>45719</v>
      </c>
      <c r="J1963" t="s">
        <v>46</v>
      </c>
      <c r="K1963" t="s">
        <v>16</v>
      </c>
      <c r="L1963" s="2">
        <f t="shared" si="151"/>
        <v>2715.5458490566025</v>
      </c>
      <c r="M1963" s="4">
        <f t="shared" si="152"/>
        <v>0.04</v>
      </c>
      <c r="N1963" s="1">
        <f t="shared" si="153"/>
        <v>45719</v>
      </c>
      <c r="O1963" s="3">
        <f>(Table13[[#This Row],[Units_Sold]]*Table13[[#This Row],[Unit_Price_Cleaned]]*(1-Table13[[#This Row],[Discount Cleaned]]))</f>
        <v>5213.8480301886766</v>
      </c>
      <c r="P1963" t="str">
        <f t="shared" si="154"/>
        <v>Profit</v>
      </c>
      <c r="Q1963" t="str" cm="1">
        <f t="array" ref="Q1963">IF(K1963="",INDEX($K$2:$K$2501,MATCH(MAX(COUNTIF($K$2:$K$2501,$K$2:$K$2501)),COUNTIF($K$2:$K$2501,$K$2:$K$2501),0)),K1963)</f>
        <v>B2C</v>
      </c>
    </row>
    <row r="1964" spans="1:17" x14ac:dyDescent="0.3">
      <c r="A1964">
        <v>2962</v>
      </c>
      <c r="B1964" t="s">
        <v>1990</v>
      </c>
      <c r="C1964" t="s">
        <v>29</v>
      </c>
      <c r="D1964" t="s">
        <v>30</v>
      </c>
      <c r="E1964">
        <v>2</v>
      </c>
      <c r="G1964">
        <v>0.87</v>
      </c>
      <c r="H1964" s="3">
        <f t="shared" si="150"/>
        <v>5235.2780769230776</v>
      </c>
      <c r="I1964" s="1">
        <v>45596</v>
      </c>
      <c r="J1964" t="s">
        <v>15</v>
      </c>
      <c r="K1964" t="s">
        <v>16</v>
      </c>
      <c r="L1964" s="2">
        <f t="shared" si="151"/>
        <v>2617.6390384615388</v>
      </c>
      <c r="M1964" s="4">
        <f t="shared" si="152"/>
        <v>0.87</v>
      </c>
      <c r="N1964" s="1">
        <f t="shared" si="153"/>
        <v>45596</v>
      </c>
      <c r="O1964" s="3">
        <f>(Table13[[#This Row],[Units_Sold]]*Table13[[#This Row],[Unit_Price_Cleaned]]*(1-Table13[[#This Row],[Discount Cleaned]]))</f>
        <v>680.58615000000009</v>
      </c>
      <c r="P1964" t="str">
        <f t="shared" si="154"/>
        <v>Profit</v>
      </c>
      <c r="Q1964" t="str" cm="1">
        <f t="array" ref="Q1964">IF(K1964="",INDEX($K$2:$K$2501,MATCH(MAX(COUNTIF($K$2:$K$2501,$K$2:$K$2501)),COUNTIF($K$2:$K$2501,$K$2:$K$2501),0)),K1964)</f>
        <v>B2C</v>
      </c>
    </row>
    <row r="1965" spans="1:17" x14ac:dyDescent="0.3">
      <c r="A1965">
        <v>2963</v>
      </c>
      <c r="B1965" t="s">
        <v>1991</v>
      </c>
      <c r="C1965" t="s">
        <v>13</v>
      </c>
      <c r="D1965" t="s">
        <v>14</v>
      </c>
      <c r="E1965">
        <v>2</v>
      </c>
      <c r="F1965">
        <v>570.21</v>
      </c>
      <c r="H1965" s="3">
        <f t="shared" si="150"/>
        <v>1140.42</v>
      </c>
      <c r="I1965" s="1">
        <v>45750</v>
      </c>
      <c r="J1965" t="s">
        <v>15</v>
      </c>
      <c r="K1965" t="s">
        <v>23</v>
      </c>
      <c r="L1965" s="2">
        <f t="shared" si="151"/>
        <v>570.21</v>
      </c>
      <c r="M1965" s="4">
        <f t="shared" si="152"/>
        <v>0.6</v>
      </c>
      <c r="N1965" s="1">
        <f t="shared" si="153"/>
        <v>45750</v>
      </c>
      <c r="O1965" s="3">
        <f>(Table13[[#This Row],[Units_Sold]]*Table13[[#This Row],[Unit_Price_Cleaned]]*(1-Table13[[#This Row],[Discount Cleaned]]))</f>
        <v>456.16800000000006</v>
      </c>
      <c r="P1965" t="str">
        <f t="shared" si="154"/>
        <v>Loss</v>
      </c>
      <c r="Q1965" t="str" cm="1">
        <f t="array" ref="Q1965">IF(K1965="",INDEX($K$2:$K$2501,MATCH(MAX(COUNTIF($K$2:$K$2501,$K$2:$K$2501)),COUNTIF($K$2:$K$2501,$K$2:$K$2501),0)),K1965)</f>
        <v>B2B</v>
      </c>
    </row>
    <row r="1966" spans="1:17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 s="3">
        <f t="shared" si="150"/>
        <v>-2501.5309999999999</v>
      </c>
      <c r="I1966" s="1">
        <v>45697</v>
      </c>
      <c r="J1966" t="s">
        <v>56</v>
      </c>
      <c r="K1966" t="s">
        <v>16</v>
      </c>
      <c r="L1966" s="2">
        <f t="shared" si="151"/>
        <v>2501.5309999999999</v>
      </c>
      <c r="M1966" s="4">
        <f t="shared" si="152"/>
        <v>0.96</v>
      </c>
      <c r="N1966" s="1">
        <f t="shared" si="153"/>
        <v>45697</v>
      </c>
      <c r="O1966" s="3">
        <f>(Table13[[#This Row],[Units_Sold]]*Table13[[#This Row],[Unit_Price_Cleaned]]*(1-Table13[[#This Row],[Discount Cleaned]]))</f>
        <v>-100.06124000000008</v>
      </c>
      <c r="P1966" t="str">
        <f t="shared" si="154"/>
        <v>Loss</v>
      </c>
      <c r="Q1966" t="str" cm="1">
        <f t="array" ref="Q1966">IF(K1966="",INDEX($K$2:$K$2501,MATCH(MAX(COUNTIF($K$2:$K$2501,$K$2:$K$2501)),COUNTIF($K$2:$K$2501,$K$2:$K$2501),0)),K1966)</f>
        <v>B2C</v>
      </c>
    </row>
    <row r="1967" spans="1:17" x14ac:dyDescent="0.3">
      <c r="A1967">
        <v>1038</v>
      </c>
      <c r="B1967" t="s">
        <v>1993</v>
      </c>
      <c r="C1967" t="s">
        <v>25</v>
      </c>
      <c r="D1967" t="s">
        <v>86</v>
      </c>
      <c r="E1967">
        <v>2</v>
      </c>
      <c r="H1967" s="3">
        <f t="shared" si="150"/>
        <v>5003.0619999999999</v>
      </c>
      <c r="I1967" s="1">
        <v>45260</v>
      </c>
      <c r="J1967" t="s">
        <v>46</v>
      </c>
      <c r="K1967" t="s">
        <v>16</v>
      </c>
      <c r="L1967" s="2">
        <f t="shared" si="151"/>
        <v>2501.5309999999999</v>
      </c>
      <c r="M1967" s="4">
        <f t="shared" si="152"/>
        <v>0.6</v>
      </c>
      <c r="N1967" s="1">
        <f t="shared" si="153"/>
        <v>45260</v>
      </c>
      <c r="O1967" s="3">
        <f>(Table13[[#This Row],[Units_Sold]]*Table13[[#This Row],[Unit_Price_Cleaned]]*(1-Table13[[#This Row],[Discount Cleaned]]))</f>
        <v>2001.2248</v>
      </c>
      <c r="P1967" t="str">
        <f t="shared" si="154"/>
        <v>Profit</v>
      </c>
      <c r="Q1967" t="str" cm="1">
        <f t="array" ref="Q1967">IF(K1967="",INDEX($K$2:$K$2501,MATCH(MAX(COUNTIF($K$2:$K$2501,$K$2:$K$2501)),COUNTIF($K$2:$K$2501,$K$2:$K$2501),0)),K1967)</f>
        <v>B2C</v>
      </c>
    </row>
    <row r="1968" spans="1:17" x14ac:dyDescent="0.3">
      <c r="A1968">
        <v>2966</v>
      </c>
      <c r="B1968" t="s">
        <v>1994</v>
      </c>
      <c r="C1968" t="s">
        <v>33</v>
      </c>
      <c r="D1968" t="s">
        <v>34</v>
      </c>
      <c r="E1968">
        <v>2</v>
      </c>
      <c r="F1968">
        <v>1650.01</v>
      </c>
      <c r="H1968" s="3">
        <f t="shared" si="150"/>
        <v>3300.02</v>
      </c>
      <c r="I1968" s="1">
        <v>45635</v>
      </c>
      <c r="J1968" t="s">
        <v>56</v>
      </c>
      <c r="K1968" t="s">
        <v>23</v>
      </c>
      <c r="L1968" s="2">
        <f t="shared" si="151"/>
        <v>1650.01</v>
      </c>
      <c r="M1968" s="4">
        <f t="shared" si="152"/>
        <v>0.6</v>
      </c>
      <c r="N1968" s="1">
        <f t="shared" si="153"/>
        <v>45635</v>
      </c>
      <c r="O1968" s="3">
        <f>(Table13[[#This Row],[Units_Sold]]*Table13[[#This Row],[Unit_Price_Cleaned]]*(1-Table13[[#This Row],[Discount Cleaned]]))</f>
        <v>1320.008</v>
      </c>
      <c r="P1968" t="str">
        <f t="shared" si="154"/>
        <v>Profit</v>
      </c>
      <c r="Q1968" t="str" cm="1">
        <f t="array" ref="Q1968">IF(K1968="",INDEX($K$2:$K$2501,MATCH(MAX(COUNTIF($K$2:$K$2501,$K$2:$K$2501)),COUNTIF($K$2:$K$2501,$K$2:$K$2501),0)),K1968)</f>
        <v>B2B</v>
      </c>
    </row>
    <row r="1969" spans="1:17" x14ac:dyDescent="0.3">
      <c r="A1969">
        <v>2967</v>
      </c>
      <c r="B1969" t="s">
        <v>1995</v>
      </c>
      <c r="C1969" t="s">
        <v>38</v>
      </c>
      <c r="D1969" t="s">
        <v>39</v>
      </c>
      <c r="E1969">
        <v>2</v>
      </c>
      <c r="H1969" s="3">
        <f t="shared" si="150"/>
        <v>6016.7688888888888</v>
      </c>
      <c r="I1969" s="1">
        <v>45771</v>
      </c>
      <c r="J1969" t="s">
        <v>56</v>
      </c>
      <c r="K1969" t="s">
        <v>23</v>
      </c>
      <c r="L1969" s="2">
        <f t="shared" si="151"/>
        <v>3008.3844444444444</v>
      </c>
      <c r="M1969" s="4">
        <f t="shared" si="152"/>
        <v>0.6</v>
      </c>
      <c r="N1969" s="1">
        <f t="shared" si="153"/>
        <v>45771</v>
      </c>
      <c r="O1969" s="3">
        <f>(Table13[[#This Row],[Units_Sold]]*Table13[[#This Row],[Unit_Price_Cleaned]]*(1-Table13[[#This Row],[Discount Cleaned]]))</f>
        <v>2406.7075555555557</v>
      </c>
      <c r="P1969" t="str">
        <f t="shared" si="154"/>
        <v>Profit</v>
      </c>
      <c r="Q1969" t="str" cm="1">
        <f t="array" ref="Q1969">IF(K1969="",INDEX($K$2:$K$2501,MATCH(MAX(COUNTIF($K$2:$K$2501,$K$2:$K$2501)),COUNTIF($K$2:$K$2501,$K$2:$K$2501),0)),K1969)</f>
        <v>B2B</v>
      </c>
    </row>
    <row r="1970" spans="1:17" x14ac:dyDescent="0.3">
      <c r="A1970">
        <v>2968</v>
      </c>
      <c r="B1970" t="s">
        <v>1996</v>
      </c>
      <c r="C1970" t="s">
        <v>20</v>
      </c>
      <c r="D1970" t="s">
        <v>21</v>
      </c>
      <c r="E1970">
        <v>2</v>
      </c>
      <c r="H1970" s="3">
        <f t="shared" si="150"/>
        <v>5362.348727272727</v>
      </c>
      <c r="I1970" s="1">
        <v>45787</v>
      </c>
      <c r="J1970" t="s">
        <v>22</v>
      </c>
      <c r="K1970" t="s">
        <v>23</v>
      </c>
      <c r="L1970" s="2">
        <f t="shared" si="151"/>
        <v>2681.1743636363635</v>
      </c>
      <c r="M1970" s="4">
        <f t="shared" si="152"/>
        <v>0.6</v>
      </c>
      <c r="N1970" s="1">
        <f t="shared" si="153"/>
        <v>45787</v>
      </c>
      <c r="O1970" s="3">
        <f>(Table13[[#This Row],[Units_Sold]]*Table13[[#This Row],[Unit_Price_Cleaned]]*(1-Table13[[#This Row],[Discount Cleaned]]))</f>
        <v>2144.9394909090911</v>
      </c>
      <c r="P1970" t="str">
        <f t="shared" si="154"/>
        <v>Profit</v>
      </c>
      <c r="Q1970" t="str" cm="1">
        <f t="array" ref="Q1970">IF(K1970="",INDEX($K$2:$K$2501,MATCH(MAX(COUNTIF($K$2:$K$2501,$K$2:$K$2501)),COUNTIF($K$2:$K$2501,$K$2:$K$2501),0)),K1970)</f>
        <v>B2B</v>
      </c>
    </row>
    <row r="1971" spans="1:17" x14ac:dyDescent="0.3">
      <c r="A1971">
        <v>2969</v>
      </c>
      <c r="B1971" t="s">
        <v>1997</v>
      </c>
      <c r="C1971" t="s">
        <v>20</v>
      </c>
      <c r="D1971" t="s">
        <v>122</v>
      </c>
      <c r="E1971">
        <v>2</v>
      </c>
      <c r="F1971">
        <v>4858.47</v>
      </c>
      <c r="G1971">
        <v>0.68</v>
      </c>
      <c r="H1971" s="3">
        <f t="shared" si="150"/>
        <v>9716.94</v>
      </c>
      <c r="I1971" s="1">
        <v>45826</v>
      </c>
      <c r="J1971" t="s">
        <v>40</v>
      </c>
      <c r="K1971" t="s">
        <v>23</v>
      </c>
      <c r="L1971" s="2">
        <f t="shared" si="151"/>
        <v>4858.47</v>
      </c>
      <c r="M1971" s="4">
        <f t="shared" si="152"/>
        <v>0.68</v>
      </c>
      <c r="N1971" s="1">
        <f t="shared" si="153"/>
        <v>45826</v>
      </c>
      <c r="O1971" s="3">
        <f>(Table13[[#This Row],[Units_Sold]]*Table13[[#This Row],[Unit_Price_Cleaned]]*(1-Table13[[#This Row],[Discount Cleaned]]))</f>
        <v>3109.4207999999999</v>
      </c>
      <c r="P1971" t="str">
        <f t="shared" si="154"/>
        <v>Profit</v>
      </c>
      <c r="Q1971" t="str" cm="1">
        <f t="array" ref="Q1971">IF(K1971="",INDEX($K$2:$K$2501,MATCH(MAX(COUNTIF($K$2:$K$2501,$K$2:$K$2501)),COUNTIF($K$2:$K$2501,$K$2:$K$2501),0)),K1971)</f>
        <v>B2B</v>
      </c>
    </row>
    <row r="1972" spans="1:17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 s="3">
        <f t="shared" si="150"/>
        <v>2841.7630612244907</v>
      </c>
      <c r="I1972" s="1">
        <v>45611</v>
      </c>
      <c r="J1972" t="s">
        <v>46</v>
      </c>
      <c r="K1972" t="s">
        <v>16</v>
      </c>
      <c r="L1972" s="2">
        <f t="shared" si="151"/>
        <v>2841.7630612244907</v>
      </c>
      <c r="M1972" s="4">
        <f t="shared" si="152"/>
        <v>0.6</v>
      </c>
      <c r="N1972" s="1">
        <f t="shared" si="153"/>
        <v>45611</v>
      </c>
      <c r="O1972" s="3">
        <f>(Table13[[#This Row],[Units_Sold]]*Table13[[#This Row],[Unit_Price_Cleaned]]*(1-Table13[[#This Row],[Discount Cleaned]]))</f>
        <v>1136.7052244897964</v>
      </c>
      <c r="P1972" t="str">
        <f t="shared" si="154"/>
        <v>Profit</v>
      </c>
      <c r="Q1972" t="str" cm="1">
        <f t="array" ref="Q1972">IF(K1972="",INDEX($K$2:$K$2501,MATCH(MAX(COUNTIF($K$2:$K$2501,$K$2:$K$2501)),COUNTIF($K$2:$K$2501,$K$2:$K$2501),0)),K1972)</f>
        <v>B2C</v>
      </c>
    </row>
    <row r="1973" spans="1:17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 s="3">
        <f t="shared" si="150"/>
        <v>9045.5999999999985</v>
      </c>
      <c r="I1973" s="1">
        <v>45699</v>
      </c>
      <c r="J1973" t="s">
        <v>15</v>
      </c>
      <c r="K1973" t="s">
        <v>16</v>
      </c>
      <c r="L1973" s="2">
        <f t="shared" si="151"/>
        <v>1507.6</v>
      </c>
      <c r="M1973" s="4">
        <f t="shared" si="152"/>
        <v>0.6</v>
      </c>
      <c r="N1973" s="1">
        <f t="shared" si="153"/>
        <v>45699</v>
      </c>
      <c r="O1973" s="3">
        <f>(Table13[[#This Row],[Units_Sold]]*Table13[[#This Row],[Unit_Price_Cleaned]]*(1-Table13[[#This Row],[Discount Cleaned]]))</f>
        <v>3618.24</v>
      </c>
      <c r="P1973" t="str">
        <f t="shared" si="154"/>
        <v>Profit</v>
      </c>
      <c r="Q1973" t="str" cm="1">
        <f t="array" ref="Q1973">IF(K1973="",INDEX($K$2:$K$2501,MATCH(MAX(COUNTIF($K$2:$K$2501,$K$2:$K$2501)),COUNTIF($K$2:$K$2501,$K$2:$K$2501),0)),K1973)</f>
        <v>B2C</v>
      </c>
    </row>
    <row r="1974" spans="1:17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 s="3">
        <f t="shared" si="150"/>
        <v>14343.884090909089</v>
      </c>
      <c r="J1974" t="s">
        <v>46</v>
      </c>
      <c r="L1974" s="2">
        <f t="shared" si="151"/>
        <v>2868.7768181818178</v>
      </c>
      <c r="M1974" s="4">
        <f t="shared" si="152"/>
        <v>0.6</v>
      </c>
      <c r="N1974" s="1">
        <f t="shared" si="153"/>
        <v>45782</v>
      </c>
      <c r="O1974" s="3">
        <f>(Table13[[#This Row],[Units_Sold]]*Table13[[#This Row],[Unit_Price_Cleaned]]*(1-Table13[[#This Row],[Discount Cleaned]]))</f>
        <v>5737.5536363636356</v>
      </c>
      <c r="P1974" t="str">
        <f t="shared" si="154"/>
        <v>Profit</v>
      </c>
      <c r="Q1974" t="str" cm="1">
        <f t="array" ref="Q1974">IF(K1974="",INDEX($K$2:$K$2501,MATCH(MAX(COUNTIF($K$2:$K$2501,$K$2:$K$2501)),COUNTIF($K$2:$K$2501,$K$2:$K$2501),0)),K1974)</f>
        <v>B2B</v>
      </c>
    </row>
    <row r="1975" spans="1:17" x14ac:dyDescent="0.3">
      <c r="A1975">
        <v>2973</v>
      </c>
      <c r="B1975" t="s">
        <v>2001</v>
      </c>
      <c r="C1975" t="s">
        <v>29</v>
      </c>
      <c r="D1975" t="s">
        <v>30</v>
      </c>
      <c r="E1975">
        <v>2</v>
      </c>
      <c r="H1975" s="3">
        <f t="shared" si="150"/>
        <v>5235.2780769230776</v>
      </c>
      <c r="I1975" s="1">
        <v>45641</v>
      </c>
      <c r="J1975" t="s">
        <v>56</v>
      </c>
      <c r="K1975" t="s">
        <v>16</v>
      </c>
      <c r="L1975" s="2">
        <f t="shared" si="151"/>
        <v>2617.6390384615388</v>
      </c>
      <c r="M1975" s="4">
        <f t="shared" si="152"/>
        <v>0.6</v>
      </c>
      <c r="N1975" s="1">
        <f t="shared" si="153"/>
        <v>45641</v>
      </c>
      <c r="O1975" s="3">
        <f>(Table13[[#This Row],[Units_Sold]]*Table13[[#This Row],[Unit_Price_Cleaned]]*(1-Table13[[#This Row],[Discount Cleaned]]))</f>
        <v>2094.111230769231</v>
      </c>
      <c r="P1975" t="str">
        <f t="shared" si="154"/>
        <v>Profit</v>
      </c>
      <c r="Q1975" t="str" cm="1">
        <f t="array" ref="Q1975">IF(K1975="",INDEX($K$2:$K$2501,MATCH(MAX(COUNTIF($K$2:$K$2501,$K$2:$K$2501)),COUNTIF($K$2:$K$2501,$K$2:$K$2501),0)),K1975)</f>
        <v>B2C</v>
      </c>
    </row>
    <row r="1976" spans="1:17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 s="3">
        <f t="shared" si="150"/>
        <v>10594.56</v>
      </c>
      <c r="I1976" s="1">
        <v>45798</v>
      </c>
      <c r="J1976" t="s">
        <v>18</v>
      </c>
      <c r="K1976" t="s">
        <v>23</v>
      </c>
      <c r="L1976" s="2">
        <f t="shared" si="151"/>
        <v>1765.76</v>
      </c>
      <c r="M1976" s="4">
        <f t="shared" si="152"/>
        <v>0.36</v>
      </c>
      <c r="N1976" s="1">
        <f t="shared" si="153"/>
        <v>45798</v>
      </c>
      <c r="O1976" s="3">
        <f>(Table13[[#This Row],[Units_Sold]]*Table13[[#This Row],[Unit_Price_Cleaned]]*(1-Table13[[#This Row],[Discount Cleaned]]))</f>
        <v>6780.5183999999999</v>
      </c>
      <c r="P1976" t="str">
        <f t="shared" si="154"/>
        <v>Profit</v>
      </c>
      <c r="Q1976" t="str" cm="1">
        <f t="array" ref="Q1976">IF(K1976="",INDEX($K$2:$K$2501,MATCH(MAX(COUNTIF($K$2:$K$2501,$K$2:$K$2501)),COUNTIF($K$2:$K$2501,$K$2:$K$2501),0)),K1976)</f>
        <v>B2B</v>
      </c>
    </row>
    <row r="1977" spans="1:17" x14ac:dyDescent="0.3">
      <c r="A1977">
        <v>2975</v>
      </c>
      <c r="B1977" t="s">
        <v>2003</v>
      </c>
      <c r="C1977" t="s">
        <v>29</v>
      </c>
      <c r="D1977" t="s">
        <v>141</v>
      </c>
      <c r="E1977">
        <v>2</v>
      </c>
      <c r="F1977">
        <v>3835.25</v>
      </c>
      <c r="H1977" s="3">
        <f t="shared" si="150"/>
        <v>7670.5</v>
      </c>
      <c r="I1977" s="1">
        <v>45700</v>
      </c>
      <c r="J1977" t="s">
        <v>18</v>
      </c>
      <c r="K1977" t="s">
        <v>23</v>
      </c>
      <c r="L1977" s="2">
        <f t="shared" si="151"/>
        <v>3835.25</v>
      </c>
      <c r="M1977" s="4">
        <f t="shared" si="152"/>
        <v>0.6</v>
      </c>
      <c r="N1977" s="1">
        <f t="shared" si="153"/>
        <v>45700</v>
      </c>
      <c r="O1977" s="3">
        <f>(Table13[[#This Row],[Units_Sold]]*Table13[[#This Row],[Unit_Price_Cleaned]]*(1-Table13[[#This Row],[Discount Cleaned]]))</f>
        <v>3068.2000000000003</v>
      </c>
      <c r="P1977" t="str">
        <f t="shared" si="154"/>
        <v>Profit</v>
      </c>
      <c r="Q1977" t="str" cm="1">
        <f t="array" ref="Q1977">IF(K1977="",INDEX($K$2:$K$2501,MATCH(MAX(COUNTIF($K$2:$K$2501,$K$2:$K$2501)),COUNTIF($K$2:$K$2501,$K$2:$K$2501),0)),K1977)</f>
        <v>B2B</v>
      </c>
    </row>
    <row r="1978" spans="1:17" x14ac:dyDescent="0.3">
      <c r="A1978">
        <v>2976</v>
      </c>
      <c r="B1978" t="s">
        <v>2004</v>
      </c>
      <c r="C1978" t="s">
        <v>33</v>
      </c>
      <c r="D1978" t="s">
        <v>72</v>
      </c>
      <c r="E1978">
        <v>2</v>
      </c>
      <c r="F1978">
        <v>1572.95</v>
      </c>
      <c r="H1978" s="3">
        <f t="shared" si="150"/>
        <v>3145.9</v>
      </c>
      <c r="I1978" s="1">
        <v>45663</v>
      </c>
      <c r="J1978" t="s">
        <v>56</v>
      </c>
      <c r="K1978" t="s">
        <v>23</v>
      </c>
      <c r="L1978" s="2">
        <f t="shared" si="151"/>
        <v>1572.95</v>
      </c>
      <c r="M1978" s="4">
        <f t="shared" si="152"/>
        <v>0.6</v>
      </c>
      <c r="N1978" s="1">
        <f t="shared" si="153"/>
        <v>45663</v>
      </c>
      <c r="O1978" s="3">
        <f>(Table13[[#This Row],[Units_Sold]]*Table13[[#This Row],[Unit_Price_Cleaned]]*(1-Table13[[#This Row],[Discount Cleaned]]))</f>
        <v>1258.3600000000001</v>
      </c>
      <c r="P1978" t="str">
        <f t="shared" si="154"/>
        <v>Profit</v>
      </c>
      <c r="Q1978" t="str" cm="1">
        <f t="array" ref="Q1978">IF(K1978="",INDEX($K$2:$K$2501,MATCH(MAX(COUNTIF($K$2:$K$2501,$K$2:$K$2501)),COUNTIF($K$2:$K$2501,$K$2:$K$2501),0)),K1978)</f>
        <v>B2B</v>
      </c>
    </row>
    <row r="1979" spans="1:17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 s="3">
        <f t="shared" si="150"/>
        <v>-6411.86</v>
      </c>
      <c r="J1979" t="s">
        <v>22</v>
      </c>
      <c r="K1979" t="s">
        <v>16</v>
      </c>
      <c r="L1979" s="2">
        <f t="shared" si="151"/>
        <v>3205.93</v>
      </c>
      <c r="M1979" s="4">
        <f t="shared" si="152"/>
        <v>0.6</v>
      </c>
      <c r="N1979" s="1">
        <f t="shared" si="153"/>
        <v>45782</v>
      </c>
      <c r="O1979" s="3">
        <f>(Table13[[#This Row],[Units_Sold]]*Table13[[#This Row],[Unit_Price_Cleaned]]*(1-Table13[[#This Row],[Discount Cleaned]]))</f>
        <v>-2564.7440000000001</v>
      </c>
      <c r="P1979" t="str">
        <f t="shared" si="154"/>
        <v>Loss</v>
      </c>
      <c r="Q1979" t="str" cm="1">
        <f t="array" ref="Q1979">IF(K1979="",INDEX($K$2:$K$2501,MATCH(MAX(COUNTIF($K$2:$K$2501,$K$2:$K$2501)),COUNTIF($K$2:$K$2501,$K$2:$K$2501),0)),K1979)</f>
        <v>B2C</v>
      </c>
    </row>
    <row r="1980" spans="1:17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 s="3">
        <f t="shared" si="150"/>
        <v>8606.3304545454539</v>
      </c>
      <c r="I1980" s="1">
        <v>45855</v>
      </c>
      <c r="J1980" t="s">
        <v>56</v>
      </c>
      <c r="K1980" t="s">
        <v>16</v>
      </c>
      <c r="L1980" s="2">
        <f t="shared" si="151"/>
        <v>2868.7768181818178</v>
      </c>
      <c r="M1980" s="4">
        <f t="shared" si="152"/>
        <v>0.52</v>
      </c>
      <c r="N1980" s="1">
        <f t="shared" si="153"/>
        <v>45855</v>
      </c>
      <c r="O1980" s="3">
        <f>(Table13[[#This Row],[Units_Sold]]*Table13[[#This Row],[Unit_Price_Cleaned]]*(1-Table13[[#This Row],[Discount Cleaned]]))</f>
        <v>4131.0386181818176</v>
      </c>
      <c r="P1980" t="str">
        <f t="shared" si="154"/>
        <v>Profit</v>
      </c>
      <c r="Q1980" t="str" cm="1">
        <f t="array" ref="Q1980">IF(K1980="",INDEX($K$2:$K$2501,MATCH(MAX(COUNTIF($K$2:$K$2501,$K$2:$K$2501)),COUNTIF($K$2:$K$2501,$K$2:$K$2501),0)),K1980)</f>
        <v>B2C</v>
      </c>
    </row>
    <row r="1981" spans="1:17" x14ac:dyDescent="0.3">
      <c r="A1981">
        <v>2979</v>
      </c>
      <c r="B1981" t="s">
        <v>2007</v>
      </c>
      <c r="C1981" t="s">
        <v>33</v>
      </c>
      <c r="D1981" t="s">
        <v>72</v>
      </c>
      <c r="E1981">
        <v>2</v>
      </c>
      <c r="G1981">
        <v>0.23</v>
      </c>
      <c r="H1981" s="3">
        <f t="shared" si="150"/>
        <v>5431.091698113205</v>
      </c>
      <c r="J1981" t="s">
        <v>22</v>
      </c>
      <c r="L1981" s="2">
        <f t="shared" si="151"/>
        <v>2715.5458490566025</v>
      </c>
      <c r="M1981" s="4">
        <f t="shared" si="152"/>
        <v>0.23</v>
      </c>
      <c r="N1981" s="1">
        <f t="shared" si="153"/>
        <v>45782</v>
      </c>
      <c r="O1981" s="3">
        <f>(Table13[[#This Row],[Units_Sold]]*Table13[[#This Row],[Unit_Price_Cleaned]]*(1-Table13[[#This Row],[Discount Cleaned]]))</f>
        <v>4181.9406075471679</v>
      </c>
      <c r="P1981" t="str">
        <f t="shared" si="154"/>
        <v>Profit</v>
      </c>
      <c r="Q1981" t="str" cm="1">
        <f t="array" ref="Q1981">IF(K1981="",INDEX($K$2:$K$2501,MATCH(MAX(COUNTIF($K$2:$K$2501,$K$2:$K$2501)),COUNTIF($K$2:$K$2501,$K$2:$K$2501),0)),K1981)</f>
        <v>B2B</v>
      </c>
    </row>
    <row r="1982" spans="1:17" x14ac:dyDescent="0.3">
      <c r="A1982">
        <v>2980</v>
      </c>
      <c r="B1982" t="s">
        <v>2008</v>
      </c>
      <c r="C1982" t="s">
        <v>33</v>
      </c>
      <c r="D1982" t="s">
        <v>72</v>
      </c>
      <c r="E1982">
        <v>2</v>
      </c>
      <c r="G1982">
        <v>0.36</v>
      </c>
      <c r="H1982" s="3">
        <f t="shared" si="150"/>
        <v>5431.091698113205</v>
      </c>
      <c r="I1982" s="1">
        <v>45628</v>
      </c>
      <c r="J1982" t="s">
        <v>15</v>
      </c>
      <c r="K1982" t="s">
        <v>16</v>
      </c>
      <c r="L1982" s="2">
        <f t="shared" si="151"/>
        <v>2715.5458490566025</v>
      </c>
      <c r="M1982" s="4">
        <f t="shared" si="152"/>
        <v>0.36</v>
      </c>
      <c r="N1982" s="1">
        <f t="shared" si="153"/>
        <v>45628</v>
      </c>
      <c r="O1982" s="3">
        <f>(Table13[[#This Row],[Units_Sold]]*Table13[[#This Row],[Unit_Price_Cleaned]]*(1-Table13[[#This Row],[Discount Cleaned]]))</f>
        <v>3475.8986867924514</v>
      </c>
      <c r="P1982" t="str">
        <f t="shared" si="154"/>
        <v>Profit</v>
      </c>
      <c r="Q1982" t="str" cm="1">
        <f t="array" ref="Q1982">IF(K1982="",INDEX($K$2:$K$2501,MATCH(MAX(COUNTIF($K$2:$K$2501,$K$2:$K$2501)),COUNTIF($K$2:$K$2501,$K$2:$K$2501),0)),K1982)</f>
        <v>B2C</v>
      </c>
    </row>
    <row r="1983" spans="1:17" x14ac:dyDescent="0.3">
      <c r="A1983">
        <v>1040</v>
      </c>
      <c r="B1983" t="s">
        <v>2009</v>
      </c>
      <c r="C1983" t="s">
        <v>33</v>
      </c>
      <c r="D1983" t="s">
        <v>34</v>
      </c>
      <c r="E1983">
        <v>2</v>
      </c>
      <c r="H1983" s="3">
        <f t="shared" si="150"/>
        <v>4974.07923076923</v>
      </c>
      <c r="I1983" s="1">
        <v>45782</v>
      </c>
      <c r="J1983" t="s">
        <v>15</v>
      </c>
      <c r="K1983" t="s">
        <v>23</v>
      </c>
      <c r="L1983" s="2">
        <f t="shared" si="151"/>
        <v>2487.039615384615</v>
      </c>
      <c r="M1983" s="4">
        <f t="shared" si="152"/>
        <v>0.6</v>
      </c>
      <c r="N1983" s="1">
        <f t="shared" si="153"/>
        <v>45782</v>
      </c>
      <c r="O1983" s="3">
        <f>(Table13[[#This Row],[Units_Sold]]*Table13[[#This Row],[Unit_Price_Cleaned]]*(1-Table13[[#This Row],[Discount Cleaned]]))</f>
        <v>1989.631692307692</v>
      </c>
      <c r="P1983" t="str">
        <f t="shared" si="154"/>
        <v>Profit</v>
      </c>
      <c r="Q1983" t="str" cm="1">
        <f t="array" ref="Q1983">IF(K1983="",INDEX($K$2:$K$2501,MATCH(MAX(COUNTIF($K$2:$K$2501,$K$2:$K$2501)),COUNTIF($K$2:$K$2501,$K$2:$K$2501),0)),K1983)</f>
        <v>B2B</v>
      </c>
    </row>
    <row r="1984" spans="1:17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 s="3">
        <f t="shared" si="150"/>
        <v>-2497.52</v>
      </c>
      <c r="I1984" s="1">
        <v>45253</v>
      </c>
      <c r="J1984" t="s">
        <v>18</v>
      </c>
      <c r="L1984" s="2">
        <f t="shared" si="151"/>
        <v>2497.52</v>
      </c>
      <c r="M1984" s="4">
        <f t="shared" si="152"/>
        <v>0.6</v>
      </c>
      <c r="N1984" s="1">
        <f t="shared" si="153"/>
        <v>45253</v>
      </c>
      <c r="O1984" s="3">
        <f>(Table13[[#This Row],[Units_Sold]]*Table13[[#This Row],[Unit_Price_Cleaned]]*(1-Table13[[#This Row],[Discount Cleaned]]))</f>
        <v>-999.00800000000004</v>
      </c>
      <c r="P1984" t="str">
        <f t="shared" si="154"/>
        <v>Loss</v>
      </c>
      <c r="Q1984" t="str" cm="1">
        <f t="array" ref="Q1984">IF(K1984="",INDEX($K$2:$K$2501,MATCH(MAX(COUNTIF($K$2:$K$2501,$K$2:$K$2501)),COUNTIF($K$2:$K$2501,$K$2:$K$2501),0)),K1984)</f>
        <v>B2B</v>
      </c>
    </row>
    <row r="1985" spans="1:17" x14ac:dyDescent="0.3">
      <c r="A1985">
        <v>2983</v>
      </c>
      <c r="B1985" t="s">
        <v>2011</v>
      </c>
      <c r="C1985" t="s">
        <v>25</v>
      </c>
      <c r="D1985" t="s">
        <v>54</v>
      </c>
      <c r="E1985">
        <v>2</v>
      </c>
      <c r="H1985" s="3">
        <f t="shared" si="150"/>
        <v>5060.7673076923093</v>
      </c>
      <c r="J1985" t="s">
        <v>46</v>
      </c>
      <c r="L1985" s="2">
        <f t="shared" si="151"/>
        <v>2530.3836538461546</v>
      </c>
      <c r="M1985" s="4">
        <f t="shared" si="152"/>
        <v>0.6</v>
      </c>
      <c r="N1985" s="1">
        <f t="shared" si="153"/>
        <v>45782</v>
      </c>
      <c r="O1985" s="3">
        <f>(Table13[[#This Row],[Units_Sold]]*Table13[[#This Row],[Unit_Price_Cleaned]]*(1-Table13[[#This Row],[Discount Cleaned]]))</f>
        <v>2024.3069230769238</v>
      </c>
      <c r="P1985" t="str">
        <f t="shared" si="154"/>
        <v>Profit</v>
      </c>
      <c r="Q1985" t="str" cm="1">
        <f t="array" ref="Q1985">IF(K1985="",INDEX($K$2:$K$2501,MATCH(MAX(COUNTIF($K$2:$K$2501,$K$2:$K$2501)),COUNTIF($K$2:$K$2501,$K$2:$K$2501),0)),K1985)</f>
        <v>B2B</v>
      </c>
    </row>
    <row r="1986" spans="1:17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 s="3">
        <f t="shared" ref="H1986:H2049" si="155">(L1986*E1986)</f>
        <v>8251.6</v>
      </c>
      <c r="I1986" s="1">
        <v>45506</v>
      </c>
      <c r="J1986" t="s">
        <v>22</v>
      </c>
      <c r="K1986" t="s">
        <v>16</v>
      </c>
      <c r="L1986" s="2">
        <f t="shared" ref="L1986:L2049" si="156">IF(F1986="",AVERAGEIF($D$2:$D$2501,D1986,$F$2:$F$2501),F1986)</f>
        <v>2062.9</v>
      </c>
      <c r="M1986" s="4">
        <f t="shared" ref="M1986:M2049" si="157">IF(G1986="",MEDIAN($G$2,$G$2501),G1986)</f>
        <v>0.6</v>
      </c>
      <c r="N1986" s="1">
        <f t="shared" ref="N1986:N2049" si="158">IF(I1986="",MODE($I$32:$I$2501),I1986)</f>
        <v>45506</v>
      </c>
      <c r="O1986" s="3">
        <f>(Table13[[#This Row],[Units_Sold]]*Table13[[#This Row],[Unit_Price_Cleaned]]*(1-Table13[[#This Row],[Discount Cleaned]]))</f>
        <v>3300.6400000000003</v>
      </c>
      <c r="P1986" t="str">
        <f t="shared" ref="P1986:P2049" si="159">IF(O1986&gt;500,"Profit","Loss")</f>
        <v>Profit</v>
      </c>
      <c r="Q1986" t="str" cm="1">
        <f t="array" ref="Q1986">IF(K1986="",INDEX($K$2:$K$2501,MATCH(MAX(COUNTIF($K$2:$K$2501,$K$2:$K$2501)),COUNTIF($K$2:$K$2501,$K$2:$K$2501),0)),K1986)</f>
        <v>B2C</v>
      </c>
    </row>
    <row r="1987" spans="1:17" x14ac:dyDescent="0.3">
      <c r="A1987">
        <v>2985</v>
      </c>
      <c r="B1987" t="s">
        <v>2013</v>
      </c>
      <c r="C1987" t="s">
        <v>13</v>
      </c>
      <c r="D1987" t="s">
        <v>49</v>
      </c>
      <c r="E1987">
        <v>2</v>
      </c>
      <c r="G1987">
        <v>1.1499999999999999</v>
      </c>
      <c r="H1987" s="3">
        <f t="shared" si="155"/>
        <v>5570.1755932203387</v>
      </c>
      <c r="I1987" s="1">
        <v>45672</v>
      </c>
      <c r="J1987" t="s">
        <v>56</v>
      </c>
      <c r="L1987" s="2">
        <f t="shared" si="156"/>
        <v>2785.0877966101693</v>
      </c>
      <c r="M1987" s="4">
        <f t="shared" si="157"/>
        <v>1.1499999999999999</v>
      </c>
      <c r="N1987" s="1">
        <f t="shared" si="158"/>
        <v>45672</v>
      </c>
      <c r="O1987" s="3">
        <f>(Table13[[#This Row],[Units_Sold]]*Table13[[#This Row],[Unit_Price_Cleaned]]*(1-Table13[[#This Row],[Discount Cleaned]]))</f>
        <v>-835.52633898305032</v>
      </c>
      <c r="P1987" t="str">
        <f t="shared" si="159"/>
        <v>Loss</v>
      </c>
      <c r="Q1987" t="str" cm="1">
        <f t="array" ref="Q1987">IF(K1987="",INDEX($K$2:$K$2501,MATCH(MAX(COUNTIF($K$2:$K$2501,$K$2:$K$2501)),COUNTIF($K$2:$K$2501,$K$2:$K$2501),0)),K1987)</f>
        <v>B2B</v>
      </c>
    </row>
    <row r="1988" spans="1:17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 s="3">
        <f t="shared" si="155"/>
        <v>-5690.4839344262318</v>
      </c>
      <c r="I1988" s="1">
        <v>45588</v>
      </c>
      <c r="J1988" t="s">
        <v>22</v>
      </c>
      <c r="K1988" t="s">
        <v>23</v>
      </c>
      <c r="L1988" s="2">
        <f t="shared" si="156"/>
        <v>2845.2419672131159</v>
      </c>
      <c r="M1988" s="4">
        <f t="shared" si="157"/>
        <v>0.6</v>
      </c>
      <c r="N1988" s="1">
        <f t="shared" si="158"/>
        <v>45588</v>
      </c>
      <c r="O1988" s="3">
        <f>(Table13[[#This Row],[Units_Sold]]*Table13[[#This Row],[Unit_Price_Cleaned]]*(1-Table13[[#This Row],[Discount Cleaned]]))</f>
        <v>-2276.193573770493</v>
      </c>
      <c r="P1988" t="str">
        <f t="shared" si="159"/>
        <v>Loss</v>
      </c>
      <c r="Q1988" t="str" cm="1">
        <f t="array" ref="Q1988">IF(K1988="",INDEX($K$2:$K$2501,MATCH(MAX(COUNTIF($K$2:$K$2501,$K$2:$K$2501)),COUNTIF($K$2:$K$2501,$K$2:$K$2501),0)),K1988)</f>
        <v>B2B</v>
      </c>
    </row>
    <row r="1989" spans="1:17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 s="3">
        <f t="shared" si="155"/>
        <v>15506.579999999998</v>
      </c>
      <c r="J1989" t="s">
        <v>15</v>
      </c>
      <c r="K1989" t="s">
        <v>16</v>
      </c>
      <c r="L1989" s="2">
        <f t="shared" si="156"/>
        <v>2584.4299999999998</v>
      </c>
      <c r="M1989" s="4">
        <f t="shared" si="157"/>
        <v>0.6</v>
      </c>
      <c r="N1989" s="1">
        <f t="shared" si="158"/>
        <v>45782</v>
      </c>
      <c r="O1989" s="3">
        <f>(Table13[[#This Row],[Units_Sold]]*Table13[[#This Row],[Unit_Price_Cleaned]]*(1-Table13[[#This Row],[Discount Cleaned]]))</f>
        <v>6202.6319999999996</v>
      </c>
      <c r="P1989" t="str">
        <f t="shared" si="159"/>
        <v>Profit</v>
      </c>
      <c r="Q1989" t="str" cm="1">
        <f t="array" ref="Q1989">IF(K1989="",INDEX($K$2:$K$2501,MATCH(MAX(COUNTIF($K$2:$K$2501,$K$2:$K$2501)),COUNTIF($K$2:$K$2501,$K$2:$K$2501),0)),K1989)</f>
        <v>B2C</v>
      </c>
    </row>
    <row r="1990" spans="1:17" x14ac:dyDescent="0.3">
      <c r="A1990">
        <v>2988</v>
      </c>
      <c r="B1990" t="s">
        <v>2016</v>
      </c>
      <c r="C1990" t="s">
        <v>33</v>
      </c>
      <c r="D1990" t="s">
        <v>82</v>
      </c>
      <c r="E1990">
        <v>2</v>
      </c>
      <c r="H1990" s="3">
        <f t="shared" si="155"/>
        <v>5552.4404000000004</v>
      </c>
      <c r="J1990" t="s">
        <v>46</v>
      </c>
      <c r="L1990" s="2">
        <f t="shared" si="156"/>
        <v>2776.2202000000002</v>
      </c>
      <c r="M1990" s="4">
        <f t="shared" si="157"/>
        <v>0.6</v>
      </c>
      <c r="N1990" s="1">
        <f t="shared" si="158"/>
        <v>45782</v>
      </c>
      <c r="O1990" s="3">
        <f>(Table13[[#This Row],[Units_Sold]]*Table13[[#This Row],[Unit_Price_Cleaned]]*(1-Table13[[#This Row],[Discount Cleaned]]))</f>
        <v>2220.9761600000002</v>
      </c>
      <c r="P1990" t="str">
        <f t="shared" si="159"/>
        <v>Profit</v>
      </c>
      <c r="Q1990" t="str" cm="1">
        <f t="array" ref="Q1990">IF(K1990="",INDEX($K$2:$K$2501,MATCH(MAX(COUNTIF($K$2:$K$2501,$K$2:$K$2501)),COUNTIF($K$2:$K$2501,$K$2:$K$2501),0)),K1990)</f>
        <v>B2B</v>
      </c>
    </row>
    <row r="1991" spans="1:17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 s="3">
        <f t="shared" si="155"/>
        <v>-4084.97</v>
      </c>
      <c r="I1991" s="1">
        <v>45320</v>
      </c>
      <c r="J1991" t="s">
        <v>22</v>
      </c>
      <c r="K1991" t="s">
        <v>23</v>
      </c>
      <c r="L1991" s="2">
        <f t="shared" si="156"/>
        <v>4084.97</v>
      </c>
      <c r="M1991" s="4">
        <f t="shared" si="157"/>
        <v>0.83</v>
      </c>
      <c r="N1991" s="1">
        <f t="shared" si="158"/>
        <v>45320</v>
      </c>
      <c r="O1991" s="3">
        <f>(Table13[[#This Row],[Units_Sold]]*Table13[[#This Row],[Unit_Price_Cleaned]]*(1-Table13[[#This Row],[Discount Cleaned]]))</f>
        <v>-694.44490000000008</v>
      </c>
      <c r="P1991" t="str">
        <f t="shared" si="159"/>
        <v>Loss</v>
      </c>
      <c r="Q1991" t="str" cm="1">
        <f t="array" ref="Q1991">IF(K1991="",INDEX($K$2:$K$2501,MATCH(MAX(COUNTIF($K$2:$K$2501,$K$2:$K$2501)),COUNTIF($K$2:$K$2501,$K$2:$K$2501),0)),K1991)</f>
        <v>B2B</v>
      </c>
    </row>
    <row r="1992" spans="1:17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 s="3">
        <f t="shared" si="155"/>
        <v>0</v>
      </c>
      <c r="I1992" s="1">
        <v>45556</v>
      </c>
      <c r="J1992" t="s">
        <v>22</v>
      </c>
      <c r="L1992" s="2">
        <f t="shared" si="156"/>
        <v>3205.73</v>
      </c>
      <c r="M1992" s="4">
        <f t="shared" si="157"/>
        <v>0.6</v>
      </c>
      <c r="N1992" s="1">
        <f t="shared" si="158"/>
        <v>45556</v>
      </c>
      <c r="O1992" s="3">
        <f>(Table13[[#This Row],[Units_Sold]]*Table13[[#This Row],[Unit_Price_Cleaned]]*(1-Table13[[#This Row],[Discount Cleaned]]))</f>
        <v>0</v>
      </c>
      <c r="P1992" t="str">
        <f t="shared" si="159"/>
        <v>Loss</v>
      </c>
      <c r="Q1992" t="str" cm="1">
        <f t="array" ref="Q1992">IF(K1992="",INDEX($K$2:$K$2501,MATCH(MAX(COUNTIF($K$2:$K$2501,$K$2:$K$2501)),COUNTIF($K$2:$K$2501,$K$2:$K$2501),0)),K1992)</f>
        <v>B2B</v>
      </c>
    </row>
    <row r="1993" spans="1:17" x14ac:dyDescent="0.3">
      <c r="A1993">
        <v>2991</v>
      </c>
      <c r="B1993" t="s">
        <v>2019</v>
      </c>
      <c r="C1993" t="s">
        <v>38</v>
      </c>
      <c r="D1993" t="s">
        <v>91</v>
      </c>
      <c r="E1993">
        <v>2</v>
      </c>
      <c r="F1993">
        <v>2053.65</v>
      </c>
      <c r="H1993" s="3">
        <f t="shared" si="155"/>
        <v>4107.3</v>
      </c>
      <c r="I1993" s="1">
        <v>45582</v>
      </c>
      <c r="J1993" t="s">
        <v>56</v>
      </c>
      <c r="L1993" s="2">
        <f t="shared" si="156"/>
        <v>2053.65</v>
      </c>
      <c r="M1993" s="4">
        <f t="shared" si="157"/>
        <v>0.6</v>
      </c>
      <c r="N1993" s="1">
        <f t="shared" si="158"/>
        <v>45582</v>
      </c>
      <c r="O1993" s="3">
        <f>(Table13[[#This Row],[Units_Sold]]*Table13[[#This Row],[Unit_Price_Cleaned]]*(1-Table13[[#This Row],[Discount Cleaned]]))</f>
        <v>1642.92</v>
      </c>
      <c r="P1993" t="str">
        <f t="shared" si="159"/>
        <v>Profit</v>
      </c>
      <c r="Q1993" t="str" cm="1">
        <f t="array" ref="Q1993">IF(K1993="",INDEX($K$2:$K$2501,MATCH(MAX(COUNTIF($K$2:$K$2501,$K$2:$K$2501)),COUNTIF($K$2:$K$2501,$K$2:$K$2501),0)),K1993)</f>
        <v>B2B</v>
      </c>
    </row>
    <row r="1994" spans="1:17" x14ac:dyDescent="0.3">
      <c r="A1994">
        <v>2992</v>
      </c>
      <c r="B1994" t="s">
        <v>2020</v>
      </c>
      <c r="C1994" t="s">
        <v>13</v>
      </c>
      <c r="D1994" t="s">
        <v>49</v>
      </c>
      <c r="E1994">
        <v>2</v>
      </c>
      <c r="F1994">
        <v>4747.16</v>
      </c>
      <c r="G1994">
        <v>0.9</v>
      </c>
      <c r="H1994" s="3">
        <f t="shared" si="155"/>
        <v>9494.32</v>
      </c>
      <c r="I1994" s="1">
        <v>45317</v>
      </c>
      <c r="J1994" t="s">
        <v>40</v>
      </c>
      <c r="K1994" t="s">
        <v>23</v>
      </c>
      <c r="L1994" s="2">
        <f t="shared" si="156"/>
        <v>4747.16</v>
      </c>
      <c r="M1994" s="4">
        <f t="shared" si="157"/>
        <v>0.9</v>
      </c>
      <c r="N1994" s="1">
        <f t="shared" si="158"/>
        <v>45317</v>
      </c>
      <c r="O1994" s="3">
        <f>(Table13[[#This Row],[Units_Sold]]*Table13[[#This Row],[Unit_Price_Cleaned]]*(1-Table13[[#This Row],[Discount Cleaned]]))</f>
        <v>949.43199999999979</v>
      </c>
      <c r="P1994" t="str">
        <f t="shared" si="159"/>
        <v>Profit</v>
      </c>
      <c r="Q1994" t="str" cm="1">
        <f t="array" ref="Q1994">IF(K1994="",INDEX($K$2:$K$2501,MATCH(MAX(COUNTIF($K$2:$K$2501,$K$2:$K$2501)),COUNTIF($K$2:$K$2501,$K$2:$K$2501),0)),K1994)</f>
        <v>B2B</v>
      </c>
    </row>
    <row r="1995" spans="1:17" x14ac:dyDescent="0.3">
      <c r="A1995">
        <v>2993</v>
      </c>
      <c r="B1995" t="s">
        <v>2021</v>
      </c>
      <c r="C1995" t="s">
        <v>29</v>
      </c>
      <c r="D1995" t="s">
        <v>141</v>
      </c>
      <c r="E1995">
        <v>2</v>
      </c>
      <c r="H1995" s="3">
        <f t="shared" si="155"/>
        <v>4925.58</v>
      </c>
      <c r="I1995" s="1">
        <v>45711</v>
      </c>
      <c r="J1995" t="s">
        <v>22</v>
      </c>
      <c r="K1995" t="s">
        <v>16</v>
      </c>
      <c r="L1995" s="2">
        <f t="shared" si="156"/>
        <v>2462.79</v>
      </c>
      <c r="M1995" s="4">
        <f t="shared" si="157"/>
        <v>0.6</v>
      </c>
      <c r="N1995" s="1">
        <f t="shared" si="158"/>
        <v>45711</v>
      </c>
      <c r="O1995" s="3">
        <f>(Table13[[#This Row],[Units_Sold]]*Table13[[#This Row],[Unit_Price_Cleaned]]*(1-Table13[[#This Row],[Discount Cleaned]]))</f>
        <v>1970.232</v>
      </c>
      <c r="P1995" t="str">
        <f t="shared" si="159"/>
        <v>Profit</v>
      </c>
      <c r="Q1995" t="str" cm="1">
        <f t="array" ref="Q1995">IF(K1995="",INDEX($K$2:$K$2501,MATCH(MAX(COUNTIF($K$2:$K$2501,$K$2:$K$2501)),COUNTIF($K$2:$K$2501,$K$2:$K$2501),0)),K1995)</f>
        <v>B2C</v>
      </c>
    </row>
    <row r="1996" spans="1:17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 s="3">
        <f t="shared" si="155"/>
        <v>4596.3</v>
      </c>
      <c r="J1996" t="s">
        <v>56</v>
      </c>
      <c r="L1996" s="2">
        <f t="shared" si="156"/>
        <v>919.26</v>
      </c>
      <c r="M1996" s="4">
        <f t="shared" si="157"/>
        <v>0.6</v>
      </c>
      <c r="N1996" s="1">
        <f t="shared" si="158"/>
        <v>45782</v>
      </c>
      <c r="O1996" s="3">
        <f>(Table13[[#This Row],[Units_Sold]]*Table13[[#This Row],[Unit_Price_Cleaned]]*(1-Table13[[#This Row],[Discount Cleaned]]))</f>
        <v>1838.5200000000002</v>
      </c>
      <c r="P1996" t="str">
        <f t="shared" si="159"/>
        <v>Profit</v>
      </c>
      <c r="Q1996" t="str" cm="1">
        <f t="array" ref="Q1996">IF(K1996="",INDEX($K$2:$K$2501,MATCH(MAX(COUNTIF($K$2:$K$2501,$K$2:$K$2501)),COUNTIF($K$2:$K$2501,$K$2:$K$2501),0)),K1996)</f>
        <v>B2B</v>
      </c>
    </row>
    <row r="1997" spans="1:17" x14ac:dyDescent="0.3">
      <c r="A1997">
        <v>2995</v>
      </c>
      <c r="B1997" t="s">
        <v>2023</v>
      </c>
      <c r="C1997" t="s">
        <v>25</v>
      </c>
      <c r="D1997" t="s">
        <v>54</v>
      </c>
      <c r="E1997">
        <v>2</v>
      </c>
      <c r="F1997">
        <v>2617.66</v>
      </c>
      <c r="G1997">
        <v>0.55000000000000004</v>
      </c>
      <c r="H1997" s="3">
        <f t="shared" si="155"/>
        <v>5235.32</v>
      </c>
      <c r="I1997" s="1">
        <v>45694</v>
      </c>
      <c r="J1997" t="s">
        <v>22</v>
      </c>
      <c r="L1997" s="2">
        <f t="shared" si="156"/>
        <v>2617.66</v>
      </c>
      <c r="M1997" s="4">
        <f t="shared" si="157"/>
        <v>0.55000000000000004</v>
      </c>
      <c r="N1997" s="1">
        <f t="shared" si="158"/>
        <v>45694</v>
      </c>
      <c r="O1997" s="3">
        <f>(Table13[[#This Row],[Units_Sold]]*Table13[[#This Row],[Unit_Price_Cleaned]]*(1-Table13[[#This Row],[Discount Cleaned]]))</f>
        <v>2355.8939999999998</v>
      </c>
      <c r="P1997" t="str">
        <f t="shared" si="159"/>
        <v>Profit</v>
      </c>
      <c r="Q1997" t="str" cm="1">
        <f t="array" ref="Q1997">IF(K1997="",INDEX($K$2:$K$2501,MATCH(MAX(COUNTIF($K$2:$K$2501,$K$2:$K$2501)),COUNTIF($K$2:$K$2501,$K$2:$K$2501),0)),K1997)</f>
        <v>B2B</v>
      </c>
    </row>
    <row r="1998" spans="1:17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 s="3">
        <f t="shared" si="155"/>
        <v>7500.9</v>
      </c>
      <c r="I1998" s="1">
        <v>45724</v>
      </c>
      <c r="J1998" t="s">
        <v>18</v>
      </c>
      <c r="L1998" s="2">
        <f t="shared" si="156"/>
        <v>3750.45</v>
      </c>
      <c r="M1998" s="4">
        <f t="shared" si="157"/>
        <v>1.04</v>
      </c>
      <c r="N1998" s="1">
        <f t="shared" si="158"/>
        <v>45724</v>
      </c>
      <c r="O1998" s="3">
        <f>(Table13[[#This Row],[Units_Sold]]*Table13[[#This Row],[Unit_Price_Cleaned]]*(1-Table13[[#This Row],[Discount Cleaned]]))</f>
        <v>-300.03600000000023</v>
      </c>
      <c r="P1998" t="str">
        <f t="shared" si="159"/>
        <v>Loss</v>
      </c>
      <c r="Q1998" t="str" cm="1">
        <f t="array" ref="Q1998">IF(K1998="",INDEX($K$2:$K$2501,MATCH(MAX(COUNTIF($K$2:$K$2501,$K$2:$K$2501)),COUNTIF($K$2:$K$2501,$K$2:$K$2501),0)),K1998)</f>
        <v>B2B</v>
      </c>
    </row>
    <row r="1999" spans="1:17" x14ac:dyDescent="0.3">
      <c r="A1999">
        <v>1027</v>
      </c>
      <c r="B1999" t="s">
        <v>737</v>
      </c>
      <c r="C1999" t="s">
        <v>20</v>
      </c>
      <c r="D1999" t="s">
        <v>80</v>
      </c>
      <c r="E1999">
        <v>2</v>
      </c>
      <c r="H1999" s="3">
        <f t="shared" si="155"/>
        <v>4967.1688000000004</v>
      </c>
      <c r="J1999" t="s">
        <v>56</v>
      </c>
      <c r="L1999" s="2">
        <f t="shared" si="156"/>
        <v>2483.5844000000002</v>
      </c>
      <c r="M1999" s="4">
        <f t="shared" si="157"/>
        <v>0.6</v>
      </c>
      <c r="N1999" s="1">
        <f t="shared" si="158"/>
        <v>45782</v>
      </c>
      <c r="O1999" s="3">
        <f>(Table13[[#This Row],[Units_Sold]]*Table13[[#This Row],[Unit_Price_Cleaned]]*(1-Table13[[#This Row],[Discount Cleaned]]))</f>
        <v>1986.8675200000002</v>
      </c>
      <c r="P1999" t="str">
        <f t="shared" si="159"/>
        <v>Profit</v>
      </c>
      <c r="Q1999" t="str" cm="1">
        <f t="array" ref="Q1999">IF(K1999="",INDEX($K$2:$K$2501,MATCH(MAX(COUNTIF($K$2:$K$2501,$K$2:$K$2501)),COUNTIF($K$2:$K$2501,$K$2:$K$2501),0)),K1999)</f>
        <v>B2B</v>
      </c>
    </row>
    <row r="2000" spans="1:17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 s="3">
        <f t="shared" si="155"/>
        <v>0</v>
      </c>
      <c r="I2000" s="1">
        <v>45594</v>
      </c>
      <c r="J2000" t="s">
        <v>22</v>
      </c>
      <c r="K2000" t="s">
        <v>23</v>
      </c>
      <c r="L2000" s="2">
        <f t="shared" si="156"/>
        <v>3453.58</v>
      </c>
      <c r="M2000" s="4">
        <f t="shared" si="157"/>
        <v>0.6</v>
      </c>
      <c r="N2000" s="1">
        <f t="shared" si="158"/>
        <v>45594</v>
      </c>
      <c r="O2000" s="3">
        <f>(Table13[[#This Row],[Units_Sold]]*Table13[[#This Row],[Unit_Price_Cleaned]]*(1-Table13[[#This Row],[Discount Cleaned]]))</f>
        <v>0</v>
      </c>
      <c r="P2000" t="str">
        <f t="shared" si="159"/>
        <v>Loss</v>
      </c>
      <c r="Q2000" t="str" cm="1">
        <f t="array" ref="Q2000">IF(K2000="",INDEX($K$2:$K$2501,MATCH(MAX(COUNTIF($K$2:$K$2501,$K$2:$K$2501)),COUNTIF($K$2:$K$2501,$K$2:$K$2501),0)),K2000)</f>
        <v>B2B</v>
      </c>
    </row>
    <row r="2001" spans="1:17" x14ac:dyDescent="0.3">
      <c r="A2001">
        <v>2999</v>
      </c>
      <c r="B2001" t="s">
        <v>2026</v>
      </c>
      <c r="C2001" t="s">
        <v>25</v>
      </c>
      <c r="D2001" t="s">
        <v>26</v>
      </c>
      <c r="E2001">
        <v>2</v>
      </c>
      <c r="H2001" s="3">
        <f t="shared" si="155"/>
        <v>5777.7428571428572</v>
      </c>
      <c r="J2001" t="s">
        <v>56</v>
      </c>
      <c r="K2001" t="s">
        <v>23</v>
      </c>
      <c r="L2001" s="2">
        <f t="shared" si="156"/>
        <v>2888.8714285714286</v>
      </c>
      <c r="M2001" s="4">
        <f t="shared" si="157"/>
        <v>0.6</v>
      </c>
      <c r="N2001" s="1">
        <f t="shared" si="158"/>
        <v>45782</v>
      </c>
      <c r="O2001" s="3">
        <f>(Table13[[#This Row],[Units_Sold]]*Table13[[#This Row],[Unit_Price_Cleaned]]*(1-Table13[[#This Row],[Discount Cleaned]]))</f>
        <v>2311.0971428571429</v>
      </c>
      <c r="P2001" t="str">
        <f t="shared" si="159"/>
        <v>Profit</v>
      </c>
      <c r="Q2001" t="str" cm="1">
        <f t="array" ref="Q2001">IF(K2001="",INDEX($K$2:$K$2501,MATCH(MAX(COUNTIF($K$2:$K$2501,$K$2:$K$2501)),COUNTIF($K$2:$K$2501,$K$2:$K$2501),0)),K2001)</f>
        <v>B2B</v>
      </c>
    </row>
    <row r="2002" spans="1:17" x14ac:dyDescent="0.3">
      <c r="A2002">
        <v>1034</v>
      </c>
      <c r="B2002" t="s">
        <v>2027</v>
      </c>
      <c r="C2002" t="s">
        <v>38</v>
      </c>
      <c r="D2002" t="s">
        <v>39</v>
      </c>
      <c r="E2002">
        <v>2</v>
      </c>
      <c r="H2002" s="3">
        <f t="shared" si="155"/>
        <v>6016.7688888888888</v>
      </c>
      <c r="I2002" s="1">
        <v>45557</v>
      </c>
      <c r="J2002" t="s">
        <v>56</v>
      </c>
      <c r="L2002" s="2">
        <f t="shared" si="156"/>
        <v>3008.3844444444444</v>
      </c>
      <c r="M2002" s="4">
        <f t="shared" si="157"/>
        <v>0.6</v>
      </c>
      <c r="N2002" s="1">
        <f t="shared" si="158"/>
        <v>45557</v>
      </c>
      <c r="O2002" s="3">
        <f>(Table13[[#This Row],[Units_Sold]]*Table13[[#This Row],[Unit_Price_Cleaned]]*(1-Table13[[#This Row],[Discount Cleaned]]))</f>
        <v>2406.7075555555557</v>
      </c>
      <c r="P2002" t="str">
        <f t="shared" si="159"/>
        <v>Profit</v>
      </c>
      <c r="Q2002" t="str" cm="1">
        <f t="array" ref="Q2002">IF(K2002="",INDEX($K$2:$K$2501,MATCH(MAX(COUNTIF($K$2:$K$2501,$K$2:$K$2501)),COUNTIF($K$2:$K$2501,$K$2:$K$2501),0)),K2002)</f>
        <v>B2B</v>
      </c>
    </row>
    <row r="2003" spans="1:17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 s="3">
        <f t="shared" si="155"/>
        <v>-1171.57</v>
      </c>
      <c r="I2003" s="1">
        <v>45601</v>
      </c>
      <c r="J2003" t="s">
        <v>46</v>
      </c>
      <c r="L2003" s="2">
        <f t="shared" si="156"/>
        <v>1171.57</v>
      </c>
      <c r="M2003" s="4">
        <f t="shared" si="157"/>
        <v>0.6</v>
      </c>
      <c r="N2003" s="1">
        <f t="shared" si="158"/>
        <v>45601</v>
      </c>
      <c r="O2003" s="3">
        <f>(Table13[[#This Row],[Units_Sold]]*Table13[[#This Row],[Unit_Price_Cleaned]]*(1-Table13[[#This Row],[Discount Cleaned]]))</f>
        <v>-468.62799999999999</v>
      </c>
      <c r="P2003" t="str">
        <f t="shared" si="159"/>
        <v>Loss</v>
      </c>
      <c r="Q2003" t="str" cm="1">
        <f t="array" ref="Q2003">IF(K2003="",INDEX($K$2:$K$2501,MATCH(MAX(COUNTIF($K$2:$K$2501,$K$2:$K$2501)),COUNTIF($K$2:$K$2501,$K$2:$K$2501),0)),K2003)</f>
        <v>B2B</v>
      </c>
    </row>
    <row r="2004" spans="1:17" x14ac:dyDescent="0.3">
      <c r="A2004">
        <v>1046</v>
      </c>
      <c r="B2004" t="s">
        <v>2029</v>
      </c>
      <c r="C2004" t="s">
        <v>33</v>
      </c>
      <c r="D2004" t="s">
        <v>44</v>
      </c>
      <c r="E2004">
        <v>2</v>
      </c>
      <c r="H2004" s="3">
        <f t="shared" si="155"/>
        <v>5683.5261224489814</v>
      </c>
      <c r="I2004" s="1">
        <v>45528</v>
      </c>
      <c r="J2004" t="s">
        <v>15</v>
      </c>
      <c r="K2004" t="s">
        <v>23</v>
      </c>
      <c r="L2004" s="2">
        <f t="shared" si="156"/>
        <v>2841.7630612244907</v>
      </c>
      <c r="M2004" s="4">
        <f t="shared" si="157"/>
        <v>0.6</v>
      </c>
      <c r="N2004" s="1">
        <f t="shared" si="158"/>
        <v>45528</v>
      </c>
      <c r="O2004" s="3">
        <f>(Table13[[#This Row],[Units_Sold]]*Table13[[#This Row],[Unit_Price_Cleaned]]*(1-Table13[[#This Row],[Discount Cleaned]]))</f>
        <v>2273.4104489795927</v>
      </c>
      <c r="P2004" t="str">
        <f t="shared" si="159"/>
        <v>Profit</v>
      </c>
      <c r="Q2004" t="str" cm="1">
        <f t="array" ref="Q2004">IF(K2004="",INDEX($K$2:$K$2501,MATCH(MAX(COUNTIF($K$2:$K$2501,$K$2:$K$2501)),COUNTIF($K$2:$K$2501,$K$2:$K$2501),0)),K2004)</f>
        <v>B2B</v>
      </c>
    </row>
    <row r="2005" spans="1:17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 s="3">
        <f t="shared" si="155"/>
        <v>-2785.0877966101693</v>
      </c>
      <c r="I2005" s="1">
        <v>45581</v>
      </c>
      <c r="J2005" t="s">
        <v>15</v>
      </c>
      <c r="K2005" t="s">
        <v>23</v>
      </c>
      <c r="L2005" s="2">
        <f t="shared" si="156"/>
        <v>2785.0877966101693</v>
      </c>
      <c r="M2005" s="4">
        <f t="shared" si="157"/>
        <v>0.6</v>
      </c>
      <c r="N2005" s="1">
        <f t="shared" si="158"/>
        <v>45581</v>
      </c>
      <c r="O2005" s="3">
        <f>(Table13[[#This Row],[Units_Sold]]*Table13[[#This Row],[Unit_Price_Cleaned]]*(1-Table13[[#This Row],[Discount Cleaned]]))</f>
        <v>-1114.0351186440678</v>
      </c>
      <c r="P2005" t="str">
        <f t="shared" si="159"/>
        <v>Loss</v>
      </c>
      <c r="Q2005" t="str" cm="1">
        <f t="array" ref="Q2005">IF(K2005="",INDEX($K$2:$K$2501,MATCH(MAX(COUNTIF($K$2:$K$2501,$K$2:$K$2501)),COUNTIF($K$2:$K$2501,$K$2:$K$2501),0)),K2005)</f>
        <v>B2B</v>
      </c>
    </row>
    <row r="2006" spans="1:17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 s="3">
        <f t="shared" si="155"/>
        <v>5278.9800000000005</v>
      </c>
      <c r="I2006" s="1">
        <v>45751</v>
      </c>
      <c r="J2006" t="s">
        <v>22</v>
      </c>
      <c r="L2006" s="2">
        <f t="shared" si="156"/>
        <v>1759.66</v>
      </c>
      <c r="M2006" s="4">
        <f t="shared" si="157"/>
        <v>0.6</v>
      </c>
      <c r="N2006" s="1">
        <f t="shared" si="158"/>
        <v>45751</v>
      </c>
      <c r="O2006" s="3">
        <f>(Table13[[#This Row],[Units_Sold]]*Table13[[#This Row],[Unit_Price_Cleaned]]*(1-Table13[[#This Row],[Discount Cleaned]]))</f>
        <v>2111.5920000000001</v>
      </c>
      <c r="P2006" t="str">
        <f t="shared" si="159"/>
        <v>Profit</v>
      </c>
      <c r="Q2006" t="str" cm="1">
        <f t="array" ref="Q2006">IF(K2006="",INDEX($K$2:$K$2501,MATCH(MAX(COUNTIF($K$2:$K$2501,$K$2:$K$2501)),COUNTIF($K$2:$K$2501,$K$2:$K$2501),0)),K2006)</f>
        <v>B2B</v>
      </c>
    </row>
    <row r="2007" spans="1:17" x14ac:dyDescent="0.3">
      <c r="A2007">
        <v>3005</v>
      </c>
      <c r="B2007" t="s">
        <v>2032</v>
      </c>
      <c r="C2007" t="s">
        <v>20</v>
      </c>
      <c r="D2007" t="s">
        <v>80</v>
      </c>
      <c r="E2007">
        <v>2</v>
      </c>
      <c r="H2007" s="3">
        <f t="shared" si="155"/>
        <v>4967.1688000000004</v>
      </c>
      <c r="I2007" s="1">
        <v>45420</v>
      </c>
      <c r="J2007" t="s">
        <v>56</v>
      </c>
      <c r="K2007" t="s">
        <v>16</v>
      </c>
      <c r="L2007" s="2">
        <f t="shared" si="156"/>
        <v>2483.5844000000002</v>
      </c>
      <c r="M2007" s="4">
        <f t="shared" si="157"/>
        <v>0.6</v>
      </c>
      <c r="N2007" s="1">
        <f t="shared" si="158"/>
        <v>45420</v>
      </c>
      <c r="O2007" s="3">
        <f>(Table13[[#This Row],[Units_Sold]]*Table13[[#This Row],[Unit_Price_Cleaned]]*(1-Table13[[#This Row],[Discount Cleaned]]))</f>
        <v>1986.8675200000002</v>
      </c>
      <c r="P2007" t="str">
        <f t="shared" si="159"/>
        <v>Profit</v>
      </c>
      <c r="Q2007" t="str" cm="1">
        <f t="array" ref="Q2007">IF(K2007="",INDEX($K$2:$K$2501,MATCH(MAX(COUNTIF($K$2:$K$2501,$K$2:$K$2501)),COUNTIF($K$2:$K$2501,$K$2:$K$2501),0)),K2007)</f>
        <v>B2C</v>
      </c>
    </row>
    <row r="2008" spans="1:17" x14ac:dyDescent="0.3">
      <c r="A2008">
        <v>3006</v>
      </c>
      <c r="B2008" t="s">
        <v>2033</v>
      </c>
      <c r="C2008" t="s">
        <v>25</v>
      </c>
      <c r="D2008" t="s">
        <v>26</v>
      </c>
      <c r="E2008">
        <v>2</v>
      </c>
      <c r="G2008">
        <v>1.26</v>
      </c>
      <c r="H2008" s="3">
        <f t="shared" si="155"/>
        <v>5777.7428571428572</v>
      </c>
      <c r="J2008" t="s">
        <v>46</v>
      </c>
      <c r="K2008" t="s">
        <v>23</v>
      </c>
      <c r="L2008" s="2">
        <f t="shared" si="156"/>
        <v>2888.8714285714286</v>
      </c>
      <c r="M2008" s="4">
        <f t="shared" si="157"/>
        <v>1.26</v>
      </c>
      <c r="N2008" s="1">
        <f t="shared" si="158"/>
        <v>45782</v>
      </c>
      <c r="O2008" s="3">
        <f>(Table13[[#This Row],[Units_Sold]]*Table13[[#This Row],[Unit_Price_Cleaned]]*(1-Table13[[#This Row],[Discount Cleaned]]))</f>
        <v>-1502.2131428571429</v>
      </c>
      <c r="P2008" t="str">
        <f t="shared" si="159"/>
        <v>Loss</v>
      </c>
      <c r="Q2008" t="str" cm="1">
        <f t="array" ref="Q2008">IF(K2008="",INDEX($K$2:$K$2501,MATCH(MAX(COUNTIF($K$2:$K$2501,$K$2:$K$2501)),COUNTIF($K$2:$K$2501,$K$2:$K$2501),0)),K2008)</f>
        <v>B2B</v>
      </c>
    </row>
    <row r="2009" spans="1:17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 s="3">
        <f t="shared" si="155"/>
        <v>-7844.02</v>
      </c>
      <c r="I2009" s="1">
        <v>45726</v>
      </c>
      <c r="J2009" t="s">
        <v>40</v>
      </c>
      <c r="K2009" t="s">
        <v>23</v>
      </c>
      <c r="L2009" s="2">
        <f t="shared" si="156"/>
        <v>3922.01</v>
      </c>
      <c r="M2009" s="4">
        <f t="shared" si="157"/>
        <v>0.6</v>
      </c>
      <c r="N2009" s="1">
        <f t="shared" si="158"/>
        <v>45726</v>
      </c>
      <c r="O2009" s="3">
        <f>(Table13[[#This Row],[Units_Sold]]*Table13[[#This Row],[Unit_Price_Cleaned]]*(1-Table13[[#This Row],[Discount Cleaned]]))</f>
        <v>-3137.6080000000002</v>
      </c>
      <c r="P2009" t="str">
        <f t="shared" si="159"/>
        <v>Loss</v>
      </c>
      <c r="Q2009" t="str" cm="1">
        <f t="array" ref="Q2009">IF(K2009="",INDEX($K$2:$K$2501,MATCH(MAX(COUNTIF($K$2:$K$2501,$K$2:$K$2501)),COUNTIF($K$2:$K$2501,$K$2:$K$2501),0)),K2009)</f>
        <v>B2B</v>
      </c>
    </row>
    <row r="2010" spans="1:17" x14ac:dyDescent="0.3">
      <c r="A2010">
        <v>3008</v>
      </c>
      <c r="B2010" t="s">
        <v>2035</v>
      </c>
      <c r="C2010" t="s">
        <v>29</v>
      </c>
      <c r="D2010" t="s">
        <v>42</v>
      </c>
      <c r="E2010">
        <v>2</v>
      </c>
      <c r="F2010">
        <v>2880.85</v>
      </c>
      <c r="H2010" s="3">
        <f t="shared" si="155"/>
        <v>5761.7</v>
      </c>
      <c r="I2010" s="1">
        <v>45798</v>
      </c>
      <c r="J2010" t="s">
        <v>15</v>
      </c>
      <c r="K2010" t="s">
        <v>16</v>
      </c>
      <c r="L2010" s="2">
        <f t="shared" si="156"/>
        <v>2880.85</v>
      </c>
      <c r="M2010" s="4">
        <f t="shared" si="157"/>
        <v>0.6</v>
      </c>
      <c r="N2010" s="1">
        <f t="shared" si="158"/>
        <v>45798</v>
      </c>
      <c r="O2010" s="3">
        <f>(Table13[[#This Row],[Units_Sold]]*Table13[[#This Row],[Unit_Price_Cleaned]]*(1-Table13[[#This Row],[Discount Cleaned]]))</f>
        <v>2304.6799999999998</v>
      </c>
      <c r="P2010" t="str">
        <f t="shared" si="159"/>
        <v>Profit</v>
      </c>
      <c r="Q2010" t="str" cm="1">
        <f t="array" ref="Q2010">IF(K2010="",INDEX($K$2:$K$2501,MATCH(MAX(COUNTIF($K$2:$K$2501,$K$2:$K$2501)),COUNTIF($K$2:$K$2501,$K$2:$K$2501),0)),K2010)</f>
        <v>B2C</v>
      </c>
    </row>
    <row r="2011" spans="1:17" x14ac:dyDescent="0.3">
      <c r="A2011">
        <v>3009</v>
      </c>
      <c r="B2011" t="s">
        <v>2036</v>
      </c>
      <c r="C2011" t="s">
        <v>13</v>
      </c>
      <c r="D2011" t="s">
        <v>14</v>
      </c>
      <c r="E2011">
        <v>2</v>
      </c>
      <c r="H2011" s="3">
        <f t="shared" si="155"/>
        <v>4762.5355172413792</v>
      </c>
      <c r="I2011" s="1">
        <v>45730</v>
      </c>
      <c r="J2011" t="s">
        <v>40</v>
      </c>
      <c r="K2011" t="s">
        <v>16</v>
      </c>
      <c r="L2011" s="2">
        <f t="shared" si="156"/>
        <v>2381.2677586206896</v>
      </c>
      <c r="M2011" s="4">
        <f t="shared" si="157"/>
        <v>0.6</v>
      </c>
      <c r="N2011" s="1">
        <f t="shared" si="158"/>
        <v>45730</v>
      </c>
      <c r="O2011" s="3">
        <f>(Table13[[#This Row],[Units_Sold]]*Table13[[#This Row],[Unit_Price_Cleaned]]*(1-Table13[[#This Row],[Discount Cleaned]]))</f>
        <v>1905.0142068965517</v>
      </c>
      <c r="P2011" t="str">
        <f t="shared" si="159"/>
        <v>Profit</v>
      </c>
      <c r="Q2011" t="str" cm="1">
        <f t="array" ref="Q2011">IF(K2011="",INDEX($K$2:$K$2501,MATCH(MAX(COUNTIF($K$2:$K$2501,$K$2:$K$2501)),COUNTIF($K$2:$K$2501,$K$2:$K$2501),0)),K2011)</f>
        <v>B2C</v>
      </c>
    </row>
    <row r="2012" spans="1:17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 s="3">
        <f t="shared" si="155"/>
        <v>-5362.348727272727</v>
      </c>
      <c r="I2012" s="1">
        <v>45565</v>
      </c>
      <c r="J2012" t="s">
        <v>56</v>
      </c>
      <c r="K2012" t="s">
        <v>16</v>
      </c>
      <c r="L2012" s="2">
        <f t="shared" si="156"/>
        <v>2681.1743636363635</v>
      </c>
      <c r="M2012" s="4">
        <f t="shared" si="157"/>
        <v>0.68</v>
      </c>
      <c r="N2012" s="1">
        <f t="shared" si="158"/>
        <v>45565</v>
      </c>
      <c r="O2012" s="3">
        <f>(Table13[[#This Row],[Units_Sold]]*Table13[[#This Row],[Unit_Price_Cleaned]]*(1-Table13[[#This Row],[Discount Cleaned]]))</f>
        <v>-1715.9515927272723</v>
      </c>
      <c r="P2012" t="str">
        <f t="shared" si="159"/>
        <v>Loss</v>
      </c>
      <c r="Q2012" t="str" cm="1">
        <f t="array" ref="Q2012">IF(K2012="",INDEX($K$2:$K$2501,MATCH(MAX(COUNTIF($K$2:$K$2501,$K$2:$K$2501)),COUNTIF($K$2:$K$2501,$K$2:$K$2501),0)),K2012)</f>
        <v>B2C</v>
      </c>
    </row>
    <row r="2013" spans="1:17" x14ac:dyDescent="0.3">
      <c r="A2013">
        <v>3011</v>
      </c>
      <c r="B2013" t="s">
        <v>2038</v>
      </c>
      <c r="C2013" t="s">
        <v>29</v>
      </c>
      <c r="D2013" t="s">
        <v>30</v>
      </c>
      <c r="E2013">
        <v>2</v>
      </c>
      <c r="F2013">
        <v>4016.78</v>
      </c>
      <c r="G2013">
        <v>1.03</v>
      </c>
      <c r="H2013" s="3">
        <f t="shared" si="155"/>
        <v>8033.56</v>
      </c>
      <c r="I2013" s="1">
        <v>45780</v>
      </c>
      <c r="J2013" t="s">
        <v>15</v>
      </c>
      <c r="K2013" t="s">
        <v>23</v>
      </c>
      <c r="L2013" s="2">
        <f t="shared" si="156"/>
        <v>4016.78</v>
      </c>
      <c r="M2013" s="4">
        <f t="shared" si="157"/>
        <v>1.03</v>
      </c>
      <c r="N2013" s="1">
        <f t="shared" si="158"/>
        <v>45780</v>
      </c>
      <c r="O2013" s="3">
        <f>(Table13[[#This Row],[Units_Sold]]*Table13[[#This Row],[Unit_Price_Cleaned]]*(1-Table13[[#This Row],[Discount Cleaned]]))</f>
        <v>-241.00680000000023</v>
      </c>
      <c r="P2013" t="str">
        <f t="shared" si="159"/>
        <v>Loss</v>
      </c>
      <c r="Q2013" t="str" cm="1">
        <f t="array" ref="Q2013">IF(K2013="",INDEX($K$2:$K$2501,MATCH(MAX(COUNTIF($K$2:$K$2501,$K$2:$K$2501)),COUNTIF($K$2:$K$2501,$K$2:$K$2501),0)),K2013)</f>
        <v>B2B</v>
      </c>
    </row>
    <row r="2014" spans="1:17" x14ac:dyDescent="0.3">
      <c r="A2014">
        <v>3012</v>
      </c>
      <c r="B2014" t="s">
        <v>2039</v>
      </c>
      <c r="C2014" t="s">
        <v>29</v>
      </c>
      <c r="D2014" t="s">
        <v>141</v>
      </c>
      <c r="E2014">
        <v>2</v>
      </c>
      <c r="F2014">
        <v>673.96</v>
      </c>
      <c r="H2014" s="3">
        <f t="shared" si="155"/>
        <v>1347.92</v>
      </c>
      <c r="J2014" t="s">
        <v>40</v>
      </c>
      <c r="K2014" t="s">
        <v>23</v>
      </c>
      <c r="L2014" s="2">
        <f t="shared" si="156"/>
        <v>673.96</v>
      </c>
      <c r="M2014" s="4">
        <f t="shared" si="157"/>
        <v>0.6</v>
      </c>
      <c r="N2014" s="1">
        <f t="shared" si="158"/>
        <v>45782</v>
      </c>
      <c r="O2014" s="3">
        <f>(Table13[[#This Row],[Units_Sold]]*Table13[[#This Row],[Unit_Price_Cleaned]]*(1-Table13[[#This Row],[Discount Cleaned]]))</f>
        <v>539.16800000000001</v>
      </c>
      <c r="P2014" t="str">
        <f t="shared" si="159"/>
        <v>Profit</v>
      </c>
      <c r="Q2014" t="str" cm="1">
        <f t="array" ref="Q2014">IF(K2014="",INDEX($K$2:$K$2501,MATCH(MAX(COUNTIF($K$2:$K$2501,$K$2:$K$2501)),COUNTIF($K$2:$K$2501,$K$2:$K$2501),0)),K2014)</f>
        <v>B2B</v>
      </c>
    </row>
    <row r="2015" spans="1:17" x14ac:dyDescent="0.3">
      <c r="A2015">
        <v>3013</v>
      </c>
      <c r="B2015" t="s">
        <v>2040</v>
      </c>
      <c r="C2015" t="s">
        <v>33</v>
      </c>
      <c r="D2015" t="s">
        <v>82</v>
      </c>
      <c r="E2015">
        <v>2</v>
      </c>
      <c r="G2015">
        <v>0.66</v>
      </c>
      <c r="H2015" s="3">
        <f t="shared" si="155"/>
        <v>5552.4404000000004</v>
      </c>
      <c r="I2015" s="1">
        <v>45689</v>
      </c>
      <c r="J2015" t="s">
        <v>40</v>
      </c>
      <c r="L2015" s="2">
        <f t="shared" si="156"/>
        <v>2776.2202000000002</v>
      </c>
      <c r="M2015" s="4">
        <f t="shared" si="157"/>
        <v>0.66</v>
      </c>
      <c r="N2015" s="1">
        <f t="shared" si="158"/>
        <v>45689</v>
      </c>
      <c r="O2015" s="3">
        <f>(Table13[[#This Row],[Units_Sold]]*Table13[[#This Row],[Unit_Price_Cleaned]]*(1-Table13[[#This Row],[Discount Cleaned]]))</f>
        <v>1887.8297359999999</v>
      </c>
      <c r="P2015" t="str">
        <f t="shared" si="159"/>
        <v>Profit</v>
      </c>
      <c r="Q2015" t="str" cm="1">
        <f t="array" ref="Q2015">IF(K2015="",INDEX($K$2:$K$2501,MATCH(MAX(COUNTIF($K$2:$K$2501,$K$2:$K$2501)),COUNTIF($K$2:$K$2501,$K$2:$K$2501),0)),K2015)</f>
        <v>B2B</v>
      </c>
    </row>
    <row r="2016" spans="1:17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 s="3">
        <f t="shared" si="155"/>
        <v>5552.4404000000004</v>
      </c>
      <c r="I2016" s="1">
        <v>45840</v>
      </c>
      <c r="J2016" t="s">
        <v>15</v>
      </c>
      <c r="K2016" t="s">
        <v>23</v>
      </c>
      <c r="L2016" s="2">
        <f t="shared" si="156"/>
        <v>2776.2202000000002</v>
      </c>
      <c r="M2016" s="4">
        <f t="shared" si="157"/>
        <v>0.6</v>
      </c>
      <c r="N2016" s="1">
        <f t="shared" si="158"/>
        <v>45840</v>
      </c>
      <c r="O2016" s="3">
        <f>(Table13[[#This Row],[Units_Sold]]*Table13[[#This Row],[Unit_Price_Cleaned]]*(1-Table13[[#This Row],[Discount Cleaned]]))</f>
        <v>2220.9761600000002</v>
      </c>
      <c r="P2016" t="str">
        <f t="shared" si="159"/>
        <v>Profit</v>
      </c>
      <c r="Q2016" t="str" cm="1">
        <f t="array" ref="Q2016">IF(K2016="",INDEX($K$2:$K$2501,MATCH(MAX(COUNTIF($K$2:$K$2501,$K$2:$K$2501)),COUNTIF($K$2:$K$2501,$K$2:$K$2501),0)),K2016)</f>
        <v>B2B</v>
      </c>
    </row>
    <row r="2017" spans="1:17" x14ac:dyDescent="0.3">
      <c r="A2017">
        <v>3015</v>
      </c>
      <c r="B2017" t="s">
        <v>2042</v>
      </c>
      <c r="C2017" t="s">
        <v>13</v>
      </c>
      <c r="D2017" t="s">
        <v>102</v>
      </c>
      <c r="E2017">
        <v>2</v>
      </c>
      <c r="F2017">
        <v>3211</v>
      </c>
      <c r="G2017">
        <v>0.56000000000000005</v>
      </c>
      <c r="H2017" s="3">
        <f t="shared" si="155"/>
        <v>6422</v>
      </c>
      <c r="I2017" s="1">
        <v>45601</v>
      </c>
      <c r="J2017" t="s">
        <v>15</v>
      </c>
      <c r="K2017" t="s">
        <v>16</v>
      </c>
      <c r="L2017" s="2">
        <f t="shared" si="156"/>
        <v>3211</v>
      </c>
      <c r="M2017" s="4">
        <f t="shared" si="157"/>
        <v>0.56000000000000005</v>
      </c>
      <c r="N2017" s="1">
        <f t="shared" si="158"/>
        <v>45601</v>
      </c>
      <c r="O2017" s="3">
        <f>(Table13[[#This Row],[Units_Sold]]*Table13[[#This Row],[Unit_Price_Cleaned]]*(1-Table13[[#This Row],[Discount Cleaned]]))</f>
        <v>2825.68</v>
      </c>
      <c r="P2017" t="str">
        <f t="shared" si="159"/>
        <v>Profit</v>
      </c>
      <c r="Q2017" t="str" cm="1">
        <f t="array" ref="Q2017">IF(K2017="",INDEX($K$2:$K$2501,MATCH(MAX(COUNTIF($K$2:$K$2501,$K$2:$K$2501)),COUNTIF($K$2:$K$2501,$K$2:$K$2501),0)),K2017)</f>
        <v>B2C</v>
      </c>
    </row>
    <row r="2018" spans="1:17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 s="3">
        <f t="shared" si="155"/>
        <v>13088.195192307694</v>
      </c>
      <c r="I2018" s="1">
        <v>45642</v>
      </c>
      <c r="J2018" t="s">
        <v>56</v>
      </c>
      <c r="K2018" t="s">
        <v>16</v>
      </c>
      <c r="L2018" s="2">
        <f t="shared" si="156"/>
        <v>2617.6390384615388</v>
      </c>
      <c r="M2018" s="4">
        <f t="shared" si="157"/>
        <v>0.6</v>
      </c>
      <c r="N2018" s="1">
        <f t="shared" si="158"/>
        <v>45642</v>
      </c>
      <c r="O2018" s="3">
        <f>(Table13[[#This Row],[Units_Sold]]*Table13[[#This Row],[Unit_Price_Cleaned]]*(1-Table13[[#This Row],[Discount Cleaned]]))</f>
        <v>5235.2780769230776</v>
      </c>
      <c r="P2018" t="str">
        <f t="shared" si="159"/>
        <v>Profit</v>
      </c>
      <c r="Q2018" t="str" cm="1">
        <f t="array" ref="Q2018">IF(K2018="",INDEX($K$2:$K$2501,MATCH(MAX(COUNTIF($K$2:$K$2501,$K$2:$K$2501)),COUNTIF($K$2:$K$2501,$K$2:$K$2501),0)),K2018)</f>
        <v>B2C</v>
      </c>
    </row>
    <row r="2019" spans="1:17" x14ac:dyDescent="0.3">
      <c r="A2019">
        <v>3017</v>
      </c>
      <c r="B2019" t="s">
        <v>2044</v>
      </c>
      <c r="C2019" t="s">
        <v>25</v>
      </c>
      <c r="D2019" t="s">
        <v>86</v>
      </c>
      <c r="E2019">
        <v>2</v>
      </c>
      <c r="H2019" s="3">
        <f t="shared" si="155"/>
        <v>5003.0619999999999</v>
      </c>
      <c r="I2019" s="1">
        <v>45641</v>
      </c>
      <c r="J2019" t="s">
        <v>18</v>
      </c>
      <c r="K2019" t="s">
        <v>16</v>
      </c>
      <c r="L2019" s="2">
        <f t="shared" si="156"/>
        <v>2501.5309999999999</v>
      </c>
      <c r="M2019" s="4">
        <f t="shared" si="157"/>
        <v>0.6</v>
      </c>
      <c r="N2019" s="1">
        <f t="shared" si="158"/>
        <v>45641</v>
      </c>
      <c r="O2019" s="3">
        <f>(Table13[[#This Row],[Units_Sold]]*Table13[[#This Row],[Unit_Price_Cleaned]]*(1-Table13[[#This Row],[Discount Cleaned]]))</f>
        <v>2001.2248</v>
      </c>
      <c r="P2019" t="str">
        <f t="shared" si="159"/>
        <v>Profit</v>
      </c>
      <c r="Q2019" t="str" cm="1">
        <f t="array" ref="Q2019">IF(K2019="",INDEX($K$2:$K$2501,MATCH(MAX(COUNTIF($K$2:$K$2501,$K$2:$K$2501)),COUNTIF($K$2:$K$2501,$K$2:$K$2501),0)),K2019)</f>
        <v>B2C</v>
      </c>
    </row>
    <row r="2020" spans="1:17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 s="3">
        <f t="shared" si="155"/>
        <v>0</v>
      </c>
      <c r="I2020" s="1">
        <v>45623</v>
      </c>
      <c r="J2020" t="s">
        <v>56</v>
      </c>
      <c r="L2020" s="2">
        <f t="shared" si="156"/>
        <v>4744.8599999999997</v>
      </c>
      <c r="M2020" s="4">
        <f t="shared" si="157"/>
        <v>0.6</v>
      </c>
      <c r="N2020" s="1">
        <f t="shared" si="158"/>
        <v>45623</v>
      </c>
      <c r="O2020" s="3">
        <f>(Table13[[#This Row],[Units_Sold]]*Table13[[#This Row],[Unit_Price_Cleaned]]*(1-Table13[[#This Row],[Discount Cleaned]]))</f>
        <v>0</v>
      </c>
      <c r="P2020" t="str">
        <f t="shared" si="159"/>
        <v>Loss</v>
      </c>
      <c r="Q2020" t="str" cm="1">
        <f t="array" ref="Q2020">IF(K2020="",INDEX($K$2:$K$2501,MATCH(MAX(COUNTIF($K$2:$K$2501,$K$2:$K$2501)),COUNTIF($K$2:$K$2501,$K$2:$K$2501),0)),K2020)</f>
        <v>B2B</v>
      </c>
    </row>
    <row r="2021" spans="1:17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 s="3">
        <f t="shared" si="155"/>
        <v>0</v>
      </c>
      <c r="I2021" s="1">
        <v>45570</v>
      </c>
      <c r="J2021" t="s">
        <v>56</v>
      </c>
      <c r="K2021" t="s">
        <v>16</v>
      </c>
      <c r="L2021" s="2">
        <f t="shared" si="156"/>
        <v>2705.09</v>
      </c>
      <c r="M2021" s="4">
        <f t="shared" si="157"/>
        <v>0.6</v>
      </c>
      <c r="N2021" s="1">
        <f t="shared" si="158"/>
        <v>45570</v>
      </c>
      <c r="O2021" s="3">
        <f>(Table13[[#This Row],[Units_Sold]]*Table13[[#This Row],[Unit_Price_Cleaned]]*(1-Table13[[#This Row],[Discount Cleaned]]))</f>
        <v>0</v>
      </c>
      <c r="P2021" t="str">
        <f t="shared" si="159"/>
        <v>Loss</v>
      </c>
      <c r="Q2021" t="str" cm="1">
        <f t="array" ref="Q2021">IF(K2021="",INDEX($K$2:$K$2501,MATCH(MAX(COUNTIF($K$2:$K$2501,$K$2:$K$2501)),COUNTIF($K$2:$K$2501,$K$2:$K$2501),0)),K2021)</f>
        <v>B2C</v>
      </c>
    </row>
    <row r="2022" spans="1:17" x14ac:dyDescent="0.3">
      <c r="A2022">
        <v>3020</v>
      </c>
      <c r="B2022" t="s">
        <v>2047</v>
      </c>
      <c r="C2022" t="s">
        <v>25</v>
      </c>
      <c r="D2022" t="s">
        <v>86</v>
      </c>
      <c r="E2022">
        <v>2</v>
      </c>
      <c r="H2022" s="3">
        <f t="shared" si="155"/>
        <v>5003.0619999999999</v>
      </c>
      <c r="I2022" s="1">
        <v>45525</v>
      </c>
      <c r="J2022" t="s">
        <v>40</v>
      </c>
      <c r="K2022" t="s">
        <v>23</v>
      </c>
      <c r="L2022" s="2">
        <f t="shared" si="156"/>
        <v>2501.5309999999999</v>
      </c>
      <c r="M2022" s="4">
        <f t="shared" si="157"/>
        <v>0.6</v>
      </c>
      <c r="N2022" s="1">
        <f t="shared" si="158"/>
        <v>45525</v>
      </c>
      <c r="O2022" s="3">
        <f>(Table13[[#This Row],[Units_Sold]]*Table13[[#This Row],[Unit_Price_Cleaned]]*(1-Table13[[#This Row],[Discount Cleaned]]))</f>
        <v>2001.2248</v>
      </c>
      <c r="P2022" t="str">
        <f t="shared" si="159"/>
        <v>Profit</v>
      </c>
      <c r="Q2022" t="str" cm="1">
        <f t="array" ref="Q2022">IF(K2022="",INDEX($K$2:$K$2501,MATCH(MAX(COUNTIF($K$2:$K$2501,$K$2:$K$2501)),COUNTIF($K$2:$K$2501,$K$2:$K$2501),0)),K2022)</f>
        <v>B2B</v>
      </c>
    </row>
    <row r="2023" spans="1:17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 s="3">
        <f t="shared" si="155"/>
        <v>7450.753200000001</v>
      </c>
      <c r="I2023" s="1">
        <v>45692</v>
      </c>
      <c r="J2023" t="s">
        <v>22</v>
      </c>
      <c r="K2023" t="s">
        <v>23</v>
      </c>
      <c r="L2023" s="2">
        <f t="shared" si="156"/>
        <v>2483.5844000000002</v>
      </c>
      <c r="M2023" s="4">
        <f t="shared" si="157"/>
        <v>0.6</v>
      </c>
      <c r="N2023" s="1">
        <f t="shared" si="158"/>
        <v>45692</v>
      </c>
      <c r="O2023" s="3">
        <f>(Table13[[#This Row],[Units_Sold]]*Table13[[#This Row],[Unit_Price_Cleaned]]*(1-Table13[[#This Row],[Discount Cleaned]]))</f>
        <v>2980.3012800000006</v>
      </c>
      <c r="P2023" t="str">
        <f t="shared" si="159"/>
        <v>Profit</v>
      </c>
      <c r="Q2023" t="str" cm="1">
        <f t="array" ref="Q2023">IF(K2023="",INDEX($K$2:$K$2501,MATCH(MAX(COUNTIF($K$2:$K$2501,$K$2:$K$2501)),COUNTIF($K$2:$K$2501,$K$2:$K$2501),0)),K2023)</f>
        <v>B2B</v>
      </c>
    </row>
    <row r="2024" spans="1:17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 s="3">
        <f t="shared" si="155"/>
        <v>5086.83</v>
      </c>
      <c r="I2024" s="1">
        <v>45512</v>
      </c>
      <c r="J2024" t="s">
        <v>15</v>
      </c>
      <c r="K2024" t="s">
        <v>16</v>
      </c>
      <c r="L2024" s="2">
        <f t="shared" si="156"/>
        <v>1695.61</v>
      </c>
      <c r="M2024" s="4">
        <f t="shared" si="157"/>
        <v>0.6</v>
      </c>
      <c r="N2024" s="1">
        <f t="shared" si="158"/>
        <v>45512</v>
      </c>
      <c r="O2024" s="3">
        <f>(Table13[[#This Row],[Units_Sold]]*Table13[[#This Row],[Unit_Price_Cleaned]]*(1-Table13[[#This Row],[Discount Cleaned]]))</f>
        <v>2034.732</v>
      </c>
      <c r="P2024" t="str">
        <f t="shared" si="159"/>
        <v>Profit</v>
      </c>
      <c r="Q2024" t="str" cm="1">
        <f t="array" ref="Q2024">IF(K2024="",INDEX($K$2:$K$2501,MATCH(MAX(COUNTIF($K$2:$K$2501,$K$2:$K$2501)),COUNTIF($K$2:$K$2501,$K$2:$K$2501),0)),K2024)</f>
        <v>B2C</v>
      </c>
    </row>
    <row r="2025" spans="1:17" x14ac:dyDescent="0.3">
      <c r="A2025">
        <v>3023</v>
      </c>
      <c r="B2025" t="s">
        <v>2050</v>
      </c>
      <c r="C2025" t="s">
        <v>33</v>
      </c>
      <c r="D2025" t="s">
        <v>44</v>
      </c>
      <c r="E2025">
        <v>2</v>
      </c>
      <c r="H2025" s="3">
        <f t="shared" si="155"/>
        <v>5683.5261224489814</v>
      </c>
      <c r="I2025" s="1">
        <v>45166</v>
      </c>
      <c r="J2025" t="s">
        <v>15</v>
      </c>
      <c r="K2025" t="s">
        <v>16</v>
      </c>
      <c r="L2025" s="2">
        <f t="shared" si="156"/>
        <v>2841.7630612244907</v>
      </c>
      <c r="M2025" s="4">
        <f t="shared" si="157"/>
        <v>0.6</v>
      </c>
      <c r="N2025" s="1">
        <f t="shared" si="158"/>
        <v>45166</v>
      </c>
      <c r="O2025" s="3">
        <f>(Table13[[#This Row],[Units_Sold]]*Table13[[#This Row],[Unit_Price_Cleaned]]*(1-Table13[[#This Row],[Discount Cleaned]]))</f>
        <v>2273.4104489795927</v>
      </c>
      <c r="P2025" t="str">
        <f t="shared" si="159"/>
        <v>Profit</v>
      </c>
      <c r="Q2025" t="str" cm="1">
        <f t="array" ref="Q2025">IF(K2025="",INDEX($K$2:$K$2501,MATCH(MAX(COUNTIF($K$2:$K$2501,$K$2:$K$2501)),COUNTIF($K$2:$K$2501,$K$2:$K$2501),0)),K2025)</f>
        <v>B2C</v>
      </c>
    </row>
    <row r="2026" spans="1:17" x14ac:dyDescent="0.3">
      <c r="A2026">
        <v>3024</v>
      </c>
      <c r="B2026" t="s">
        <v>2051</v>
      </c>
      <c r="C2026" t="s">
        <v>33</v>
      </c>
      <c r="D2026" t="s">
        <v>72</v>
      </c>
      <c r="E2026">
        <v>2</v>
      </c>
      <c r="G2026">
        <v>0.18</v>
      </c>
      <c r="H2026" s="3">
        <f t="shared" si="155"/>
        <v>5431.091698113205</v>
      </c>
      <c r="J2026" t="s">
        <v>22</v>
      </c>
      <c r="L2026" s="2">
        <f t="shared" si="156"/>
        <v>2715.5458490566025</v>
      </c>
      <c r="M2026" s="4">
        <f t="shared" si="157"/>
        <v>0.18</v>
      </c>
      <c r="N2026" s="1">
        <f t="shared" si="158"/>
        <v>45782</v>
      </c>
      <c r="O2026" s="3">
        <f>(Table13[[#This Row],[Units_Sold]]*Table13[[#This Row],[Unit_Price_Cleaned]]*(1-Table13[[#This Row],[Discount Cleaned]]))</f>
        <v>4453.4951924528286</v>
      </c>
      <c r="P2026" t="str">
        <f t="shared" si="159"/>
        <v>Profit</v>
      </c>
      <c r="Q2026" t="str" cm="1">
        <f t="array" ref="Q2026">IF(K2026="",INDEX($K$2:$K$2501,MATCH(MAX(COUNTIF($K$2:$K$2501,$K$2:$K$2501)),COUNTIF($K$2:$K$2501,$K$2:$K$2501),0)),K2026)</f>
        <v>B2B</v>
      </c>
    </row>
    <row r="2027" spans="1:17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 s="3">
        <f t="shared" si="155"/>
        <v>5235.2780769230776</v>
      </c>
      <c r="I2027" s="1">
        <v>45284</v>
      </c>
      <c r="J2027" t="s">
        <v>40</v>
      </c>
      <c r="K2027" t="s">
        <v>16</v>
      </c>
      <c r="L2027" s="2">
        <f t="shared" si="156"/>
        <v>2617.6390384615388</v>
      </c>
      <c r="M2027" s="4">
        <f t="shared" si="157"/>
        <v>0.6</v>
      </c>
      <c r="N2027" s="1">
        <f t="shared" si="158"/>
        <v>45284</v>
      </c>
      <c r="O2027" s="3">
        <f>(Table13[[#This Row],[Units_Sold]]*Table13[[#This Row],[Unit_Price_Cleaned]]*(1-Table13[[#This Row],[Discount Cleaned]]))</f>
        <v>2094.111230769231</v>
      </c>
      <c r="P2027" t="str">
        <f t="shared" si="159"/>
        <v>Profit</v>
      </c>
      <c r="Q2027" t="str" cm="1">
        <f t="array" ref="Q2027">IF(K2027="",INDEX($K$2:$K$2501,MATCH(MAX(COUNTIF($K$2:$K$2501,$K$2:$K$2501)),COUNTIF($K$2:$K$2501,$K$2:$K$2501),0)),K2027)</f>
        <v>B2C</v>
      </c>
    </row>
    <row r="2028" spans="1:17" x14ac:dyDescent="0.3">
      <c r="A2028">
        <v>3026</v>
      </c>
      <c r="B2028" t="s">
        <v>2053</v>
      </c>
      <c r="C2028" t="s">
        <v>13</v>
      </c>
      <c r="D2028" t="s">
        <v>49</v>
      </c>
      <c r="E2028">
        <v>2</v>
      </c>
      <c r="F2028">
        <v>3345.45</v>
      </c>
      <c r="H2028" s="3">
        <f t="shared" si="155"/>
        <v>6690.9</v>
      </c>
      <c r="I2028" s="1">
        <v>45512</v>
      </c>
      <c r="J2028" t="s">
        <v>56</v>
      </c>
      <c r="K2028" t="s">
        <v>16</v>
      </c>
      <c r="L2028" s="2">
        <f t="shared" si="156"/>
        <v>3345.45</v>
      </c>
      <c r="M2028" s="4">
        <f t="shared" si="157"/>
        <v>0.6</v>
      </c>
      <c r="N2028" s="1">
        <f t="shared" si="158"/>
        <v>45512</v>
      </c>
      <c r="O2028" s="3">
        <f>(Table13[[#This Row],[Units_Sold]]*Table13[[#This Row],[Unit_Price_Cleaned]]*(1-Table13[[#This Row],[Discount Cleaned]]))</f>
        <v>2676.36</v>
      </c>
      <c r="P2028" t="str">
        <f t="shared" si="159"/>
        <v>Profit</v>
      </c>
      <c r="Q2028" t="str" cm="1">
        <f t="array" ref="Q2028">IF(K2028="",INDEX($K$2:$K$2501,MATCH(MAX(COUNTIF($K$2:$K$2501,$K$2:$K$2501)),COUNTIF($K$2:$K$2501,$K$2:$K$2501),0)),K2028)</f>
        <v>B2C</v>
      </c>
    </row>
    <row r="2029" spans="1:17" x14ac:dyDescent="0.3">
      <c r="A2029">
        <v>3027</v>
      </c>
      <c r="B2029" t="s">
        <v>2054</v>
      </c>
      <c r="C2029" t="s">
        <v>29</v>
      </c>
      <c r="D2029" t="s">
        <v>120</v>
      </c>
      <c r="E2029">
        <v>2</v>
      </c>
      <c r="H2029" s="3">
        <f t="shared" si="155"/>
        <v>5660.2651428571462</v>
      </c>
      <c r="I2029" s="1">
        <v>45595</v>
      </c>
      <c r="J2029" t="s">
        <v>22</v>
      </c>
      <c r="K2029" t="s">
        <v>23</v>
      </c>
      <c r="L2029" s="2">
        <f t="shared" si="156"/>
        <v>2830.1325714285731</v>
      </c>
      <c r="M2029" s="4">
        <f t="shared" si="157"/>
        <v>0.6</v>
      </c>
      <c r="N2029" s="1">
        <f t="shared" si="158"/>
        <v>45595</v>
      </c>
      <c r="O2029" s="3">
        <f>(Table13[[#This Row],[Units_Sold]]*Table13[[#This Row],[Unit_Price_Cleaned]]*(1-Table13[[#This Row],[Discount Cleaned]]))</f>
        <v>2264.1060571428584</v>
      </c>
      <c r="P2029" t="str">
        <f t="shared" si="159"/>
        <v>Profit</v>
      </c>
      <c r="Q2029" t="str" cm="1">
        <f t="array" ref="Q2029">IF(K2029="",INDEX($K$2:$K$2501,MATCH(MAX(COUNTIF($K$2:$K$2501,$K$2:$K$2501)),COUNTIF($K$2:$K$2501,$K$2:$K$2501),0)),K2029)</f>
        <v>B2B</v>
      </c>
    </row>
    <row r="2030" spans="1:17" x14ac:dyDescent="0.3">
      <c r="A2030">
        <v>3028</v>
      </c>
      <c r="B2030" t="s">
        <v>2055</v>
      </c>
      <c r="C2030" t="s">
        <v>25</v>
      </c>
      <c r="D2030" t="s">
        <v>66</v>
      </c>
      <c r="E2030">
        <v>2</v>
      </c>
      <c r="G2030">
        <v>0.74</v>
      </c>
      <c r="H2030" s="3">
        <f t="shared" si="155"/>
        <v>5145.5528000000013</v>
      </c>
      <c r="I2030" s="1">
        <v>45664</v>
      </c>
      <c r="J2030" t="s">
        <v>40</v>
      </c>
      <c r="L2030" s="2">
        <f t="shared" si="156"/>
        <v>2572.7764000000006</v>
      </c>
      <c r="M2030" s="4">
        <f t="shared" si="157"/>
        <v>0.74</v>
      </c>
      <c r="N2030" s="1">
        <f t="shared" si="158"/>
        <v>45664</v>
      </c>
      <c r="O2030" s="3">
        <f>(Table13[[#This Row],[Units_Sold]]*Table13[[#This Row],[Unit_Price_Cleaned]]*(1-Table13[[#This Row],[Discount Cleaned]]))</f>
        <v>1337.8437280000003</v>
      </c>
      <c r="P2030" t="str">
        <f t="shared" si="159"/>
        <v>Profit</v>
      </c>
      <c r="Q2030" t="str" cm="1">
        <f t="array" ref="Q2030">IF(K2030="",INDEX($K$2:$K$2501,MATCH(MAX(COUNTIF($K$2:$K$2501,$K$2:$K$2501)),COUNTIF($K$2:$K$2501,$K$2:$K$2501),0)),K2030)</f>
        <v>B2B</v>
      </c>
    </row>
    <row r="2031" spans="1:17" x14ac:dyDescent="0.3">
      <c r="A2031">
        <v>1031</v>
      </c>
      <c r="B2031" t="s">
        <v>2056</v>
      </c>
      <c r="C2031" t="s">
        <v>13</v>
      </c>
      <c r="D2031" t="s">
        <v>14</v>
      </c>
      <c r="E2031">
        <v>2</v>
      </c>
      <c r="F2031">
        <v>2267.3000000000002</v>
      </c>
      <c r="G2031">
        <v>0.91</v>
      </c>
      <c r="H2031" s="3">
        <f t="shared" si="155"/>
        <v>4534.6000000000004</v>
      </c>
      <c r="I2031" s="1">
        <v>45732</v>
      </c>
      <c r="J2031" t="s">
        <v>40</v>
      </c>
      <c r="K2031" t="s">
        <v>16</v>
      </c>
      <c r="L2031" s="2">
        <f t="shared" si="156"/>
        <v>2267.3000000000002</v>
      </c>
      <c r="M2031" s="4">
        <f t="shared" si="157"/>
        <v>0.91</v>
      </c>
      <c r="N2031" s="1">
        <f t="shared" si="158"/>
        <v>45732</v>
      </c>
      <c r="O2031" s="3">
        <f>(Table13[[#This Row],[Units_Sold]]*Table13[[#This Row],[Unit_Price_Cleaned]]*(1-Table13[[#This Row],[Discount Cleaned]]))</f>
        <v>408.11399999999992</v>
      </c>
      <c r="P2031" t="str">
        <f t="shared" si="159"/>
        <v>Loss</v>
      </c>
      <c r="Q2031" t="str" cm="1">
        <f t="array" ref="Q2031">IF(K2031="",INDEX($K$2:$K$2501,MATCH(MAX(COUNTIF($K$2:$K$2501,$K$2:$K$2501)),COUNTIF($K$2:$K$2501,$K$2:$K$2501),0)),K2031)</f>
        <v>B2C</v>
      </c>
    </row>
    <row r="2032" spans="1:17" x14ac:dyDescent="0.3">
      <c r="A2032">
        <v>3030</v>
      </c>
      <c r="B2032" t="s">
        <v>278</v>
      </c>
      <c r="C2032" t="s">
        <v>29</v>
      </c>
      <c r="D2032" t="s">
        <v>120</v>
      </c>
      <c r="E2032">
        <v>2</v>
      </c>
      <c r="F2032">
        <v>4101.8900000000003</v>
      </c>
      <c r="H2032" s="3">
        <f t="shared" si="155"/>
        <v>8203.7800000000007</v>
      </c>
      <c r="I2032" s="1">
        <v>45646</v>
      </c>
      <c r="J2032" t="s">
        <v>15</v>
      </c>
      <c r="K2032" t="s">
        <v>16</v>
      </c>
      <c r="L2032" s="2">
        <f t="shared" si="156"/>
        <v>4101.8900000000003</v>
      </c>
      <c r="M2032" s="4">
        <f t="shared" si="157"/>
        <v>0.6</v>
      </c>
      <c r="N2032" s="1">
        <f t="shared" si="158"/>
        <v>45646</v>
      </c>
      <c r="O2032" s="3">
        <f>(Table13[[#This Row],[Units_Sold]]*Table13[[#This Row],[Unit_Price_Cleaned]]*(1-Table13[[#This Row],[Discount Cleaned]]))</f>
        <v>3281.5120000000006</v>
      </c>
      <c r="P2032" t="str">
        <f t="shared" si="159"/>
        <v>Profit</v>
      </c>
      <c r="Q2032" t="str" cm="1">
        <f t="array" ref="Q2032">IF(K2032="",INDEX($K$2:$K$2501,MATCH(MAX(COUNTIF($K$2:$K$2501,$K$2:$K$2501)),COUNTIF($K$2:$K$2501,$K$2:$K$2501),0)),K2032)</f>
        <v>B2C</v>
      </c>
    </row>
    <row r="2033" spans="1:17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 s="3">
        <f t="shared" si="155"/>
        <v>-2700.1263043478252</v>
      </c>
      <c r="I2033" s="1">
        <v>45501</v>
      </c>
      <c r="J2033" t="s">
        <v>56</v>
      </c>
      <c r="K2033" t="s">
        <v>16</v>
      </c>
      <c r="L2033" s="2">
        <f t="shared" si="156"/>
        <v>2700.1263043478252</v>
      </c>
      <c r="M2033" s="4">
        <f t="shared" si="157"/>
        <v>0.6</v>
      </c>
      <c r="N2033" s="1">
        <f t="shared" si="158"/>
        <v>45501</v>
      </c>
      <c r="O2033" s="3">
        <f>(Table13[[#This Row],[Units_Sold]]*Table13[[#This Row],[Unit_Price_Cleaned]]*(1-Table13[[#This Row],[Discount Cleaned]]))</f>
        <v>-1080.0505217391301</v>
      </c>
      <c r="P2033" t="str">
        <f t="shared" si="159"/>
        <v>Loss</v>
      </c>
      <c r="Q2033" t="str" cm="1">
        <f t="array" ref="Q2033">IF(K2033="",INDEX($K$2:$K$2501,MATCH(MAX(COUNTIF($K$2:$K$2501,$K$2:$K$2501)),COUNTIF($K$2:$K$2501,$K$2:$K$2501),0)),K2033)</f>
        <v>B2C</v>
      </c>
    </row>
    <row r="2034" spans="1:17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 s="3">
        <f t="shared" si="155"/>
        <v>18274.5</v>
      </c>
      <c r="J2034" t="s">
        <v>18</v>
      </c>
      <c r="L2034" s="2">
        <f t="shared" si="156"/>
        <v>3654.9</v>
      </c>
      <c r="M2034" s="4">
        <f t="shared" si="157"/>
        <v>0.6</v>
      </c>
      <c r="N2034" s="1">
        <f t="shared" si="158"/>
        <v>45782</v>
      </c>
      <c r="O2034" s="3">
        <f>(Table13[[#This Row],[Units_Sold]]*Table13[[#This Row],[Unit_Price_Cleaned]]*(1-Table13[[#This Row],[Discount Cleaned]]))</f>
        <v>7309.8</v>
      </c>
      <c r="P2034" t="str">
        <f t="shared" si="159"/>
        <v>Profit</v>
      </c>
      <c r="Q2034" t="str" cm="1">
        <f t="array" ref="Q2034">IF(K2034="",INDEX($K$2:$K$2501,MATCH(MAX(COUNTIF($K$2:$K$2501,$K$2:$K$2501)),COUNTIF($K$2:$K$2501,$K$2:$K$2501),0)),K2034)</f>
        <v>B2B</v>
      </c>
    </row>
    <row r="2035" spans="1:17" x14ac:dyDescent="0.3">
      <c r="A2035">
        <v>3033</v>
      </c>
      <c r="B2035" t="s">
        <v>2059</v>
      </c>
      <c r="C2035" t="s">
        <v>33</v>
      </c>
      <c r="D2035" t="s">
        <v>72</v>
      </c>
      <c r="E2035">
        <v>2</v>
      </c>
      <c r="F2035">
        <v>1787.52</v>
      </c>
      <c r="H2035" s="3">
        <f t="shared" si="155"/>
        <v>3575.04</v>
      </c>
      <c r="I2035" s="1">
        <v>45702</v>
      </c>
      <c r="J2035" t="s">
        <v>56</v>
      </c>
      <c r="K2035" t="s">
        <v>23</v>
      </c>
      <c r="L2035" s="2">
        <f t="shared" si="156"/>
        <v>1787.52</v>
      </c>
      <c r="M2035" s="4">
        <f t="shared" si="157"/>
        <v>0.6</v>
      </c>
      <c r="N2035" s="1">
        <f t="shared" si="158"/>
        <v>45702</v>
      </c>
      <c r="O2035" s="3">
        <f>(Table13[[#This Row],[Units_Sold]]*Table13[[#This Row],[Unit_Price_Cleaned]]*(1-Table13[[#This Row],[Discount Cleaned]]))</f>
        <v>1430.0160000000001</v>
      </c>
      <c r="P2035" t="str">
        <f t="shared" si="159"/>
        <v>Profit</v>
      </c>
      <c r="Q2035" t="str" cm="1">
        <f t="array" ref="Q2035">IF(K2035="",INDEX($K$2:$K$2501,MATCH(MAX(COUNTIF($K$2:$K$2501,$K$2:$K$2501)),COUNTIF($K$2:$K$2501,$K$2:$K$2501),0)),K2035)</f>
        <v>B2B</v>
      </c>
    </row>
    <row r="2036" spans="1:17" x14ac:dyDescent="0.3">
      <c r="A2036">
        <v>3034</v>
      </c>
      <c r="B2036" t="s">
        <v>2060</v>
      </c>
      <c r="C2036" t="s">
        <v>33</v>
      </c>
      <c r="D2036" t="s">
        <v>44</v>
      </c>
      <c r="E2036">
        <v>2</v>
      </c>
      <c r="H2036" s="3">
        <f t="shared" si="155"/>
        <v>5683.5261224489814</v>
      </c>
      <c r="J2036" t="s">
        <v>18</v>
      </c>
      <c r="K2036" t="s">
        <v>23</v>
      </c>
      <c r="L2036" s="2">
        <f t="shared" si="156"/>
        <v>2841.7630612244907</v>
      </c>
      <c r="M2036" s="4">
        <f t="shared" si="157"/>
        <v>0.6</v>
      </c>
      <c r="N2036" s="1">
        <f t="shared" si="158"/>
        <v>45782</v>
      </c>
      <c r="O2036" s="3">
        <f>(Table13[[#This Row],[Units_Sold]]*Table13[[#This Row],[Unit_Price_Cleaned]]*(1-Table13[[#This Row],[Discount Cleaned]]))</f>
        <v>2273.4104489795927</v>
      </c>
      <c r="P2036" t="str">
        <f t="shared" si="159"/>
        <v>Profit</v>
      </c>
      <c r="Q2036" t="str" cm="1">
        <f t="array" ref="Q2036">IF(K2036="",INDEX($K$2:$K$2501,MATCH(MAX(COUNTIF($K$2:$K$2501,$K$2:$K$2501)),COUNTIF($K$2:$K$2501,$K$2:$K$2501),0)),K2036)</f>
        <v>B2B</v>
      </c>
    </row>
    <row r="2037" spans="1:17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 s="3">
        <f t="shared" si="155"/>
        <v>12033.537777777778</v>
      </c>
      <c r="J2037" t="s">
        <v>40</v>
      </c>
      <c r="K2037" t="s">
        <v>23</v>
      </c>
      <c r="L2037" s="2">
        <f t="shared" si="156"/>
        <v>3008.3844444444444</v>
      </c>
      <c r="M2037" s="4">
        <f t="shared" si="157"/>
        <v>1</v>
      </c>
      <c r="N2037" s="1">
        <f t="shared" si="158"/>
        <v>45782</v>
      </c>
      <c r="O2037" s="3">
        <f>(Table13[[#This Row],[Units_Sold]]*Table13[[#This Row],[Unit_Price_Cleaned]]*(1-Table13[[#This Row],[Discount Cleaned]]))</f>
        <v>0</v>
      </c>
      <c r="P2037" t="str">
        <f t="shared" si="159"/>
        <v>Loss</v>
      </c>
      <c r="Q2037" t="str" cm="1">
        <f t="array" ref="Q2037">IF(K2037="",INDEX($K$2:$K$2501,MATCH(MAX(COUNTIF($K$2:$K$2501,$K$2:$K$2501)),COUNTIF($K$2:$K$2501,$K$2:$K$2501),0)),K2037)</f>
        <v>B2B</v>
      </c>
    </row>
    <row r="2038" spans="1:17" x14ac:dyDescent="0.3">
      <c r="A2038">
        <v>3036</v>
      </c>
      <c r="B2038" t="s">
        <v>2062</v>
      </c>
      <c r="C2038" t="s">
        <v>38</v>
      </c>
      <c r="D2038" t="s">
        <v>91</v>
      </c>
      <c r="E2038">
        <v>2</v>
      </c>
      <c r="F2038">
        <v>3997.83</v>
      </c>
      <c r="H2038" s="3">
        <f t="shared" si="155"/>
        <v>7995.66</v>
      </c>
      <c r="I2038" s="1">
        <v>45784</v>
      </c>
      <c r="J2038" t="s">
        <v>15</v>
      </c>
      <c r="K2038" t="s">
        <v>23</v>
      </c>
      <c r="L2038" s="2">
        <f t="shared" si="156"/>
        <v>3997.83</v>
      </c>
      <c r="M2038" s="4">
        <f t="shared" si="157"/>
        <v>0.6</v>
      </c>
      <c r="N2038" s="1">
        <f t="shared" si="158"/>
        <v>45784</v>
      </c>
      <c r="O2038" s="3">
        <f>(Table13[[#This Row],[Units_Sold]]*Table13[[#This Row],[Unit_Price_Cleaned]]*(1-Table13[[#This Row],[Discount Cleaned]]))</f>
        <v>3198.2640000000001</v>
      </c>
      <c r="P2038" t="str">
        <f t="shared" si="159"/>
        <v>Profit</v>
      </c>
      <c r="Q2038" t="str" cm="1">
        <f t="array" ref="Q2038">IF(K2038="",INDEX($K$2:$K$2501,MATCH(MAX(COUNTIF($K$2:$K$2501,$K$2:$K$2501)),COUNTIF($K$2:$K$2501,$K$2:$K$2501),0)),K2038)</f>
        <v>B2B</v>
      </c>
    </row>
    <row r="2039" spans="1:17" x14ac:dyDescent="0.3">
      <c r="A2039">
        <v>3037</v>
      </c>
      <c r="B2039" t="s">
        <v>2063</v>
      </c>
      <c r="C2039" t="s">
        <v>20</v>
      </c>
      <c r="D2039" t="s">
        <v>21</v>
      </c>
      <c r="E2039">
        <v>2</v>
      </c>
      <c r="G2039">
        <v>0.85</v>
      </c>
      <c r="H2039" s="3">
        <f t="shared" si="155"/>
        <v>5362.348727272727</v>
      </c>
      <c r="I2039" s="1">
        <v>45518</v>
      </c>
      <c r="J2039" t="s">
        <v>15</v>
      </c>
      <c r="K2039" t="s">
        <v>16</v>
      </c>
      <c r="L2039" s="2">
        <f t="shared" si="156"/>
        <v>2681.1743636363635</v>
      </c>
      <c r="M2039" s="4">
        <f t="shared" si="157"/>
        <v>0.85</v>
      </c>
      <c r="N2039" s="1">
        <f t="shared" si="158"/>
        <v>45518</v>
      </c>
      <c r="O2039" s="3">
        <f>(Table13[[#This Row],[Units_Sold]]*Table13[[#This Row],[Unit_Price_Cleaned]]*(1-Table13[[#This Row],[Discount Cleaned]]))</f>
        <v>804.35230909090922</v>
      </c>
      <c r="P2039" t="str">
        <f t="shared" si="159"/>
        <v>Profit</v>
      </c>
      <c r="Q2039" t="str" cm="1">
        <f t="array" ref="Q2039">IF(K2039="",INDEX($K$2:$K$2501,MATCH(MAX(COUNTIF($K$2:$K$2501,$K$2:$K$2501)),COUNTIF($K$2:$K$2501,$K$2:$K$2501),0)),K2039)</f>
        <v>B2C</v>
      </c>
    </row>
    <row r="2040" spans="1:17" x14ac:dyDescent="0.3">
      <c r="A2040">
        <v>3038</v>
      </c>
      <c r="B2040" t="s">
        <v>2064</v>
      </c>
      <c r="C2040" t="s">
        <v>20</v>
      </c>
      <c r="D2040" t="s">
        <v>80</v>
      </c>
      <c r="E2040">
        <v>2</v>
      </c>
      <c r="F2040">
        <v>1318.04</v>
      </c>
      <c r="H2040" s="3">
        <f t="shared" si="155"/>
        <v>2636.08</v>
      </c>
      <c r="I2040" s="1">
        <v>45696</v>
      </c>
      <c r="J2040" t="s">
        <v>18</v>
      </c>
      <c r="K2040" t="s">
        <v>16</v>
      </c>
      <c r="L2040" s="2">
        <f t="shared" si="156"/>
        <v>1318.04</v>
      </c>
      <c r="M2040" s="4">
        <f t="shared" si="157"/>
        <v>0.6</v>
      </c>
      <c r="N2040" s="1">
        <f t="shared" si="158"/>
        <v>45696</v>
      </c>
      <c r="O2040" s="3">
        <f>(Table13[[#This Row],[Units_Sold]]*Table13[[#This Row],[Unit_Price_Cleaned]]*(1-Table13[[#This Row],[Discount Cleaned]]))</f>
        <v>1054.432</v>
      </c>
      <c r="P2040" t="str">
        <f t="shared" si="159"/>
        <v>Profit</v>
      </c>
      <c r="Q2040" t="str" cm="1">
        <f t="array" ref="Q2040">IF(K2040="",INDEX($K$2:$K$2501,MATCH(MAX(COUNTIF($K$2:$K$2501,$K$2:$K$2501)),COUNTIF($K$2:$K$2501,$K$2:$K$2501),0)),K2040)</f>
        <v>B2C</v>
      </c>
    </row>
    <row r="2041" spans="1:17" x14ac:dyDescent="0.3">
      <c r="A2041">
        <v>3039</v>
      </c>
      <c r="B2041" t="s">
        <v>2065</v>
      </c>
      <c r="C2041" t="s">
        <v>13</v>
      </c>
      <c r="D2041" t="s">
        <v>14</v>
      </c>
      <c r="E2041">
        <v>2</v>
      </c>
      <c r="H2041" s="3">
        <f t="shared" si="155"/>
        <v>4762.5355172413792</v>
      </c>
      <c r="J2041" t="s">
        <v>46</v>
      </c>
      <c r="L2041" s="2">
        <f t="shared" si="156"/>
        <v>2381.2677586206896</v>
      </c>
      <c r="M2041" s="4">
        <f t="shared" si="157"/>
        <v>0.6</v>
      </c>
      <c r="N2041" s="1">
        <f t="shared" si="158"/>
        <v>45782</v>
      </c>
      <c r="O2041" s="3">
        <f>(Table13[[#This Row],[Units_Sold]]*Table13[[#This Row],[Unit_Price_Cleaned]]*(1-Table13[[#This Row],[Discount Cleaned]]))</f>
        <v>1905.0142068965517</v>
      </c>
      <c r="P2041" t="str">
        <f t="shared" si="159"/>
        <v>Profit</v>
      </c>
      <c r="Q2041" t="str" cm="1">
        <f t="array" ref="Q2041">IF(K2041="",INDEX($K$2:$K$2501,MATCH(MAX(COUNTIF($K$2:$K$2501,$K$2:$K$2501)),COUNTIF($K$2:$K$2501,$K$2:$K$2501),0)),K2041)</f>
        <v>B2B</v>
      </c>
    </row>
    <row r="2042" spans="1:17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 s="3">
        <f t="shared" si="155"/>
        <v>-5145.5528000000013</v>
      </c>
      <c r="I2042" s="1">
        <v>45735</v>
      </c>
      <c r="J2042" t="s">
        <v>56</v>
      </c>
      <c r="K2042" t="s">
        <v>23</v>
      </c>
      <c r="L2042" s="2">
        <f t="shared" si="156"/>
        <v>2572.7764000000006</v>
      </c>
      <c r="M2042" s="4">
        <f t="shared" si="157"/>
        <v>0.6</v>
      </c>
      <c r="N2042" s="1">
        <f t="shared" si="158"/>
        <v>45735</v>
      </c>
      <c r="O2042" s="3">
        <f>(Table13[[#This Row],[Units_Sold]]*Table13[[#This Row],[Unit_Price_Cleaned]]*(1-Table13[[#This Row],[Discount Cleaned]]))</f>
        <v>-2058.2211200000006</v>
      </c>
      <c r="P2042" t="str">
        <f t="shared" si="159"/>
        <v>Loss</v>
      </c>
      <c r="Q2042" t="str" cm="1">
        <f t="array" ref="Q2042">IF(K2042="",INDEX($K$2:$K$2501,MATCH(MAX(COUNTIF($K$2:$K$2501,$K$2:$K$2501)),COUNTIF($K$2:$K$2501,$K$2:$K$2501),0)),K2042)</f>
        <v>B2B</v>
      </c>
    </row>
    <row r="2043" spans="1:17" x14ac:dyDescent="0.3">
      <c r="A2043">
        <v>3041</v>
      </c>
      <c r="B2043" t="s">
        <v>2067</v>
      </c>
      <c r="C2043" t="s">
        <v>20</v>
      </c>
      <c r="D2043" t="s">
        <v>80</v>
      </c>
      <c r="E2043">
        <v>2</v>
      </c>
      <c r="H2043" s="3">
        <f t="shared" si="155"/>
        <v>4967.1688000000004</v>
      </c>
      <c r="I2043" s="1">
        <v>45631</v>
      </c>
      <c r="J2043" t="s">
        <v>56</v>
      </c>
      <c r="L2043" s="2">
        <f t="shared" si="156"/>
        <v>2483.5844000000002</v>
      </c>
      <c r="M2043" s="4">
        <f t="shared" si="157"/>
        <v>0.6</v>
      </c>
      <c r="N2043" s="1">
        <f t="shared" si="158"/>
        <v>45631</v>
      </c>
      <c r="O2043" s="3">
        <f>(Table13[[#This Row],[Units_Sold]]*Table13[[#This Row],[Unit_Price_Cleaned]]*(1-Table13[[#This Row],[Discount Cleaned]]))</f>
        <v>1986.8675200000002</v>
      </c>
      <c r="P2043" t="str">
        <f t="shared" si="159"/>
        <v>Profit</v>
      </c>
      <c r="Q2043" t="str" cm="1">
        <f t="array" ref="Q2043">IF(K2043="",INDEX($K$2:$K$2501,MATCH(MAX(COUNTIF($K$2:$K$2501,$K$2:$K$2501)),COUNTIF($K$2:$K$2501,$K$2:$K$2501),0)),K2043)</f>
        <v>B2B</v>
      </c>
    </row>
    <row r="2044" spans="1:17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 s="3">
        <f t="shared" si="155"/>
        <v>2545.3500000000004</v>
      </c>
      <c r="J2044" t="s">
        <v>40</v>
      </c>
      <c r="K2044" t="s">
        <v>16</v>
      </c>
      <c r="L2044" s="2">
        <f t="shared" si="156"/>
        <v>848.45</v>
      </c>
      <c r="M2044" s="4">
        <f t="shared" si="157"/>
        <v>0.6</v>
      </c>
      <c r="N2044" s="1">
        <f t="shared" si="158"/>
        <v>45782</v>
      </c>
      <c r="O2044" s="3">
        <f>(Table13[[#This Row],[Units_Sold]]*Table13[[#This Row],[Unit_Price_Cleaned]]*(1-Table13[[#This Row],[Discount Cleaned]]))</f>
        <v>1018.1400000000002</v>
      </c>
      <c r="P2044" t="str">
        <f t="shared" si="159"/>
        <v>Profit</v>
      </c>
      <c r="Q2044" t="str" cm="1">
        <f t="array" ref="Q2044">IF(K2044="",INDEX($K$2:$K$2501,MATCH(MAX(COUNTIF($K$2:$K$2501,$K$2:$K$2501)),COUNTIF($K$2:$K$2501,$K$2:$K$2501),0)),K2044)</f>
        <v>B2C</v>
      </c>
    </row>
    <row r="2045" spans="1:17" x14ac:dyDescent="0.3">
      <c r="A2045">
        <v>3043</v>
      </c>
      <c r="B2045" t="s">
        <v>2069</v>
      </c>
      <c r="C2045" t="s">
        <v>29</v>
      </c>
      <c r="D2045" t="s">
        <v>141</v>
      </c>
      <c r="E2045">
        <v>2</v>
      </c>
      <c r="F2045">
        <v>1137.77</v>
      </c>
      <c r="H2045" s="3">
        <f t="shared" si="155"/>
        <v>2275.54</v>
      </c>
      <c r="I2045" s="1">
        <v>45264</v>
      </c>
      <c r="J2045" t="s">
        <v>15</v>
      </c>
      <c r="K2045" t="s">
        <v>16</v>
      </c>
      <c r="L2045" s="2">
        <f t="shared" si="156"/>
        <v>1137.77</v>
      </c>
      <c r="M2045" s="4">
        <f t="shared" si="157"/>
        <v>0.6</v>
      </c>
      <c r="N2045" s="1">
        <f t="shared" si="158"/>
        <v>45264</v>
      </c>
      <c r="O2045" s="3">
        <f>(Table13[[#This Row],[Units_Sold]]*Table13[[#This Row],[Unit_Price_Cleaned]]*(1-Table13[[#This Row],[Discount Cleaned]]))</f>
        <v>910.21600000000001</v>
      </c>
      <c r="P2045" t="str">
        <f t="shared" si="159"/>
        <v>Profit</v>
      </c>
      <c r="Q2045" t="str" cm="1">
        <f t="array" ref="Q2045">IF(K2045="",INDEX($K$2:$K$2501,MATCH(MAX(COUNTIF($K$2:$K$2501,$K$2:$K$2501)),COUNTIF($K$2:$K$2501,$K$2:$K$2501),0)),K2045)</f>
        <v>B2C</v>
      </c>
    </row>
    <row r="2046" spans="1:17" x14ac:dyDescent="0.3">
      <c r="A2046">
        <v>3044</v>
      </c>
      <c r="B2046" t="s">
        <v>2070</v>
      </c>
      <c r="C2046" t="s">
        <v>33</v>
      </c>
      <c r="D2046" t="s">
        <v>44</v>
      </c>
      <c r="E2046">
        <v>2</v>
      </c>
      <c r="F2046">
        <v>431.31</v>
      </c>
      <c r="G2046">
        <v>1.25</v>
      </c>
      <c r="H2046" s="3">
        <f t="shared" si="155"/>
        <v>862.62</v>
      </c>
      <c r="I2046" s="1">
        <v>45811</v>
      </c>
      <c r="J2046" t="s">
        <v>22</v>
      </c>
      <c r="K2046" t="s">
        <v>16</v>
      </c>
      <c r="L2046" s="2">
        <f t="shared" si="156"/>
        <v>431.31</v>
      </c>
      <c r="M2046" s="4">
        <f t="shared" si="157"/>
        <v>1.25</v>
      </c>
      <c r="N2046" s="1">
        <f t="shared" si="158"/>
        <v>45811</v>
      </c>
      <c r="O2046" s="3">
        <f>(Table13[[#This Row],[Units_Sold]]*Table13[[#This Row],[Unit_Price_Cleaned]]*(1-Table13[[#This Row],[Discount Cleaned]]))</f>
        <v>-215.655</v>
      </c>
      <c r="P2046" t="str">
        <f t="shared" si="159"/>
        <v>Loss</v>
      </c>
      <c r="Q2046" t="str" cm="1">
        <f t="array" ref="Q2046">IF(K2046="",INDEX($K$2:$K$2501,MATCH(MAX(COUNTIF($K$2:$K$2501,$K$2:$K$2501)),COUNTIF($K$2:$K$2501,$K$2:$K$2501),0)),K2046)</f>
        <v>B2C</v>
      </c>
    </row>
    <row r="2047" spans="1:17" x14ac:dyDescent="0.3">
      <c r="A2047">
        <v>3045</v>
      </c>
      <c r="B2047" t="s">
        <v>2071</v>
      </c>
      <c r="C2047" t="s">
        <v>38</v>
      </c>
      <c r="D2047" t="s">
        <v>39</v>
      </c>
      <c r="E2047">
        <v>2</v>
      </c>
      <c r="F2047">
        <v>3180.69</v>
      </c>
      <c r="H2047" s="3">
        <f t="shared" si="155"/>
        <v>6361.38</v>
      </c>
      <c r="I2047" s="1">
        <v>45151</v>
      </c>
      <c r="J2047" t="s">
        <v>56</v>
      </c>
      <c r="K2047" t="s">
        <v>23</v>
      </c>
      <c r="L2047" s="2">
        <f t="shared" si="156"/>
        <v>3180.69</v>
      </c>
      <c r="M2047" s="4">
        <f t="shared" si="157"/>
        <v>0.6</v>
      </c>
      <c r="N2047" s="1">
        <f t="shared" si="158"/>
        <v>45151</v>
      </c>
      <c r="O2047" s="3">
        <f>(Table13[[#This Row],[Units_Sold]]*Table13[[#This Row],[Unit_Price_Cleaned]]*(1-Table13[[#This Row],[Discount Cleaned]]))</f>
        <v>2544.5520000000001</v>
      </c>
      <c r="P2047" t="str">
        <f t="shared" si="159"/>
        <v>Profit</v>
      </c>
      <c r="Q2047" t="str" cm="1">
        <f t="array" ref="Q2047">IF(K2047="",INDEX($K$2:$K$2501,MATCH(MAX(COUNTIF($K$2:$K$2501,$K$2:$K$2501)),COUNTIF($K$2:$K$2501,$K$2:$K$2501),0)),K2047)</f>
        <v>B2B</v>
      </c>
    </row>
    <row r="2048" spans="1:17" x14ac:dyDescent="0.3">
      <c r="A2048">
        <v>3046</v>
      </c>
      <c r="B2048" t="s">
        <v>2072</v>
      </c>
      <c r="C2048" t="s">
        <v>13</v>
      </c>
      <c r="D2048" t="s">
        <v>49</v>
      </c>
      <c r="E2048">
        <v>2</v>
      </c>
      <c r="H2048" s="3">
        <f t="shared" si="155"/>
        <v>5570.1755932203387</v>
      </c>
      <c r="J2048" t="s">
        <v>56</v>
      </c>
      <c r="K2048" t="s">
        <v>23</v>
      </c>
      <c r="L2048" s="2">
        <f t="shared" si="156"/>
        <v>2785.0877966101693</v>
      </c>
      <c r="M2048" s="4">
        <f t="shared" si="157"/>
        <v>0.6</v>
      </c>
      <c r="N2048" s="1">
        <f t="shared" si="158"/>
        <v>45782</v>
      </c>
      <c r="O2048" s="3">
        <f>(Table13[[#This Row],[Units_Sold]]*Table13[[#This Row],[Unit_Price_Cleaned]]*(1-Table13[[#This Row],[Discount Cleaned]]))</f>
        <v>2228.0702372881356</v>
      </c>
      <c r="P2048" t="str">
        <f t="shared" si="159"/>
        <v>Profit</v>
      </c>
      <c r="Q2048" t="str" cm="1">
        <f t="array" ref="Q2048">IF(K2048="",INDEX($K$2:$K$2501,MATCH(MAX(COUNTIF($K$2:$K$2501,$K$2:$K$2501)),COUNTIF($K$2:$K$2501,$K$2:$K$2501),0)),K2048)</f>
        <v>B2B</v>
      </c>
    </row>
    <row r="2049" spans="1:17" x14ac:dyDescent="0.3">
      <c r="A2049">
        <v>1037</v>
      </c>
      <c r="B2049" t="s">
        <v>2073</v>
      </c>
      <c r="C2049" t="s">
        <v>33</v>
      </c>
      <c r="D2049" t="s">
        <v>44</v>
      </c>
      <c r="E2049">
        <v>2</v>
      </c>
      <c r="H2049" s="3">
        <f t="shared" si="155"/>
        <v>5683.5261224489814</v>
      </c>
      <c r="J2049" t="s">
        <v>22</v>
      </c>
      <c r="K2049" t="s">
        <v>16</v>
      </c>
      <c r="L2049" s="2">
        <f t="shared" si="156"/>
        <v>2841.7630612244907</v>
      </c>
      <c r="M2049" s="4">
        <f t="shared" si="157"/>
        <v>0.6</v>
      </c>
      <c r="N2049" s="1">
        <f t="shared" si="158"/>
        <v>45782</v>
      </c>
      <c r="O2049" s="3">
        <f>(Table13[[#This Row],[Units_Sold]]*Table13[[#This Row],[Unit_Price_Cleaned]]*(1-Table13[[#This Row],[Discount Cleaned]]))</f>
        <v>2273.4104489795927</v>
      </c>
      <c r="P2049" t="str">
        <f t="shared" si="159"/>
        <v>Profit</v>
      </c>
      <c r="Q2049" t="str" cm="1">
        <f t="array" ref="Q2049">IF(K2049="",INDEX($K$2:$K$2501,MATCH(MAX(COUNTIF($K$2:$K$2501,$K$2:$K$2501)),COUNTIF($K$2:$K$2501,$K$2:$K$2501),0)),K2049)</f>
        <v>B2C</v>
      </c>
    </row>
    <row r="2050" spans="1:17" x14ac:dyDescent="0.3">
      <c r="A2050">
        <v>3048</v>
      </c>
      <c r="B2050" t="s">
        <v>2074</v>
      </c>
      <c r="C2050" t="s">
        <v>20</v>
      </c>
      <c r="D2050" t="s">
        <v>21</v>
      </c>
      <c r="E2050">
        <v>2</v>
      </c>
      <c r="F2050">
        <v>1136.4100000000001</v>
      </c>
      <c r="H2050" s="3">
        <f t="shared" ref="H2050:H2113" si="160">(L2050*E2050)</f>
        <v>2272.8200000000002</v>
      </c>
      <c r="I2050" s="1">
        <v>45699</v>
      </c>
      <c r="J2050" t="s">
        <v>18</v>
      </c>
      <c r="K2050" t="s">
        <v>23</v>
      </c>
      <c r="L2050" s="2">
        <f t="shared" ref="L2050:L2113" si="161">IF(F2050="",AVERAGEIF($D$2:$D$2501,D2050,$F$2:$F$2501),F2050)</f>
        <v>1136.4100000000001</v>
      </c>
      <c r="M2050" s="4">
        <f t="shared" ref="M2050:M2113" si="162">IF(G2050="",MEDIAN($G$2,$G$2501),G2050)</f>
        <v>0.6</v>
      </c>
      <c r="N2050" s="1">
        <f t="shared" ref="N2050:N2113" si="163">IF(I2050="",MODE($I$32:$I$2501),I2050)</f>
        <v>45699</v>
      </c>
      <c r="O2050" s="3">
        <f>(Table13[[#This Row],[Units_Sold]]*Table13[[#This Row],[Unit_Price_Cleaned]]*(1-Table13[[#This Row],[Discount Cleaned]]))</f>
        <v>909.12800000000016</v>
      </c>
      <c r="P2050" t="str">
        <f t="shared" ref="P2050:P2113" si="164">IF(O2050&gt;500,"Profit","Loss")</f>
        <v>Profit</v>
      </c>
      <c r="Q2050" t="str" cm="1">
        <f t="array" ref="Q2050">IF(K2050="",INDEX($K$2:$K$2501,MATCH(MAX(COUNTIF($K$2:$K$2501,$K$2:$K$2501)),COUNTIF($K$2:$K$2501,$K$2:$K$2501),0)),K2050)</f>
        <v>B2B</v>
      </c>
    </row>
    <row r="2051" spans="1:17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 s="3">
        <f t="shared" si="160"/>
        <v>-5690.4839344262318</v>
      </c>
      <c r="I2051" s="1">
        <v>45794</v>
      </c>
      <c r="J2051" t="s">
        <v>22</v>
      </c>
      <c r="L2051" s="2">
        <f t="shared" si="161"/>
        <v>2845.2419672131159</v>
      </c>
      <c r="M2051" s="4">
        <f t="shared" si="162"/>
        <v>0.6</v>
      </c>
      <c r="N2051" s="1">
        <f t="shared" si="163"/>
        <v>45794</v>
      </c>
      <c r="O2051" s="3">
        <f>(Table13[[#This Row],[Units_Sold]]*Table13[[#This Row],[Unit_Price_Cleaned]]*(1-Table13[[#This Row],[Discount Cleaned]]))</f>
        <v>-2276.193573770493</v>
      </c>
      <c r="P2051" t="str">
        <f t="shared" si="164"/>
        <v>Loss</v>
      </c>
      <c r="Q2051" t="str" cm="1">
        <f t="array" ref="Q2051">IF(K2051="",INDEX($K$2:$K$2501,MATCH(MAX(COUNTIF($K$2:$K$2501,$K$2:$K$2501)),COUNTIF($K$2:$K$2501,$K$2:$K$2501),0)),K2051)</f>
        <v>B2B</v>
      </c>
    </row>
    <row r="2052" spans="1:17" x14ac:dyDescent="0.3">
      <c r="A2052">
        <v>3050</v>
      </c>
      <c r="B2052" t="s">
        <v>2076</v>
      </c>
      <c r="C2052" t="s">
        <v>13</v>
      </c>
      <c r="D2052" t="s">
        <v>102</v>
      </c>
      <c r="E2052">
        <v>2</v>
      </c>
      <c r="F2052">
        <v>3177.78</v>
      </c>
      <c r="H2052" s="3">
        <f t="shared" si="160"/>
        <v>6355.56</v>
      </c>
      <c r="I2052" s="1">
        <v>45593</v>
      </c>
      <c r="J2052" t="s">
        <v>18</v>
      </c>
      <c r="K2052" t="s">
        <v>16</v>
      </c>
      <c r="L2052" s="2">
        <f t="shared" si="161"/>
        <v>3177.78</v>
      </c>
      <c r="M2052" s="4">
        <f t="shared" si="162"/>
        <v>0.6</v>
      </c>
      <c r="N2052" s="1">
        <f t="shared" si="163"/>
        <v>45593</v>
      </c>
      <c r="O2052" s="3">
        <f>(Table13[[#This Row],[Units_Sold]]*Table13[[#This Row],[Unit_Price_Cleaned]]*(1-Table13[[#This Row],[Discount Cleaned]]))</f>
        <v>2542.2240000000002</v>
      </c>
      <c r="P2052" t="str">
        <f t="shared" si="164"/>
        <v>Profit</v>
      </c>
      <c r="Q2052" t="str" cm="1">
        <f t="array" ref="Q2052">IF(K2052="",INDEX($K$2:$K$2501,MATCH(MAX(COUNTIF($K$2:$K$2501,$K$2:$K$2501)),COUNTIF($K$2:$K$2501,$K$2:$K$2501),0)),K2052)</f>
        <v>B2C</v>
      </c>
    </row>
    <row r="2053" spans="1:17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 s="3">
        <f t="shared" si="160"/>
        <v>0</v>
      </c>
      <c r="J2053" t="s">
        <v>40</v>
      </c>
      <c r="K2053" t="s">
        <v>23</v>
      </c>
      <c r="L2053" s="2">
        <f t="shared" si="161"/>
        <v>2888.8714285714286</v>
      </c>
      <c r="M2053" s="4">
        <f t="shared" si="162"/>
        <v>0.6</v>
      </c>
      <c r="N2053" s="1">
        <f t="shared" si="163"/>
        <v>45782</v>
      </c>
      <c r="O2053" s="3">
        <f>(Table13[[#This Row],[Units_Sold]]*Table13[[#This Row],[Unit_Price_Cleaned]]*(1-Table13[[#This Row],[Discount Cleaned]]))</f>
        <v>0</v>
      </c>
      <c r="P2053" t="str">
        <f t="shared" si="164"/>
        <v>Loss</v>
      </c>
      <c r="Q2053" t="str" cm="1">
        <f t="array" ref="Q2053">IF(K2053="",INDEX($K$2:$K$2501,MATCH(MAX(COUNTIF($K$2:$K$2501,$K$2:$K$2501)),COUNTIF($K$2:$K$2501,$K$2:$K$2501),0)),K2053)</f>
        <v>B2B</v>
      </c>
    </row>
    <row r="2054" spans="1:17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 s="3">
        <f t="shared" si="160"/>
        <v>-1290.42</v>
      </c>
      <c r="I2054" s="1">
        <v>45403</v>
      </c>
      <c r="J2054" t="s">
        <v>18</v>
      </c>
      <c r="K2054" t="s">
        <v>23</v>
      </c>
      <c r="L2054" s="2">
        <f t="shared" si="161"/>
        <v>1290.42</v>
      </c>
      <c r="M2054" s="4">
        <f t="shared" si="162"/>
        <v>0.6</v>
      </c>
      <c r="N2054" s="1">
        <f t="shared" si="163"/>
        <v>45403</v>
      </c>
      <c r="O2054" s="3">
        <f>(Table13[[#This Row],[Units_Sold]]*Table13[[#This Row],[Unit_Price_Cleaned]]*(1-Table13[[#This Row],[Discount Cleaned]]))</f>
        <v>-516.16800000000001</v>
      </c>
      <c r="P2054" t="str">
        <f t="shared" si="164"/>
        <v>Loss</v>
      </c>
      <c r="Q2054" t="str" cm="1">
        <f t="array" ref="Q2054">IF(K2054="",INDEX($K$2:$K$2501,MATCH(MAX(COUNTIF($K$2:$K$2501,$K$2:$K$2501)),COUNTIF($K$2:$K$2501,$K$2:$K$2501),0)),K2054)</f>
        <v>B2B</v>
      </c>
    </row>
    <row r="2055" spans="1:17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 s="3">
        <f t="shared" si="160"/>
        <v>12651.918269230773</v>
      </c>
      <c r="J2055" t="s">
        <v>18</v>
      </c>
      <c r="K2055" t="s">
        <v>16</v>
      </c>
      <c r="L2055" s="2">
        <f t="shared" si="161"/>
        <v>2530.3836538461546</v>
      </c>
      <c r="M2055" s="4">
        <f t="shared" si="162"/>
        <v>0.6</v>
      </c>
      <c r="N2055" s="1">
        <f t="shared" si="163"/>
        <v>45782</v>
      </c>
      <c r="O2055" s="3">
        <f>(Table13[[#This Row],[Units_Sold]]*Table13[[#This Row],[Unit_Price_Cleaned]]*(1-Table13[[#This Row],[Discount Cleaned]]))</f>
        <v>5060.7673076923093</v>
      </c>
      <c r="P2055" t="str">
        <f t="shared" si="164"/>
        <v>Profit</v>
      </c>
      <c r="Q2055" t="str" cm="1">
        <f t="array" ref="Q2055">IF(K2055="",INDEX($K$2:$K$2501,MATCH(MAX(COUNTIF($K$2:$K$2501,$K$2:$K$2501)),COUNTIF($K$2:$K$2501,$K$2:$K$2501),0)),K2055)</f>
        <v>B2C</v>
      </c>
    </row>
    <row r="2056" spans="1:17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 s="3">
        <f t="shared" si="160"/>
        <v>8611.6999999999989</v>
      </c>
      <c r="I2056" s="1">
        <v>45505</v>
      </c>
      <c r="J2056" t="s">
        <v>15</v>
      </c>
      <c r="K2056" t="s">
        <v>23</v>
      </c>
      <c r="L2056" s="2">
        <f t="shared" si="161"/>
        <v>1722.34</v>
      </c>
      <c r="M2056" s="4">
        <f t="shared" si="162"/>
        <v>1.04</v>
      </c>
      <c r="N2056" s="1">
        <f t="shared" si="163"/>
        <v>45505</v>
      </c>
      <c r="O2056" s="3">
        <f>(Table13[[#This Row],[Units_Sold]]*Table13[[#This Row],[Unit_Price_Cleaned]]*(1-Table13[[#This Row],[Discount Cleaned]]))</f>
        <v>-344.46800000000025</v>
      </c>
      <c r="P2056" t="str">
        <f t="shared" si="164"/>
        <v>Loss</v>
      </c>
      <c r="Q2056" t="str" cm="1">
        <f t="array" ref="Q2056">IF(K2056="",INDEX($K$2:$K$2501,MATCH(MAX(COUNTIF($K$2:$K$2501,$K$2:$K$2501)),COUNTIF($K$2:$K$2501,$K$2:$K$2501),0)),K2056)</f>
        <v>B2B</v>
      </c>
    </row>
    <row r="2057" spans="1:17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 s="3">
        <f t="shared" si="160"/>
        <v>3008.3844444444444</v>
      </c>
      <c r="I2057" s="1">
        <v>45821</v>
      </c>
      <c r="J2057" t="s">
        <v>22</v>
      </c>
      <c r="K2057" t="s">
        <v>16</v>
      </c>
      <c r="L2057" s="2">
        <f t="shared" si="161"/>
        <v>3008.3844444444444</v>
      </c>
      <c r="M2057" s="4">
        <f t="shared" si="162"/>
        <v>0.6</v>
      </c>
      <c r="N2057" s="1">
        <f t="shared" si="163"/>
        <v>45821</v>
      </c>
      <c r="O2057" s="3">
        <f>(Table13[[#This Row],[Units_Sold]]*Table13[[#This Row],[Unit_Price_Cleaned]]*(1-Table13[[#This Row],[Discount Cleaned]]))</f>
        <v>1203.3537777777779</v>
      </c>
      <c r="P2057" t="str">
        <f t="shared" si="164"/>
        <v>Profit</v>
      </c>
      <c r="Q2057" t="str" cm="1">
        <f t="array" ref="Q2057">IF(K2057="",INDEX($K$2:$K$2501,MATCH(MAX(COUNTIF($K$2:$K$2501,$K$2:$K$2501)),COUNTIF($K$2:$K$2501,$K$2:$K$2501),0)),K2057)</f>
        <v>B2C</v>
      </c>
    </row>
    <row r="2058" spans="1:17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 s="3">
        <f t="shared" si="160"/>
        <v>10121.534615384619</v>
      </c>
      <c r="I2058" s="1">
        <v>45632</v>
      </c>
      <c r="J2058" t="s">
        <v>22</v>
      </c>
      <c r="L2058" s="2">
        <f t="shared" si="161"/>
        <v>2530.3836538461546</v>
      </c>
      <c r="M2058" s="4">
        <f t="shared" si="162"/>
        <v>0.6</v>
      </c>
      <c r="N2058" s="1">
        <f t="shared" si="163"/>
        <v>45632</v>
      </c>
      <c r="O2058" s="3">
        <f>(Table13[[#This Row],[Units_Sold]]*Table13[[#This Row],[Unit_Price_Cleaned]]*(1-Table13[[#This Row],[Discount Cleaned]]))</f>
        <v>4048.6138461538476</v>
      </c>
      <c r="P2058" t="str">
        <f t="shared" si="164"/>
        <v>Profit</v>
      </c>
      <c r="Q2058" t="str" cm="1">
        <f t="array" ref="Q2058">IF(K2058="",INDEX($K$2:$K$2501,MATCH(MAX(COUNTIF($K$2:$K$2501,$K$2:$K$2501)),COUNTIF($K$2:$K$2501,$K$2:$K$2501),0)),K2058)</f>
        <v>B2B</v>
      </c>
    </row>
    <row r="2059" spans="1:17" x14ac:dyDescent="0.3">
      <c r="A2059">
        <v>3057</v>
      </c>
      <c r="B2059" t="s">
        <v>2083</v>
      </c>
      <c r="C2059" t="s">
        <v>20</v>
      </c>
      <c r="D2059" t="s">
        <v>80</v>
      </c>
      <c r="E2059">
        <v>2</v>
      </c>
      <c r="G2059">
        <v>1.05</v>
      </c>
      <c r="H2059" s="3">
        <f t="shared" si="160"/>
        <v>4967.1688000000004</v>
      </c>
      <c r="I2059" s="1">
        <v>45839</v>
      </c>
      <c r="J2059" t="s">
        <v>18</v>
      </c>
      <c r="L2059" s="2">
        <f t="shared" si="161"/>
        <v>2483.5844000000002</v>
      </c>
      <c r="M2059" s="4">
        <f t="shared" si="162"/>
        <v>1.05</v>
      </c>
      <c r="N2059" s="1">
        <f t="shared" si="163"/>
        <v>45839</v>
      </c>
      <c r="O2059" s="3">
        <f>(Table13[[#This Row],[Units_Sold]]*Table13[[#This Row],[Unit_Price_Cleaned]]*(1-Table13[[#This Row],[Discount Cleaned]]))</f>
        <v>-248.35844000000023</v>
      </c>
      <c r="P2059" t="str">
        <f t="shared" si="164"/>
        <v>Loss</v>
      </c>
      <c r="Q2059" t="str" cm="1">
        <f t="array" ref="Q2059">IF(K2059="",INDEX($K$2:$K$2501,MATCH(MAX(COUNTIF($K$2:$K$2501,$K$2:$K$2501)),COUNTIF($K$2:$K$2501,$K$2:$K$2501),0)),K2059)</f>
        <v>B2B</v>
      </c>
    </row>
    <row r="2060" spans="1:17" x14ac:dyDescent="0.3">
      <c r="A2060">
        <v>3058</v>
      </c>
      <c r="B2060" t="s">
        <v>2084</v>
      </c>
      <c r="C2060" t="s">
        <v>33</v>
      </c>
      <c r="D2060" t="s">
        <v>82</v>
      </c>
      <c r="E2060">
        <v>2</v>
      </c>
      <c r="F2060">
        <v>2948.36</v>
      </c>
      <c r="H2060" s="3">
        <f t="shared" si="160"/>
        <v>5896.72</v>
      </c>
      <c r="J2060" t="s">
        <v>46</v>
      </c>
      <c r="K2060" t="s">
        <v>23</v>
      </c>
      <c r="L2060" s="2">
        <f t="shared" si="161"/>
        <v>2948.36</v>
      </c>
      <c r="M2060" s="4">
        <f t="shared" si="162"/>
        <v>0.6</v>
      </c>
      <c r="N2060" s="1">
        <f t="shared" si="163"/>
        <v>45782</v>
      </c>
      <c r="O2060" s="3">
        <f>(Table13[[#This Row],[Units_Sold]]*Table13[[#This Row],[Unit_Price_Cleaned]]*(1-Table13[[#This Row],[Discount Cleaned]]))</f>
        <v>2358.6880000000001</v>
      </c>
      <c r="P2060" t="str">
        <f t="shared" si="164"/>
        <v>Profit</v>
      </c>
      <c r="Q2060" t="str" cm="1">
        <f t="array" ref="Q2060">IF(K2060="",INDEX($K$2:$K$2501,MATCH(MAX(COUNTIF($K$2:$K$2501,$K$2:$K$2501)),COUNTIF($K$2:$K$2501,$K$2:$K$2501),0)),K2060)</f>
        <v>B2B</v>
      </c>
    </row>
    <row r="2061" spans="1:17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 s="3">
        <f t="shared" si="160"/>
        <v>-9898.34</v>
      </c>
      <c r="I2061" s="1">
        <v>45785</v>
      </c>
      <c r="J2061" t="s">
        <v>40</v>
      </c>
      <c r="K2061" t="s">
        <v>23</v>
      </c>
      <c r="L2061" s="2">
        <f t="shared" si="161"/>
        <v>4949.17</v>
      </c>
      <c r="M2061" s="4">
        <f t="shared" si="162"/>
        <v>0.6</v>
      </c>
      <c r="N2061" s="1">
        <f t="shared" si="163"/>
        <v>45785</v>
      </c>
      <c r="O2061" s="3">
        <f>(Table13[[#This Row],[Units_Sold]]*Table13[[#This Row],[Unit_Price_Cleaned]]*(1-Table13[[#This Row],[Discount Cleaned]]))</f>
        <v>-3959.3360000000002</v>
      </c>
      <c r="P2061" t="str">
        <f t="shared" si="164"/>
        <v>Loss</v>
      </c>
      <c r="Q2061" t="str" cm="1">
        <f t="array" ref="Q2061">IF(K2061="",INDEX($K$2:$K$2501,MATCH(MAX(COUNTIF($K$2:$K$2501,$K$2:$K$2501)),COUNTIF($K$2:$K$2501,$K$2:$K$2501),0)),K2061)</f>
        <v>B2B</v>
      </c>
    </row>
    <row r="2062" spans="1:17" x14ac:dyDescent="0.3">
      <c r="A2062">
        <v>3060</v>
      </c>
      <c r="B2062" t="s">
        <v>2086</v>
      </c>
      <c r="C2062" t="s">
        <v>29</v>
      </c>
      <c r="D2062" t="s">
        <v>120</v>
      </c>
      <c r="E2062">
        <v>2</v>
      </c>
      <c r="G2062">
        <v>0.71</v>
      </c>
      <c r="H2062" s="3">
        <f t="shared" si="160"/>
        <v>5660.2651428571462</v>
      </c>
      <c r="I2062" s="1">
        <v>45679</v>
      </c>
      <c r="J2062" t="s">
        <v>22</v>
      </c>
      <c r="L2062" s="2">
        <f t="shared" si="161"/>
        <v>2830.1325714285731</v>
      </c>
      <c r="M2062" s="4">
        <f t="shared" si="162"/>
        <v>0.71</v>
      </c>
      <c r="N2062" s="1">
        <f t="shared" si="163"/>
        <v>45679</v>
      </c>
      <c r="O2062" s="3">
        <f>(Table13[[#This Row],[Units_Sold]]*Table13[[#This Row],[Unit_Price_Cleaned]]*(1-Table13[[#This Row],[Discount Cleaned]]))</f>
        <v>1641.4768914285726</v>
      </c>
      <c r="P2062" t="str">
        <f t="shared" si="164"/>
        <v>Profit</v>
      </c>
      <c r="Q2062" t="str" cm="1">
        <f t="array" ref="Q2062">IF(K2062="",INDEX($K$2:$K$2501,MATCH(MAX(COUNTIF($K$2:$K$2501,$K$2:$K$2501)),COUNTIF($K$2:$K$2501,$K$2:$K$2501),0)),K2062)</f>
        <v>B2B</v>
      </c>
    </row>
    <row r="2063" spans="1:17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 s="3">
        <f t="shared" si="160"/>
        <v>-1873.39</v>
      </c>
      <c r="I2063" s="1">
        <v>45646</v>
      </c>
      <c r="J2063" t="s">
        <v>56</v>
      </c>
      <c r="K2063" t="s">
        <v>23</v>
      </c>
      <c r="L2063" s="2">
        <f t="shared" si="161"/>
        <v>1873.39</v>
      </c>
      <c r="M2063" s="4">
        <f t="shared" si="162"/>
        <v>0.74</v>
      </c>
      <c r="N2063" s="1">
        <f t="shared" si="163"/>
        <v>45646</v>
      </c>
      <c r="O2063" s="3">
        <f>(Table13[[#This Row],[Units_Sold]]*Table13[[#This Row],[Unit_Price_Cleaned]]*(1-Table13[[#This Row],[Discount Cleaned]]))</f>
        <v>-487.08140000000003</v>
      </c>
      <c r="P2063" t="str">
        <f t="shared" si="164"/>
        <v>Loss</v>
      </c>
      <c r="Q2063" t="str" cm="1">
        <f t="array" ref="Q2063">IF(K2063="",INDEX($K$2:$K$2501,MATCH(MAX(COUNTIF($K$2:$K$2501,$K$2:$K$2501)),COUNTIF($K$2:$K$2501,$K$2:$K$2501),0)),K2063)</f>
        <v>B2B</v>
      </c>
    </row>
    <row r="2064" spans="1:17" x14ac:dyDescent="0.3">
      <c r="A2064">
        <v>3062</v>
      </c>
      <c r="B2064" t="s">
        <v>2088</v>
      </c>
      <c r="C2064" t="s">
        <v>33</v>
      </c>
      <c r="D2064" t="s">
        <v>72</v>
      </c>
      <c r="E2064">
        <v>2</v>
      </c>
      <c r="F2064">
        <v>4312.55</v>
      </c>
      <c r="H2064" s="3">
        <f t="shared" si="160"/>
        <v>8625.1</v>
      </c>
      <c r="I2064" s="1">
        <v>45666</v>
      </c>
      <c r="J2064" t="s">
        <v>56</v>
      </c>
      <c r="L2064" s="2">
        <f t="shared" si="161"/>
        <v>4312.55</v>
      </c>
      <c r="M2064" s="4">
        <f t="shared" si="162"/>
        <v>0.6</v>
      </c>
      <c r="N2064" s="1">
        <f t="shared" si="163"/>
        <v>45666</v>
      </c>
      <c r="O2064" s="3">
        <f>(Table13[[#This Row],[Units_Sold]]*Table13[[#This Row],[Unit_Price_Cleaned]]*(1-Table13[[#This Row],[Discount Cleaned]]))</f>
        <v>3450.0400000000004</v>
      </c>
      <c r="P2064" t="str">
        <f t="shared" si="164"/>
        <v>Profit</v>
      </c>
      <c r="Q2064" t="str" cm="1">
        <f t="array" ref="Q2064">IF(K2064="",INDEX($K$2:$K$2501,MATCH(MAX(COUNTIF($K$2:$K$2501,$K$2:$K$2501)),COUNTIF($K$2:$K$2501,$K$2:$K$2501),0)),K2064)</f>
        <v>B2B</v>
      </c>
    </row>
    <row r="2065" spans="1:17" x14ac:dyDescent="0.3">
      <c r="A2065">
        <v>3063</v>
      </c>
      <c r="B2065" t="s">
        <v>2089</v>
      </c>
      <c r="C2065" t="s">
        <v>33</v>
      </c>
      <c r="D2065" t="s">
        <v>82</v>
      </c>
      <c r="E2065">
        <v>2</v>
      </c>
      <c r="F2065">
        <v>4971.93</v>
      </c>
      <c r="G2065">
        <v>0.51</v>
      </c>
      <c r="H2065" s="3">
        <f t="shared" si="160"/>
        <v>9943.86</v>
      </c>
      <c r="I2065" s="1">
        <v>45760</v>
      </c>
      <c r="J2065" t="s">
        <v>56</v>
      </c>
      <c r="L2065" s="2">
        <f t="shared" si="161"/>
        <v>4971.93</v>
      </c>
      <c r="M2065" s="4">
        <f t="shared" si="162"/>
        <v>0.51</v>
      </c>
      <c r="N2065" s="1">
        <f t="shared" si="163"/>
        <v>45760</v>
      </c>
      <c r="O2065" s="3">
        <f>(Table13[[#This Row],[Units_Sold]]*Table13[[#This Row],[Unit_Price_Cleaned]]*(1-Table13[[#This Row],[Discount Cleaned]]))</f>
        <v>4872.4913999999999</v>
      </c>
      <c r="P2065" t="str">
        <f t="shared" si="164"/>
        <v>Profit</v>
      </c>
      <c r="Q2065" t="str" cm="1">
        <f t="array" ref="Q2065">IF(K2065="",INDEX($K$2:$K$2501,MATCH(MAX(COUNTIF($K$2:$K$2501,$K$2:$K$2501)),COUNTIF($K$2:$K$2501,$K$2:$K$2501),0)),K2065)</f>
        <v>B2B</v>
      </c>
    </row>
    <row r="2066" spans="1:17" x14ac:dyDescent="0.3">
      <c r="A2066">
        <v>3064</v>
      </c>
      <c r="B2066" t="s">
        <v>2090</v>
      </c>
      <c r="C2066" t="s">
        <v>20</v>
      </c>
      <c r="D2066" t="s">
        <v>21</v>
      </c>
      <c r="E2066">
        <v>2</v>
      </c>
      <c r="G2066">
        <v>1.24</v>
      </c>
      <c r="H2066" s="3">
        <f t="shared" si="160"/>
        <v>5362.348727272727</v>
      </c>
      <c r="I2066" s="1">
        <v>45779</v>
      </c>
      <c r="J2066" t="s">
        <v>56</v>
      </c>
      <c r="L2066" s="2">
        <f t="shared" si="161"/>
        <v>2681.1743636363635</v>
      </c>
      <c r="M2066" s="4">
        <f t="shared" si="162"/>
        <v>1.24</v>
      </c>
      <c r="N2066" s="1">
        <f t="shared" si="163"/>
        <v>45779</v>
      </c>
      <c r="O2066" s="3">
        <f>(Table13[[#This Row],[Units_Sold]]*Table13[[#This Row],[Unit_Price_Cleaned]]*(1-Table13[[#This Row],[Discount Cleaned]]))</f>
        <v>-1286.9636945454545</v>
      </c>
      <c r="P2066" t="str">
        <f t="shared" si="164"/>
        <v>Loss</v>
      </c>
      <c r="Q2066" t="str" cm="1">
        <f t="array" ref="Q2066">IF(K2066="",INDEX($K$2:$K$2501,MATCH(MAX(COUNTIF($K$2:$K$2501,$K$2:$K$2501)),COUNTIF($K$2:$K$2501,$K$2:$K$2501),0)),K2066)</f>
        <v>B2B</v>
      </c>
    </row>
    <row r="2067" spans="1:17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 s="3">
        <f t="shared" si="160"/>
        <v>-873.64</v>
      </c>
      <c r="I2067" s="1">
        <v>45736</v>
      </c>
      <c r="J2067" t="s">
        <v>46</v>
      </c>
      <c r="L2067" s="2">
        <f t="shared" si="161"/>
        <v>873.64</v>
      </c>
      <c r="M2067" s="4">
        <f t="shared" si="162"/>
        <v>0.17</v>
      </c>
      <c r="N2067" s="1">
        <f t="shared" si="163"/>
        <v>45736</v>
      </c>
      <c r="O2067" s="3">
        <f>(Table13[[#This Row],[Units_Sold]]*Table13[[#This Row],[Unit_Price_Cleaned]]*(1-Table13[[#This Row],[Discount Cleaned]]))</f>
        <v>-725.12119999999993</v>
      </c>
      <c r="P2067" t="str">
        <f t="shared" si="164"/>
        <v>Loss</v>
      </c>
      <c r="Q2067" t="str" cm="1">
        <f t="array" ref="Q2067">IF(K2067="",INDEX($K$2:$K$2501,MATCH(MAX(COUNTIF($K$2:$K$2501,$K$2:$K$2501)),COUNTIF($K$2:$K$2501,$K$2:$K$2501),0)),K2067)</f>
        <v>B2B</v>
      </c>
    </row>
    <row r="2068" spans="1:17" x14ac:dyDescent="0.3">
      <c r="A2068">
        <v>3066</v>
      </c>
      <c r="B2068" t="s">
        <v>2092</v>
      </c>
      <c r="C2068" t="s">
        <v>25</v>
      </c>
      <c r="D2068" t="s">
        <v>86</v>
      </c>
      <c r="E2068">
        <v>2</v>
      </c>
      <c r="G2068">
        <v>1.28</v>
      </c>
      <c r="H2068" s="3">
        <f t="shared" si="160"/>
        <v>5003.0619999999999</v>
      </c>
      <c r="I2068" s="1">
        <v>45806</v>
      </c>
      <c r="J2068" t="s">
        <v>22</v>
      </c>
      <c r="K2068" t="s">
        <v>16</v>
      </c>
      <c r="L2068" s="2">
        <f t="shared" si="161"/>
        <v>2501.5309999999999</v>
      </c>
      <c r="M2068" s="4">
        <f t="shared" si="162"/>
        <v>1.28</v>
      </c>
      <c r="N2068" s="1">
        <f t="shared" si="163"/>
        <v>45806</v>
      </c>
      <c r="O2068" s="3">
        <f>(Table13[[#This Row],[Units_Sold]]*Table13[[#This Row],[Unit_Price_Cleaned]]*(1-Table13[[#This Row],[Discount Cleaned]]))</f>
        <v>-1400.8573600000002</v>
      </c>
      <c r="P2068" t="str">
        <f t="shared" si="164"/>
        <v>Loss</v>
      </c>
      <c r="Q2068" t="str" cm="1">
        <f t="array" ref="Q2068">IF(K2068="",INDEX($K$2:$K$2501,MATCH(MAX(COUNTIF($K$2:$K$2501,$K$2:$K$2501)),COUNTIF($K$2:$K$2501,$K$2:$K$2501),0)),K2068)</f>
        <v>B2C</v>
      </c>
    </row>
    <row r="2069" spans="1:17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 s="3">
        <f t="shared" si="160"/>
        <v>0</v>
      </c>
      <c r="I2069" s="1">
        <v>45575</v>
      </c>
      <c r="J2069" t="s">
        <v>40</v>
      </c>
      <c r="L2069" s="2">
        <f t="shared" si="161"/>
        <v>2841.7630612244907</v>
      </c>
      <c r="M2069" s="4">
        <f t="shared" si="162"/>
        <v>0.6</v>
      </c>
      <c r="N2069" s="1">
        <f t="shared" si="163"/>
        <v>45575</v>
      </c>
      <c r="O2069" s="3">
        <f>(Table13[[#This Row],[Units_Sold]]*Table13[[#This Row],[Unit_Price_Cleaned]]*(1-Table13[[#This Row],[Discount Cleaned]]))</f>
        <v>0</v>
      </c>
      <c r="P2069" t="str">
        <f t="shared" si="164"/>
        <v>Loss</v>
      </c>
      <c r="Q2069" t="str" cm="1">
        <f t="array" ref="Q2069">IF(K2069="",INDEX($K$2:$K$2501,MATCH(MAX(COUNTIF($K$2:$K$2501,$K$2:$K$2501)),COUNTIF($K$2:$K$2501,$K$2:$K$2501),0)),K2069)</f>
        <v>B2B</v>
      </c>
    </row>
    <row r="2070" spans="1:17" x14ac:dyDescent="0.3">
      <c r="A2070">
        <v>3068</v>
      </c>
      <c r="B2070" t="s">
        <v>2094</v>
      </c>
      <c r="C2070" t="s">
        <v>25</v>
      </c>
      <c r="D2070" t="s">
        <v>54</v>
      </c>
      <c r="E2070">
        <v>2</v>
      </c>
      <c r="G2070">
        <v>0.99</v>
      </c>
      <c r="H2070" s="3">
        <f t="shared" si="160"/>
        <v>5060.7673076923093</v>
      </c>
      <c r="J2070" t="s">
        <v>46</v>
      </c>
      <c r="K2070" t="s">
        <v>16</v>
      </c>
      <c r="L2070" s="2">
        <f t="shared" si="161"/>
        <v>2530.3836538461546</v>
      </c>
      <c r="M2070" s="4">
        <f t="shared" si="162"/>
        <v>0.99</v>
      </c>
      <c r="N2070" s="1">
        <f t="shared" si="163"/>
        <v>45782</v>
      </c>
      <c r="O2070" s="3">
        <f>(Table13[[#This Row],[Units_Sold]]*Table13[[#This Row],[Unit_Price_Cleaned]]*(1-Table13[[#This Row],[Discount Cleaned]]))</f>
        <v>50.607673076923135</v>
      </c>
      <c r="P2070" t="str">
        <f t="shared" si="164"/>
        <v>Loss</v>
      </c>
      <c r="Q2070" t="str" cm="1">
        <f t="array" ref="Q2070">IF(K2070="",INDEX($K$2:$K$2501,MATCH(MAX(COUNTIF($K$2:$K$2501,$K$2:$K$2501)),COUNTIF($K$2:$K$2501,$K$2:$K$2501),0)),K2070)</f>
        <v>B2C</v>
      </c>
    </row>
    <row r="2071" spans="1:17" x14ac:dyDescent="0.3">
      <c r="A2071">
        <v>3069</v>
      </c>
      <c r="B2071" t="s">
        <v>2095</v>
      </c>
      <c r="C2071" t="s">
        <v>20</v>
      </c>
      <c r="D2071" t="s">
        <v>21</v>
      </c>
      <c r="E2071">
        <v>2</v>
      </c>
      <c r="H2071" s="3">
        <f t="shared" si="160"/>
        <v>5362.348727272727</v>
      </c>
      <c r="I2071" s="1">
        <v>45591</v>
      </c>
      <c r="J2071" t="s">
        <v>40</v>
      </c>
      <c r="L2071" s="2">
        <f t="shared" si="161"/>
        <v>2681.1743636363635</v>
      </c>
      <c r="M2071" s="4">
        <f t="shared" si="162"/>
        <v>0.6</v>
      </c>
      <c r="N2071" s="1">
        <f t="shared" si="163"/>
        <v>45591</v>
      </c>
      <c r="O2071" s="3">
        <f>(Table13[[#This Row],[Units_Sold]]*Table13[[#This Row],[Unit_Price_Cleaned]]*(1-Table13[[#This Row],[Discount Cleaned]]))</f>
        <v>2144.9394909090911</v>
      </c>
      <c r="P2071" t="str">
        <f t="shared" si="164"/>
        <v>Profit</v>
      </c>
      <c r="Q2071" t="str" cm="1">
        <f t="array" ref="Q2071">IF(K2071="",INDEX($K$2:$K$2501,MATCH(MAX(COUNTIF($K$2:$K$2501,$K$2:$K$2501)),COUNTIF($K$2:$K$2501,$K$2:$K$2501),0)),K2071)</f>
        <v>B2B</v>
      </c>
    </row>
    <row r="2072" spans="1:17" x14ac:dyDescent="0.3">
      <c r="A2072">
        <v>3070</v>
      </c>
      <c r="B2072" t="s">
        <v>2096</v>
      </c>
      <c r="C2072" t="s">
        <v>20</v>
      </c>
      <c r="D2072" t="s">
        <v>122</v>
      </c>
      <c r="E2072">
        <v>2</v>
      </c>
      <c r="H2072" s="3">
        <f t="shared" si="160"/>
        <v>5400.2526086956505</v>
      </c>
      <c r="I2072" s="1">
        <v>45525</v>
      </c>
      <c r="J2072" t="s">
        <v>15</v>
      </c>
      <c r="K2072" t="s">
        <v>23</v>
      </c>
      <c r="L2072" s="2">
        <f t="shared" si="161"/>
        <v>2700.1263043478252</v>
      </c>
      <c r="M2072" s="4">
        <f t="shared" si="162"/>
        <v>0.6</v>
      </c>
      <c r="N2072" s="1">
        <f t="shared" si="163"/>
        <v>45525</v>
      </c>
      <c r="O2072" s="3">
        <f>(Table13[[#This Row],[Units_Sold]]*Table13[[#This Row],[Unit_Price_Cleaned]]*(1-Table13[[#This Row],[Discount Cleaned]]))</f>
        <v>2160.1010434782602</v>
      </c>
      <c r="P2072" t="str">
        <f t="shared" si="164"/>
        <v>Profit</v>
      </c>
      <c r="Q2072" t="str" cm="1">
        <f t="array" ref="Q2072">IF(K2072="",INDEX($K$2:$K$2501,MATCH(MAX(COUNTIF($K$2:$K$2501,$K$2:$K$2501)),COUNTIF($K$2:$K$2501,$K$2:$K$2501),0)),K2072)</f>
        <v>B2B</v>
      </c>
    </row>
    <row r="2073" spans="1:17" x14ac:dyDescent="0.3">
      <c r="A2073">
        <v>3071</v>
      </c>
      <c r="B2073" t="s">
        <v>2097</v>
      </c>
      <c r="C2073" t="s">
        <v>25</v>
      </c>
      <c r="D2073" t="s">
        <v>54</v>
      </c>
      <c r="E2073">
        <v>2</v>
      </c>
      <c r="F2073">
        <v>4617.8500000000004</v>
      </c>
      <c r="G2073">
        <v>1.02</v>
      </c>
      <c r="H2073" s="3">
        <f t="shared" si="160"/>
        <v>9235.7000000000007</v>
      </c>
      <c r="I2073" s="1">
        <v>45229</v>
      </c>
      <c r="J2073" t="s">
        <v>15</v>
      </c>
      <c r="K2073" t="s">
        <v>16</v>
      </c>
      <c r="L2073" s="2">
        <f t="shared" si="161"/>
        <v>4617.8500000000004</v>
      </c>
      <c r="M2073" s="4">
        <f t="shared" si="162"/>
        <v>1.02</v>
      </c>
      <c r="N2073" s="1">
        <f t="shared" si="163"/>
        <v>45229</v>
      </c>
      <c r="O2073" s="3">
        <f>(Table13[[#This Row],[Units_Sold]]*Table13[[#This Row],[Unit_Price_Cleaned]]*(1-Table13[[#This Row],[Discount Cleaned]]))</f>
        <v>-184.71400000000017</v>
      </c>
      <c r="P2073" t="str">
        <f t="shared" si="164"/>
        <v>Loss</v>
      </c>
      <c r="Q2073" t="str" cm="1">
        <f t="array" ref="Q2073">IF(K2073="",INDEX($K$2:$K$2501,MATCH(MAX(COUNTIF($K$2:$K$2501,$K$2:$K$2501)),COUNTIF($K$2:$K$2501,$K$2:$K$2501),0)),K2073)</f>
        <v>B2C</v>
      </c>
    </row>
    <row r="2074" spans="1:17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 s="3">
        <f t="shared" si="160"/>
        <v>15009.186</v>
      </c>
      <c r="I2074" s="1">
        <v>45664</v>
      </c>
      <c r="J2074" t="s">
        <v>18</v>
      </c>
      <c r="K2074" t="s">
        <v>16</v>
      </c>
      <c r="L2074" s="2">
        <f t="shared" si="161"/>
        <v>2501.5309999999999</v>
      </c>
      <c r="M2074" s="4">
        <f t="shared" si="162"/>
        <v>0.6</v>
      </c>
      <c r="N2074" s="1">
        <f t="shared" si="163"/>
        <v>45664</v>
      </c>
      <c r="O2074" s="3">
        <f>(Table13[[#This Row],[Units_Sold]]*Table13[[#This Row],[Unit_Price_Cleaned]]*(1-Table13[[#This Row],[Discount Cleaned]]))</f>
        <v>6003.6743999999999</v>
      </c>
      <c r="P2074" t="str">
        <f t="shared" si="164"/>
        <v>Profit</v>
      </c>
      <c r="Q2074" t="str" cm="1">
        <f t="array" ref="Q2074">IF(K2074="",INDEX($K$2:$K$2501,MATCH(MAX(COUNTIF($K$2:$K$2501,$K$2:$K$2501)),COUNTIF($K$2:$K$2501,$K$2:$K$2501),0)),K2074)</f>
        <v>B2C</v>
      </c>
    </row>
    <row r="2075" spans="1:17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 s="3">
        <f t="shared" si="160"/>
        <v>478.6</v>
      </c>
      <c r="I2075" s="1">
        <v>45753</v>
      </c>
      <c r="J2075" t="s">
        <v>40</v>
      </c>
      <c r="K2075" t="s">
        <v>23</v>
      </c>
      <c r="L2075" s="2">
        <f t="shared" si="161"/>
        <v>478.6</v>
      </c>
      <c r="M2075" s="4">
        <f t="shared" si="162"/>
        <v>1.18</v>
      </c>
      <c r="N2075" s="1">
        <f t="shared" si="163"/>
        <v>45753</v>
      </c>
      <c r="O2075" s="3">
        <f>(Table13[[#This Row],[Units_Sold]]*Table13[[#This Row],[Unit_Price_Cleaned]]*(1-Table13[[#This Row],[Discount Cleaned]]))</f>
        <v>-86.147999999999968</v>
      </c>
      <c r="P2075" t="str">
        <f t="shared" si="164"/>
        <v>Loss</v>
      </c>
      <c r="Q2075" t="str" cm="1">
        <f t="array" ref="Q2075">IF(K2075="",INDEX($K$2:$K$2501,MATCH(MAX(COUNTIF($K$2:$K$2501,$K$2:$K$2501)),COUNTIF($K$2:$K$2501,$K$2:$K$2501),0)),K2075)</f>
        <v>B2B</v>
      </c>
    </row>
    <row r="2076" spans="1:17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 s="3">
        <f t="shared" si="160"/>
        <v>4925.58</v>
      </c>
      <c r="I2076" s="1">
        <v>45327</v>
      </c>
      <c r="J2076" t="s">
        <v>22</v>
      </c>
      <c r="K2076" t="s">
        <v>23</v>
      </c>
      <c r="L2076" s="2">
        <f t="shared" si="161"/>
        <v>2462.79</v>
      </c>
      <c r="M2076" s="4">
        <f t="shared" si="162"/>
        <v>0.6</v>
      </c>
      <c r="N2076" s="1">
        <f t="shared" si="163"/>
        <v>45327</v>
      </c>
      <c r="O2076" s="3">
        <f>(Table13[[#This Row],[Units_Sold]]*Table13[[#This Row],[Unit_Price_Cleaned]]*(1-Table13[[#This Row],[Discount Cleaned]]))</f>
        <v>1970.232</v>
      </c>
      <c r="P2076" t="str">
        <f t="shared" si="164"/>
        <v>Profit</v>
      </c>
      <c r="Q2076" t="str" cm="1">
        <f t="array" ref="Q2076">IF(K2076="",INDEX($K$2:$K$2501,MATCH(MAX(COUNTIF($K$2:$K$2501,$K$2:$K$2501)),COUNTIF($K$2:$K$2501,$K$2:$K$2501),0)),K2076)</f>
        <v>B2B</v>
      </c>
    </row>
    <row r="2077" spans="1:17" x14ac:dyDescent="0.3">
      <c r="A2077">
        <v>3075</v>
      </c>
      <c r="B2077" t="s">
        <v>2101</v>
      </c>
      <c r="C2077" t="s">
        <v>29</v>
      </c>
      <c r="D2077" t="s">
        <v>120</v>
      </c>
      <c r="E2077">
        <v>2</v>
      </c>
      <c r="F2077">
        <v>1501.49</v>
      </c>
      <c r="G2077">
        <v>0.43</v>
      </c>
      <c r="H2077" s="3">
        <f t="shared" si="160"/>
        <v>3002.98</v>
      </c>
      <c r="I2077" s="1">
        <v>45524</v>
      </c>
      <c r="J2077" t="s">
        <v>56</v>
      </c>
      <c r="K2077" t="s">
        <v>16</v>
      </c>
      <c r="L2077" s="2">
        <f t="shared" si="161"/>
        <v>1501.49</v>
      </c>
      <c r="M2077" s="4">
        <f t="shared" si="162"/>
        <v>0.43</v>
      </c>
      <c r="N2077" s="1">
        <f t="shared" si="163"/>
        <v>45524</v>
      </c>
      <c r="O2077" s="3">
        <f>(Table13[[#This Row],[Units_Sold]]*Table13[[#This Row],[Unit_Price_Cleaned]]*(1-Table13[[#This Row],[Discount Cleaned]]))</f>
        <v>1711.6986000000002</v>
      </c>
      <c r="P2077" t="str">
        <f t="shared" si="164"/>
        <v>Profit</v>
      </c>
      <c r="Q2077" t="str" cm="1">
        <f t="array" ref="Q2077">IF(K2077="",INDEX($K$2:$K$2501,MATCH(MAX(COUNTIF($K$2:$K$2501,$K$2:$K$2501)),COUNTIF($K$2:$K$2501,$K$2:$K$2501),0)),K2077)</f>
        <v>B2C</v>
      </c>
    </row>
    <row r="2078" spans="1:17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 s="3">
        <f t="shared" si="160"/>
        <v>0</v>
      </c>
      <c r="I2078" s="1">
        <v>45538</v>
      </c>
      <c r="J2078" t="s">
        <v>46</v>
      </c>
      <c r="L2078" s="2">
        <f t="shared" si="161"/>
        <v>2487.039615384615</v>
      </c>
      <c r="M2078" s="4">
        <f t="shared" si="162"/>
        <v>0.6</v>
      </c>
      <c r="N2078" s="1">
        <f t="shared" si="163"/>
        <v>45538</v>
      </c>
      <c r="O2078" s="3">
        <f>(Table13[[#This Row],[Units_Sold]]*Table13[[#This Row],[Unit_Price_Cleaned]]*(1-Table13[[#This Row],[Discount Cleaned]]))</f>
        <v>0</v>
      </c>
      <c r="P2078" t="str">
        <f t="shared" si="164"/>
        <v>Loss</v>
      </c>
      <c r="Q2078" t="str" cm="1">
        <f t="array" ref="Q2078">IF(K2078="",INDEX($K$2:$K$2501,MATCH(MAX(COUNTIF($K$2:$K$2501,$K$2:$K$2501)),COUNTIF($K$2:$K$2501,$K$2:$K$2501),0)),K2078)</f>
        <v>B2B</v>
      </c>
    </row>
    <row r="2079" spans="1:17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 s="3">
        <f t="shared" si="160"/>
        <v>12033.537777777778</v>
      </c>
      <c r="I2079" s="1">
        <v>45766</v>
      </c>
      <c r="J2079" t="s">
        <v>18</v>
      </c>
      <c r="K2079" t="s">
        <v>16</v>
      </c>
      <c r="L2079" s="2">
        <f t="shared" si="161"/>
        <v>3008.3844444444444</v>
      </c>
      <c r="M2079" s="4">
        <f t="shared" si="162"/>
        <v>0.92</v>
      </c>
      <c r="N2079" s="1">
        <f t="shared" si="163"/>
        <v>45766</v>
      </c>
      <c r="O2079" s="3">
        <f>(Table13[[#This Row],[Units_Sold]]*Table13[[#This Row],[Unit_Price_Cleaned]]*(1-Table13[[#This Row],[Discount Cleaned]]))</f>
        <v>962.68302222222178</v>
      </c>
      <c r="P2079" t="str">
        <f t="shared" si="164"/>
        <v>Profit</v>
      </c>
      <c r="Q2079" t="str" cm="1">
        <f t="array" ref="Q2079">IF(K2079="",INDEX($K$2:$K$2501,MATCH(MAX(COUNTIF($K$2:$K$2501,$K$2:$K$2501)),COUNTIF($K$2:$K$2501,$K$2:$K$2501),0)),K2079)</f>
        <v>B2C</v>
      </c>
    </row>
    <row r="2080" spans="1:17" x14ac:dyDescent="0.3">
      <c r="A2080">
        <v>3078</v>
      </c>
      <c r="B2080" t="s">
        <v>2104</v>
      </c>
      <c r="C2080" t="s">
        <v>20</v>
      </c>
      <c r="D2080" t="s">
        <v>21</v>
      </c>
      <c r="E2080">
        <v>2</v>
      </c>
      <c r="F2080">
        <v>2563.2399999999998</v>
      </c>
      <c r="H2080" s="3">
        <f t="shared" si="160"/>
        <v>5126.4799999999996</v>
      </c>
      <c r="J2080" t="s">
        <v>18</v>
      </c>
      <c r="K2080" t="s">
        <v>23</v>
      </c>
      <c r="L2080" s="2">
        <f t="shared" si="161"/>
        <v>2563.2399999999998</v>
      </c>
      <c r="M2080" s="4">
        <f t="shared" si="162"/>
        <v>0.6</v>
      </c>
      <c r="N2080" s="1">
        <f t="shared" si="163"/>
        <v>45782</v>
      </c>
      <c r="O2080" s="3">
        <f>(Table13[[#This Row],[Units_Sold]]*Table13[[#This Row],[Unit_Price_Cleaned]]*(1-Table13[[#This Row],[Discount Cleaned]]))</f>
        <v>2050.5920000000001</v>
      </c>
      <c r="P2080" t="str">
        <f t="shared" si="164"/>
        <v>Profit</v>
      </c>
      <c r="Q2080" t="str" cm="1">
        <f t="array" ref="Q2080">IF(K2080="",INDEX($K$2:$K$2501,MATCH(MAX(COUNTIF($K$2:$K$2501,$K$2:$K$2501)),COUNTIF($K$2:$K$2501,$K$2:$K$2501),0)),K2080)</f>
        <v>B2B</v>
      </c>
    </row>
    <row r="2081" spans="1:17" x14ac:dyDescent="0.3">
      <c r="A2081">
        <v>3079</v>
      </c>
      <c r="B2081" t="s">
        <v>2105</v>
      </c>
      <c r="C2081" t="s">
        <v>25</v>
      </c>
      <c r="D2081" t="s">
        <v>86</v>
      </c>
      <c r="E2081">
        <v>2</v>
      </c>
      <c r="F2081">
        <v>2839.98</v>
      </c>
      <c r="H2081" s="3">
        <f t="shared" si="160"/>
        <v>5679.96</v>
      </c>
      <c r="I2081" s="1">
        <v>45519</v>
      </c>
      <c r="J2081" t="s">
        <v>22</v>
      </c>
      <c r="K2081" t="s">
        <v>23</v>
      </c>
      <c r="L2081" s="2">
        <f t="shared" si="161"/>
        <v>2839.98</v>
      </c>
      <c r="M2081" s="4">
        <f t="shared" si="162"/>
        <v>0.6</v>
      </c>
      <c r="N2081" s="1">
        <f t="shared" si="163"/>
        <v>45519</v>
      </c>
      <c r="O2081" s="3">
        <f>(Table13[[#This Row],[Units_Sold]]*Table13[[#This Row],[Unit_Price_Cleaned]]*(1-Table13[[#This Row],[Discount Cleaned]]))</f>
        <v>2271.9839999999999</v>
      </c>
      <c r="P2081" t="str">
        <f t="shared" si="164"/>
        <v>Profit</v>
      </c>
      <c r="Q2081" t="str" cm="1">
        <f t="array" ref="Q2081">IF(K2081="",INDEX($K$2:$K$2501,MATCH(MAX(COUNTIF($K$2:$K$2501,$K$2:$K$2501)),COUNTIF($K$2:$K$2501,$K$2:$K$2501),0)),K2081)</f>
        <v>B2B</v>
      </c>
    </row>
    <row r="2082" spans="1:17" x14ac:dyDescent="0.3">
      <c r="A2082">
        <v>3080</v>
      </c>
      <c r="B2082" t="s">
        <v>2106</v>
      </c>
      <c r="C2082" t="s">
        <v>33</v>
      </c>
      <c r="D2082" t="s">
        <v>34</v>
      </c>
      <c r="E2082">
        <v>2</v>
      </c>
      <c r="H2082" s="3">
        <f t="shared" si="160"/>
        <v>4974.07923076923</v>
      </c>
      <c r="I2082" s="1">
        <v>45777</v>
      </c>
      <c r="J2082" t="s">
        <v>40</v>
      </c>
      <c r="K2082" t="s">
        <v>23</v>
      </c>
      <c r="L2082" s="2">
        <f t="shared" si="161"/>
        <v>2487.039615384615</v>
      </c>
      <c r="M2082" s="4">
        <f t="shared" si="162"/>
        <v>0.6</v>
      </c>
      <c r="N2082" s="1">
        <f t="shared" si="163"/>
        <v>45777</v>
      </c>
      <c r="O2082" s="3">
        <f>(Table13[[#This Row],[Units_Sold]]*Table13[[#This Row],[Unit_Price_Cleaned]]*(1-Table13[[#This Row],[Discount Cleaned]]))</f>
        <v>1989.631692307692</v>
      </c>
      <c r="P2082" t="str">
        <f t="shared" si="164"/>
        <v>Profit</v>
      </c>
      <c r="Q2082" t="str" cm="1">
        <f t="array" ref="Q2082">IF(K2082="",INDEX($K$2:$K$2501,MATCH(MAX(COUNTIF($K$2:$K$2501,$K$2:$K$2501)),COUNTIF($K$2:$K$2501,$K$2:$K$2501),0)),K2082)</f>
        <v>B2B</v>
      </c>
    </row>
    <row r="2083" spans="1:17" x14ac:dyDescent="0.3">
      <c r="A2083">
        <v>3081</v>
      </c>
      <c r="B2083" t="s">
        <v>2107</v>
      </c>
      <c r="C2083" t="s">
        <v>33</v>
      </c>
      <c r="D2083" t="s">
        <v>44</v>
      </c>
      <c r="E2083">
        <v>2</v>
      </c>
      <c r="H2083" s="3">
        <f t="shared" si="160"/>
        <v>5683.5261224489814</v>
      </c>
      <c r="J2083" t="s">
        <v>18</v>
      </c>
      <c r="L2083" s="2">
        <f t="shared" si="161"/>
        <v>2841.7630612244907</v>
      </c>
      <c r="M2083" s="4">
        <f t="shared" si="162"/>
        <v>0.6</v>
      </c>
      <c r="N2083" s="1">
        <f t="shared" si="163"/>
        <v>45782</v>
      </c>
      <c r="O2083" s="3">
        <f>(Table13[[#This Row],[Units_Sold]]*Table13[[#This Row],[Unit_Price_Cleaned]]*(1-Table13[[#This Row],[Discount Cleaned]]))</f>
        <v>2273.4104489795927</v>
      </c>
      <c r="P2083" t="str">
        <f t="shared" si="164"/>
        <v>Profit</v>
      </c>
      <c r="Q2083" t="str" cm="1">
        <f t="array" ref="Q2083">IF(K2083="",INDEX($K$2:$K$2501,MATCH(MAX(COUNTIF($K$2:$K$2501,$K$2:$K$2501)),COUNTIF($K$2:$K$2501,$K$2:$K$2501),0)),K2083)</f>
        <v>B2B</v>
      </c>
    </row>
    <row r="2084" spans="1:17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 s="3">
        <f t="shared" si="160"/>
        <v>14021.32596153846</v>
      </c>
      <c r="I2084" s="1">
        <v>45797</v>
      </c>
      <c r="J2084" t="s">
        <v>46</v>
      </c>
      <c r="L2084" s="2">
        <f t="shared" si="161"/>
        <v>2804.2651923076919</v>
      </c>
      <c r="M2084" s="4">
        <f t="shared" si="162"/>
        <v>0.6</v>
      </c>
      <c r="N2084" s="1">
        <f t="shared" si="163"/>
        <v>45797</v>
      </c>
      <c r="O2084" s="3">
        <f>(Table13[[#This Row],[Units_Sold]]*Table13[[#This Row],[Unit_Price_Cleaned]]*(1-Table13[[#This Row],[Discount Cleaned]]))</f>
        <v>5608.5303846153838</v>
      </c>
      <c r="P2084" t="str">
        <f t="shared" si="164"/>
        <v>Profit</v>
      </c>
      <c r="Q2084" t="str" cm="1">
        <f t="array" ref="Q2084">IF(K2084="",INDEX($K$2:$K$2501,MATCH(MAX(COUNTIF($K$2:$K$2501,$K$2:$K$2501)),COUNTIF($K$2:$K$2501,$K$2:$K$2501),0)),K2084)</f>
        <v>B2B</v>
      </c>
    </row>
    <row r="2085" spans="1:17" x14ac:dyDescent="0.3">
      <c r="A2085">
        <v>3083</v>
      </c>
      <c r="B2085" t="s">
        <v>2109</v>
      </c>
      <c r="C2085" t="s">
        <v>33</v>
      </c>
      <c r="D2085" t="s">
        <v>34</v>
      </c>
      <c r="E2085">
        <v>2</v>
      </c>
      <c r="F2085">
        <v>1573.64</v>
      </c>
      <c r="H2085" s="3">
        <f t="shared" si="160"/>
        <v>3147.28</v>
      </c>
      <c r="I2085" s="1">
        <v>45846</v>
      </c>
      <c r="J2085" t="s">
        <v>15</v>
      </c>
      <c r="L2085" s="2">
        <f t="shared" si="161"/>
        <v>1573.64</v>
      </c>
      <c r="M2085" s="4">
        <f t="shared" si="162"/>
        <v>0.6</v>
      </c>
      <c r="N2085" s="1">
        <f t="shared" si="163"/>
        <v>45846</v>
      </c>
      <c r="O2085" s="3">
        <f>(Table13[[#This Row],[Units_Sold]]*Table13[[#This Row],[Unit_Price_Cleaned]]*(1-Table13[[#This Row],[Discount Cleaned]]))</f>
        <v>1258.9120000000003</v>
      </c>
      <c r="P2085" t="str">
        <f t="shared" si="164"/>
        <v>Profit</v>
      </c>
      <c r="Q2085" t="str" cm="1">
        <f t="array" ref="Q2085">IF(K2085="",INDEX($K$2:$K$2501,MATCH(MAX(COUNTIF($K$2:$K$2501,$K$2:$K$2501)),COUNTIF($K$2:$K$2501,$K$2:$K$2501),0)),K2085)</f>
        <v>B2B</v>
      </c>
    </row>
    <row r="2086" spans="1:17" x14ac:dyDescent="0.3">
      <c r="A2086">
        <v>3084</v>
      </c>
      <c r="B2086" t="s">
        <v>2110</v>
      </c>
      <c r="C2086" t="s">
        <v>33</v>
      </c>
      <c r="D2086" t="s">
        <v>44</v>
      </c>
      <c r="E2086">
        <v>2</v>
      </c>
      <c r="F2086">
        <v>2316.64</v>
      </c>
      <c r="G2086">
        <v>0.7</v>
      </c>
      <c r="H2086" s="3">
        <f t="shared" si="160"/>
        <v>4633.28</v>
      </c>
      <c r="I2086" s="1">
        <v>45553</v>
      </c>
      <c r="J2086" t="s">
        <v>18</v>
      </c>
      <c r="K2086" t="s">
        <v>23</v>
      </c>
      <c r="L2086" s="2">
        <f t="shared" si="161"/>
        <v>2316.64</v>
      </c>
      <c r="M2086" s="4">
        <f t="shared" si="162"/>
        <v>0.7</v>
      </c>
      <c r="N2086" s="1">
        <f t="shared" si="163"/>
        <v>45553</v>
      </c>
      <c r="O2086" s="3">
        <f>(Table13[[#This Row],[Units_Sold]]*Table13[[#This Row],[Unit_Price_Cleaned]]*(1-Table13[[#This Row],[Discount Cleaned]]))</f>
        <v>1389.9840000000002</v>
      </c>
      <c r="P2086" t="str">
        <f t="shared" si="164"/>
        <v>Profit</v>
      </c>
      <c r="Q2086" t="str" cm="1">
        <f t="array" ref="Q2086">IF(K2086="",INDEX($K$2:$K$2501,MATCH(MAX(COUNTIF($K$2:$K$2501,$K$2:$K$2501)),COUNTIF($K$2:$K$2501,$K$2:$K$2501),0)),K2086)</f>
        <v>B2B</v>
      </c>
    </row>
    <row r="2087" spans="1:17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 s="3">
        <f t="shared" si="160"/>
        <v>9948.15846153846</v>
      </c>
      <c r="I2087" s="1">
        <v>45532</v>
      </c>
      <c r="J2087" t="s">
        <v>22</v>
      </c>
      <c r="K2087" t="s">
        <v>16</v>
      </c>
      <c r="L2087" s="2">
        <f t="shared" si="161"/>
        <v>2487.039615384615</v>
      </c>
      <c r="M2087" s="4">
        <f t="shared" si="162"/>
        <v>0.6</v>
      </c>
      <c r="N2087" s="1">
        <f t="shared" si="163"/>
        <v>45532</v>
      </c>
      <c r="O2087" s="3">
        <f>(Table13[[#This Row],[Units_Sold]]*Table13[[#This Row],[Unit_Price_Cleaned]]*(1-Table13[[#This Row],[Discount Cleaned]]))</f>
        <v>3979.263384615384</v>
      </c>
      <c r="P2087" t="str">
        <f t="shared" si="164"/>
        <v>Profit</v>
      </c>
      <c r="Q2087" t="str" cm="1">
        <f t="array" ref="Q2087">IF(K2087="",INDEX($K$2:$K$2501,MATCH(MAX(COUNTIF($K$2:$K$2501,$K$2:$K$2501)),COUNTIF($K$2:$K$2501,$K$2:$K$2501),0)),K2087)</f>
        <v>B2C</v>
      </c>
    </row>
    <row r="2088" spans="1:17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 s="3">
        <f t="shared" si="160"/>
        <v>-2830.1325714285731</v>
      </c>
      <c r="I2088" s="1">
        <v>45253</v>
      </c>
      <c r="J2088" t="s">
        <v>15</v>
      </c>
      <c r="K2088" t="s">
        <v>23</v>
      </c>
      <c r="L2088" s="2">
        <f t="shared" si="161"/>
        <v>2830.1325714285731</v>
      </c>
      <c r="M2088" s="4">
        <f t="shared" si="162"/>
        <v>0.6</v>
      </c>
      <c r="N2088" s="1">
        <f t="shared" si="163"/>
        <v>45253</v>
      </c>
      <c r="O2088" s="3">
        <f>(Table13[[#This Row],[Units_Sold]]*Table13[[#This Row],[Unit_Price_Cleaned]]*(1-Table13[[#This Row],[Discount Cleaned]]))</f>
        <v>-1132.0530285714292</v>
      </c>
      <c r="P2088" t="str">
        <f t="shared" si="164"/>
        <v>Loss</v>
      </c>
      <c r="Q2088" t="str" cm="1">
        <f t="array" ref="Q2088">IF(K2088="",INDEX($K$2:$K$2501,MATCH(MAX(COUNTIF($K$2:$K$2501,$K$2:$K$2501)),COUNTIF($K$2:$K$2501,$K$2:$K$2501),0)),K2088)</f>
        <v>B2B</v>
      </c>
    </row>
    <row r="2089" spans="1:17" x14ac:dyDescent="0.3">
      <c r="A2089">
        <v>3087</v>
      </c>
      <c r="B2089" t="s">
        <v>2113</v>
      </c>
      <c r="C2089" t="s">
        <v>13</v>
      </c>
      <c r="D2089" t="s">
        <v>14</v>
      </c>
      <c r="E2089">
        <v>2</v>
      </c>
      <c r="F2089">
        <v>692.46</v>
      </c>
      <c r="G2089">
        <v>1.2</v>
      </c>
      <c r="H2089" s="3">
        <f t="shared" si="160"/>
        <v>1384.92</v>
      </c>
      <c r="I2089" s="1">
        <v>45542</v>
      </c>
      <c r="J2089" t="s">
        <v>40</v>
      </c>
      <c r="L2089" s="2">
        <f t="shared" si="161"/>
        <v>692.46</v>
      </c>
      <c r="M2089" s="4">
        <f t="shared" si="162"/>
        <v>1.2</v>
      </c>
      <c r="N2089" s="1">
        <f t="shared" si="163"/>
        <v>45542</v>
      </c>
      <c r="O2089" s="3">
        <f>(Table13[[#This Row],[Units_Sold]]*Table13[[#This Row],[Unit_Price_Cleaned]]*(1-Table13[[#This Row],[Discount Cleaned]]))</f>
        <v>-276.98399999999998</v>
      </c>
      <c r="P2089" t="str">
        <f t="shared" si="164"/>
        <v>Loss</v>
      </c>
      <c r="Q2089" t="str" cm="1">
        <f t="array" ref="Q2089">IF(K2089="",INDEX($K$2:$K$2501,MATCH(MAX(COUNTIF($K$2:$K$2501,$K$2:$K$2501)),COUNTIF($K$2:$K$2501,$K$2:$K$2501),0)),K2089)</f>
        <v>B2B</v>
      </c>
    </row>
    <row r="2090" spans="1:17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 s="3">
        <f t="shared" si="160"/>
        <v>-6689.48</v>
      </c>
      <c r="I2090" s="1">
        <v>45692</v>
      </c>
      <c r="J2090" t="s">
        <v>18</v>
      </c>
      <c r="K2090" t="s">
        <v>23</v>
      </c>
      <c r="L2090" s="2">
        <f t="shared" si="161"/>
        <v>3344.74</v>
      </c>
      <c r="M2090" s="4">
        <f t="shared" si="162"/>
        <v>1.1000000000000001</v>
      </c>
      <c r="N2090" s="1">
        <f t="shared" si="163"/>
        <v>45692</v>
      </c>
      <c r="O2090" s="3">
        <f>(Table13[[#This Row],[Units_Sold]]*Table13[[#This Row],[Unit_Price_Cleaned]]*(1-Table13[[#This Row],[Discount Cleaned]]))</f>
        <v>668.94800000000055</v>
      </c>
      <c r="P2090" t="str">
        <f t="shared" si="164"/>
        <v>Profit</v>
      </c>
      <c r="Q2090" t="str" cm="1">
        <f t="array" ref="Q2090">IF(K2090="",INDEX($K$2:$K$2501,MATCH(MAX(COUNTIF($K$2:$K$2501,$K$2:$K$2501)),COUNTIF($K$2:$K$2501,$K$2:$K$2501),0)),K2090)</f>
        <v>B2B</v>
      </c>
    </row>
    <row r="2091" spans="1:17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 s="3">
        <f t="shared" si="160"/>
        <v>-6307.44</v>
      </c>
      <c r="I2091" s="1">
        <v>45692</v>
      </c>
      <c r="J2091" t="s">
        <v>56</v>
      </c>
      <c r="K2091" t="s">
        <v>23</v>
      </c>
      <c r="L2091" s="2">
        <f t="shared" si="161"/>
        <v>3153.72</v>
      </c>
      <c r="M2091" s="4">
        <f t="shared" si="162"/>
        <v>0.6</v>
      </c>
      <c r="N2091" s="1">
        <f t="shared" si="163"/>
        <v>45692</v>
      </c>
      <c r="O2091" s="3">
        <f>(Table13[[#This Row],[Units_Sold]]*Table13[[#This Row],[Unit_Price_Cleaned]]*(1-Table13[[#This Row],[Discount Cleaned]]))</f>
        <v>-2522.9760000000001</v>
      </c>
      <c r="P2091" t="str">
        <f t="shared" si="164"/>
        <v>Loss</v>
      </c>
      <c r="Q2091" t="str" cm="1">
        <f t="array" ref="Q2091">IF(K2091="",INDEX($K$2:$K$2501,MATCH(MAX(COUNTIF($K$2:$K$2501,$K$2:$K$2501)),COUNTIF($K$2:$K$2501,$K$2:$K$2501),0)),K2091)</f>
        <v>B2B</v>
      </c>
    </row>
    <row r="2092" spans="1:17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 s="3">
        <f t="shared" si="160"/>
        <v>-6066.4</v>
      </c>
      <c r="I2092" s="1">
        <v>45537</v>
      </c>
      <c r="J2092" t="s">
        <v>46</v>
      </c>
      <c r="K2092" t="s">
        <v>23</v>
      </c>
      <c r="L2092" s="2">
        <f t="shared" si="161"/>
        <v>3033.2</v>
      </c>
      <c r="M2092" s="4">
        <f t="shared" si="162"/>
        <v>0.6</v>
      </c>
      <c r="N2092" s="1">
        <f t="shared" si="163"/>
        <v>45537</v>
      </c>
      <c r="O2092" s="3">
        <f>(Table13[[#This Row],[Units_Sold]]*Table13[[#This Row],[Unit_Price_Cleaned]]*(1-Table13[[#This Row],[Discount Cleaned]]))</f>
        <v>-2426.56</v>
      </c>
      <c r="P2092" t="str">
        <f t="shared" si="164"/>
        <v>Loss</v>
      </c>
      <c r="Q2092" t="str" cm="1">
        <f t="array" ref="Q2092">IF(K2092="",INDEX($K$2:$K$2501,MATCH(MAX(COUNTIF($K$2:$K$2501,$K$2:$K$2501)),COUNTIF($K$2:$K$2501,$K$2:$K$2501),0)),K2092)</f>
        <v>B2B</v>
      </c>
    </row>
    <row r="2093" spans="1:17" x14ac:dyDescent="0.3">
      <c r="A2093">
        <v>3091</v>
      </c>
      <c r="B2093" t="s">
        <v>2117</v>
      </c>
      <c r="C2093" t="s">
        <v>29</v>
      </c>
      <c r="D2093" t="s">
        <v>120</v>
      </c>
      <c r="E2093">
        <v>2</v>
      </c>
      <c r="F2093">
        <v>1091.76</v>
      </c>
      <c r="G2093">
        <v>0.54</v>
      </c>
      <c r="H2093" s="3">
        <f t="shared" si="160"/>
        <v>2183.52</v>
      </c>
      <c r="I2093" s="1">
        <v>45613</v>
      </c>
      <c r="J2093" t="s">
        <v>56</v>
      </c>
      <c r="L2093" s="2">
        <f t="shared" si="161"/>
        <v>1091.76</v>
      </c>
      <c r="M2093" s="4">
        <f t="shared" si="162"/>
        <v>0.54</v>
      </c>
      <c r="N2093" s="1">
        <f t="shared" si="163"/>
        <v>45613</v>
      </c>
      <c r="O2093" s="3">
        <f>(Table13[[#This Row],[Units_Sold]]*Table13[[#This Row],[Unit_Price_Cleaned]]*(1-Table13[[#This Row],[Discount Cleaned]]))</f>
        <v>1004.4191999999999</v>
      </c>
      <c r="P2093" t="str">
        <f t="shared" si="164"/>
        <v>Profit</v>
      </c>
      <c r="Q2093" t="str" cm="1">
        <f t="array" ref="Q2093">IF(K2093="",INDEX($K$2:$K$2501,MATCH(MAX(COUNTIF($K$2:$K$2501,$K$2:$K$2501)),COUNTIF($K$2:$K$2501,$K$2:$K$2501),0)),K2093)</f>
        <v>B2B</v>
      </c>
    </row>
    <row r="2094" spans="1:17" x14ac:dyDescent="0.3">
      <c r="A2094">
        <v>3092</v>
      </c>
      <c r="B2094" t="s">
        <v>2118</v>
      </c>
      <c r="C2094" t="s">
        <v>20</v>
      </c>
      <c r="D2094" t="s">
        <v>21</v>
      </c>
      <c r="E2094">
        <v>2</v>
      </c>
      <c r="H2094" s="3">
        <f t="shared" si="160"/>
        <v>5362.348727272727</v>
      </c>
      <c r="I2094" s="1">
        <v>45714</v>
      </c>
      <c r="J2094" t="s">
        <v>40</v>
      </c>
      <c r="L2094" s="2">
        <f t="shared" si="161"/>
        <v>2681.1743636363635</v>
      </c>
      <c r="M2094" s="4">
        <f t="shared" si="162"/>
        <v>0.6</v>
      </c>
      <c r="N2094" s="1">
        <f t="shared" si="163"/>
        <v>45714</v>
      </c>
      <c r="O2094" s="3">
        <f>(Table13[[#This Row],[Units_Sold]]*Table13[[#This Row],[Unit_Price_Cleaned]]*(1-Table13[[#This Row],[Discount Cleaned]]))</f>
        <v>2144.9394909090911</v>
      </c>
      <c r="P2094" t="str">
        <f t="shared" si="164"/>
        <v>Profit</v>
      </c>
      <c r="Q2094" t="str" cm="1">
        <f t="array" ref="Q2094">IF(K2094="",INDEX($K$2:$K$2501,MATCH(MAX(COUNTIF($K$2:$K$2501,$K$2:$K$2501)),COUNTIF($K$2:$K$2501,$K$2:$K$2501),0)),K2094)</f>
        <v>B2B</v>
      </c>
    </row>
    <row r="2095" spans="1:17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 s="3">
        <f t="shared" si="160"/>
        <v>3102.82</v>
      </c>
      <c r="I2095" s="1">
        <v>45646</v>
      </c>
      <c r="J2095" t="s">
        <v>15</v>
      </c>
      <c r="K2095" t="s">
        <v>16</v>
      </c>
      <c r="L2095" s="2">
        <f t="shared" si="161"/>
        <v>1551.41</v>
      </c>
      <c r="M2095" s="4">
        <f t="shared" si="162"/>
        <v>0.54</v>
      </c>
      <c r="N2095" s="1">
        <f t="shared" si="163"/>
        <v>45646</v>
      </c>
      <c r="O2095" s="3">
        <f>(Table13[[#This Row],[Units_Sold]]*Table13[[#This Row],[Unit_Price_Cleaned]]*(1-Table13[[#This Row],[Discount Cleaned]]))</f>
        <v>1427.2972</v>
      </c>
      <c r="P2095" t="str">
        <f t="shared" si="164"/>
        <v>Profit</v>
      </c>
      <c r="Q2095" t="str" cm="1">
        <f t="array" ref="Q2095">IF(K2095="",INDEX($K$2:$K$2501,MATCH(MAX(COUNTIF($K$2:$K$2501,$K$2:$K$2501)),COUNTIF($K$2:$K$2501,$K$2:$K$2501),0)),K2095)</f>
        <v>B2C</v>
      </c>
    </row>
    <row r="2096" spans="1:17" x14ac:dyDescent="0.3">
      <c r="A2096">
        <v>3094</v>
      </c>
      <c r="B2096" t="s">
        <v>2120</v>
      </c>
      <c r="C2096" t="s">
        <v>38</v>
      </c>
      <c r="D2096" t="s">
        <v>63</v>
      </c>
      <c r="E2096">
        <v>2</v>
      </c>
      <c r="F2096">
        <v>4382.8599999999997</v>
      </c>
      <c r="H2096" s="3">
        <f t="shared" si="160"/>
        <v>8765.7199999999993</v>
      </c>
      <c r="I2096" s="1">
        <v>45772</v>
      </c>
      <c r="J2096" t="s">
        <v>46</v>
      </c>
      <c r="L2096" s="2">
        <f t="shared" si="161"/>
        <v>4382.8599999999997</v>
      </c>
      <c r="M2096" s="4">
        <f t="shared" si="162"/>
        <v>0.6</v>
      </c>
      <c r="N2096" s="1">
        <f t="shared" si="163"/>
        <v>45772</v>
      </c>
      <c r="O2096" s="3">
        <f>(Table13[[#This Row],[Units_Sold]]*Table13[[#This Row],[Unit_Price_Cleaned]]*(1-Table13[[#This Row],[Discount Cleaned]]))</f>
        <v>3506.288</v>
      </c>
      <c r="P2096" t="str">
        <f t="shared" si="164"/>
        <v>Profit</v>
      </c>
      <c r="Q2096" t="str" cm="1">
        <f t="array" ref="Q2096">IF(K2096="",INDEX($K$2:$K$2501,MATCH(MAX(COUNTIF($K$2:$K$2501,$K$2:$K$2501)),COUNTIF($K$2:$K$2501,$K$2:$K$2501),0)),K2096)</f>
        <v>B2B</v>
      </c>
    </row>
    <row r="2097" spans="1:17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 s="3">
        <f t="shared" si="160"/>
        <v>2830.1325714285731</v>
      </c>
      <c r="I2097" s="1">
        <v>45839</v>
      </c>
      <c r="J2097" t="s">
        <v>46</v>
      </c>
      <c r="L2097" s="2">
        <f t="shared" si="161"/>
        <v>2830.1325714285731</v>
      </c>
      <c r="M2097" s="4">
        <f t="shared" si="162"/>
        <v>0.6</v>
      </c>
      <c r="N2097" s="1">
        <f t="shared" si="163"/>
        <v>45839</v>
      </c>
      <c r="O2097" s="3">
        <f>(Table13[[#This Row],[Units_Sold]]*Table13[[#This Row],[Unit_Price_Cleaned]]*(1-Table13[[#This Row],[Discount Cleaned]]))</f>
        <v>1132.0530285714292</v>
      </c>
      <c r="P2097" t="str">
        <f t="shared" si="164"/>
        <v>Profit</v>
      </c>
      <c r="Q2097" t="str" cm="1">
        <f t="array" ref="Q2097">IF(K2097="",INDEX($K$2:$K$2501,MATCH(MAX(COUNTIF($K$2:$K$2501,$K$2:$K$2501)),COUNTIF($K$2:$K$2501,$K$2:$K$2501),0)),K2097)</f>
        <v>B2B</v>
      </c>
    </row>
    <row r="2098" spans="1:17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 s="3">
        <f t="shared" si="160"/>
        <v>4624.18</v>
      </c>
      <c r="I2098" s="1">
        <v>45821</v>
      </c>
      <c r="J2098" t="s">
        <v>40</v>
      </c>
      <c r="L2098" s="2">
        <f t="shared" si="161"/>
        <v>2312.09</v>
      </c>
      <c r="M2098" s="4">
        <f t="shared" si="162"/>
        <v>0.6</v>
      </c>
      <c r="N2098" s="1">
        <f t="shared" si="163"/>
        <v>45821</v>
      </c>
      <c r="O2098" s="3">
        <f>(Table13[[#This Row],[Units_Sold]]*Table13[[#This Row],[Unit_Price_Cleaned]]*(1-Table13[[#This Row],[Discount Cleaned]]))</f>
        <v>1849.6720000000003</v>
      </c>
      <c r="P2098" t="str">
        <f t="shared" si="164"/>
        <v>Profit</v>
      </c>
      <c r="Q2098" t="str" cm="1">
        <f t="array" ref="Q2098">IF(K2098="",INDEX($K$2:$K$2501,MATCH(MAX(COUNTIF($K$2:$K$2501,$K$2:$K$2501)),COUNTIF($K$2:$K$2501,$K$2:$K$2501),0)),K2098)</f>
        <v>B2B</v>
      </c>
    </row>
    <row r="2099" spans="1:17" x14ac:dyDescent="0.3">
      <c r="A2099">
        <v>3097</v>
      </c>
      <c r="B2099" t="s">
        <v>2123</v>
      </c>
      <c r="C2099" t="s">
        <v>25</v>
      </c>
      <c r="D2099" t="s">
        <v>86</v>
      </c>
      <c r="E2099">
        <v>2</v>
      </c>
      <c r="F2099">
        <v>3111.65</v>
      </c>
      <c r="H2099" s="3">
        <f t="shared" si="160"/>
        <v>6223.3</v>
      </c>
      <c r="I2099" s="1">
        <v>45538</v>
      </c>
      <c r="J2099" t="s">
        <v>56</v>
      </c>
      <c r="K2099" t="s">
        <v>23</v>
      </c>
      <c r="L2099" s="2">
        <f t="shared" si="161"/>
        <v>3111.65</v>
      </c>
      <c r="M2099" s="4">
        <f t="shared" si="162"/>
        <v>0.6</v>
      </c>
      <c r="N2099" s="1">
        <f t="shared" si="163"/>
        <v>45538</v>
      </c>
      <c r="O2099" s="3">
        <f>(Table13[[#This Row],[Units_Sold]]*Table13[[#This Row],[Unit_Price_Cleaned]]*(1-Table13[[#This Row],[Discount Cleaned]]))</f>
        <v>2489.3200000000002</v>
      </c>
      <c r="P2099" t="str">
        <f t="shared" si="164"/>
        <v>Profit</v>
      </c>
      <c r="Q2099" t="str" cm="1">
        <f t="array" ref="Q2099">IF(K2099="",INDEX($K$2:$K$2501,MATCH(MAX(COUNTIF($K$2:$K$2501,$K$2:$K$2501)),COUNTIF($K$2:$K$2501,$K$2:$K$2501),0)),K2099)</f>
        <v>B2B</v>
      </c>
    </row>
    <row r="2100" spans="1:17" x14ac:dyDescent="0.3">
      <c r="A2100">
        <v>1028</v>
      </c>
      <c r="B2100" t="s">
        <v>2124</v>
      </c>
      <c r="C2100" t="s">
        <v>38</v>
      </c>
      <c r="D2100" t="s">
        <v>59</v>
      </c>
      <c r="E2100">
        <v>2</v>
      </c>
      <c r="F2100">
        <v>2996.43</v>
      </c>
      <c r="H2100" s="3">
        <f t="shared" si="160"/>
        <v>5992.86</v>
      </c>
      <c r="J2100" t="s">
        <v>46</v>
      </c>
      <c r="K2100" t="s">
        <v>16</v>
      </c>
      <c r="L2100" s="2">
        <f t="shared" si="161"/>
        <v>2996.43</v>
      </c>
      <c r="M2100" s="4">
        <f t="shared" si="162"/>
        <v>0.6</v>
      </c>
      <c r="N2100" s="1">
        <f t="shared" si="163"/>
        <v>45782</v>
      </c>
      <c r="O2100" s="3">
        <f>(Table13[[#This Row],[Units_Sold]]*Table13[[#This Row],[Unit_Price_Cleaned]]*(1-Table13[[#This Row],[Discount Cleaned]]))</f>
        <v>2397.1439999999998</v>
      </c>
      <c r="P2100" t="str">
        <f t="shared" si="164"/>
        <v>Profit</v>
      </c>
      <c r="Q2100" t="str" cm="1">
        <f t="array" ref="Q2100">IF(K2100="",INDEX($K$2:$K$2501,MATCH(MAX(COUNTIF($K$2:$K$2501,$K$2:$K$2501)),COUNTIF($K$2:$K$2501,$K$2:$K$2501),0)),K2100)</f>
        <v>B2C</v>
      </c>
    </row>
    <row r="2101" spans="1:17" x14ac:dyDescent="0.3">
      <c r="A2101">
        <v>3099</v>
      </c>
      <c r="B2101" t="s">
        <v>2125</v>
      </c>
      <c r="C2101" t="s">
        <v>29</v>
      </c>
      <c r="D2101" t="s">
        <v>120</v>
      </c>
      <c r="E2101">
        <v>2</v>
      </c>
      <c r="F2101">
        <v>4426.87</v>
      </c>
      <c r="H2101" s="3">
        <f t="shared" si="160"/>
        <v>8853.74</v>
      </c>
      <c r="I2101" s="1">
        <v>45647</v>
      </c>
      <c r="J2101" t="s">
        <v>46</v>
      </c>
      <c r="K2101" t="s">
        <v>23</v>
      </c>
      <c r="L2101" s="2">
        <f t="shared" si="161"/>
        <v>4426.87</v>
      </c>
      <c r="M2101" s="4">
        <f t="shared" si="162"/>
        <v>0.6</v>
      </c>
      <c r="N2101" s="1">
        <f t="shared" si="163"/>
        <v>45647</v>
      </c>
      <c r="O2101" s="3">
        <f>(Table13[[#This Row],[Units_Sold]]*Table13[[#This Row],[Unit_Price_Cleaned]]*(1-Table13[[#This Row],[Discount Cleaned]]))</f>
        <v>3541.4960000000001</v>
      </c>
      <c r="P2101" t="str">
        <f t="shared" si="164"/>
        <v>Profit</v>
      </c>
      <c r="Q2101" t="str" cm="1">
        <f t="array" ref="Q2101">IF(K2101="",INDEX($K$2:$K$2501,MATCH(MAX(COUNTIF($K$2:$K$2501,$K$2:$K$2501)),COUNTIF($K$2:$K$2501,$K$2:$K$2501),0)),K2101)</f>
        <v>B2B</v>
      </c>
    </row>
    <row r="2102" spans="1:17" x14ac:dyDescent="0.3">
      <c r="A2102">
        <v>3100</v>
      </c>
      <c r="B2102" t="s">
        <v>2126</v>
      </c>
      <c r="C2102" t="s">
        <v>20</v>
      </c>
      <c r="D2102" t="s">
        <v>122</v>
      </c>
      <c r="E2102">
        <v>2</v>
      </c>
      <c r="H2102" s="3">
        <f t="shared" si="160"/>
        <v>5400.2526086956505</v>
      </c>
      <c r="I2102" s="1">
        <v>45533</v>
      </c>
      <c r="J2102" t="s">
        <v>18</v>
      </c>
      <c r="K2102" t="s">
        <v>23</v>
      </c>
      <c r="L2102" s="2">
        <f t="shared" si="161"/>
        <v>2700.1263043478252</v>
      </c>
      <c r="M2102" s="4">
        <f t="shared" si="162"/>
        <v>0.6</v>
      </c>
      <c r="N2102" s="1">
        <f t="shared" si="163"/>
        <v>45533</v>
      </c>
      <c r="O2102" s="3">
        <f>(Table13[[#This Row],[Units_Sold]]*Table13[[#This Row],[Unit_Price_Cleaned]]*(1-Table13[[#This Row],[Discount Cleaned]]))</f>
        <v>2160.1010434782602</v>
      </c>
      <c r="P2102" t="str">
        <f t="shared" si="164"/>
        <v>Profit</v>
      </c>
      <c r="Q2102" t="str" cm="1">
        <f t="array" ref="Q2102">IF(K2102="",INDEX($K$2:$K$2501,MATCH(MAX(COUNTIF($K$2:$K$2501,$K$2:$K$2501)),COUNTIF($K$2:$K$2501,$K$2:$K$2501),0)),K2102)</f>
        <v>B2B</v>
      </c>
    </row>
    <row r="2103" spans="1:17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 s="3">
        <f t="shared" si="160"/>
        <v>2617.6390384615388</v>
      </c>
      <c r="I2103" s="1">
        <v>45856</v>
      </c>
      <c r="J2103" t="s">
        <v>22</v>
      </c>
      <c r="K2103" t="s">
        <v>23</v>
      </c>
      <c r="L2103" s="2">
        <f t="shared" si="161"/>
        <v>2617.6390384615388</v>
      </c>
      <c r="M2103" s="4">
        <f t="shared" si="162"/>
        <v>0.6</v>
      </c>
      <c r="N2103" s="1">
        <f t="shared" si="163"/>
        <v>45856</v>
      </c>
      <c r="O2103" s="3">
        <f>(Table13[[#This Row],[Units_Sold]]*Table13[[#This Row],[Unit_Price_Cleaned]]*(1-Table13[[#This Row],[Discount Cleaned]]))</f>
        <v>1047.0556153846155</v>
      </c>
      <c r="P2103" t="str">
        <f t="shared" si="164"/>
        <v>Profit</v>
      </c>
      <c r="Q2103" t="str" cm="1">
        <f t="array" ref="Q2103">IF(K2103="",INDEX($K$2:$K$2501,MATCH(MAX(COUNTIF($K$2:$K$2501,$K$2:$K$2501)),COUNTIF($K$2:$K$2501,$K$2:$K$2501),0)),K2103)</f>
        <v>B2B</v>
      </c>
    </row>
    <row r="2104" spans="1:17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 s="3">
        <f t="shared" si="160"/>
        <v>0</v>
      </c>
      <c r="I2104" s="1">
        <v>45607</v>
      </c>
      <c r="J2104" t="s">
        <v>18</v>
      </c>
      <c r="K2104" t="s">
        <v>23</v>
      </c>
      <c r="L2104" s="2">
        <f t="shared" si="161"/>
        <v>2804.2651923076919</v>
      </c>
      <c r="M2104" s="4">
        <f t="shared" si="162"/>
        <v>0.6</v>
      </c>
      <c r="N2104" s="1">
        <f t="shared" si="163"/>
        <v>45607</v>
      </c>
      <c r="O2104" s="3">
        <f>(Table13[[#This Row],[Units_Sold]]*Table13[[#This Row],[Unit_Price_Cleaned]]*(1-Table13[[#This Row],[Discount Cleaned]]))</f>
        <v>0</v>
      </c>
      <c r="P2104" t="str">
        <f t="shared" si="164"/>
        <v>Loss</v>
      </c>
      <c r="Q2104" t="str" cm="1">
        <f t="array" ref="Q2104">IF(K2104="",INDEX($K$2:$K$2501,MATCH(MAX(COUNTIF($K$2:$K$2501,$K$2:$K$2501)),COUNTIF($K$2:$K$2501,$K$2:$K$2501),0)),K2104)</f>
        <v>B2B</v>
      </c>
    </row>
    <row r="2105" spans="1:17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 s="3">
        <f t="shared" si="160"/>
        <v>13881.101000000001</v>
      </c>
      <c r="I2105" s="1">
        <v>45614</v>
      </c>
      <c r="J2105" t="s">
        <v>40</v>
      </c>
      <c r="K2105" t="s">
        <v>16</v>
      </c>
      <c r="L2105" s="2">
        <f t="shared" si="161"/>
        <v>2776.2202000000002</v>
      </c>
      <c r="M2105" s="4">
        <f t="shared" si="162"/>
        <v>0.6</v>
      </c>
      <c r="N2105" s="1">
        <f t="shared" si="163"/>
        <v>45614</v>
      </c>
      <c r="O2105" s="3">
        <f>(Table13[[#This Row],[Units_Sold]]*Table13[[#This Row],[Unit_Price_Cleaned]]*(1-Table13[[#This Row],[Discount Cleaned]]))</f>
        <v>5552.4404000000004</v>
      </c>
      <c r="P2105" t="str">
        <f t="shared" si="164"/>
        <v>Profit</v>
      </c>
      <c r="Q2105" t="str" cm="1">
        <f t="array" ref="Q2105">IF(K2105="",INDEX($K$2:$K$2501,MATCH(MAX(COUNTIF($K$2:$K$2501,$K$2:$K$2501)),COUNTIF($K$2:$K$2501,$K$2:$K$2501),0)),K2105)</f>
        <v>B2C</v>
      </c>
    </row>
    <row r="2106" spans="1:17" x14ac:dyDescent="0.3">
      <c r="A2106">
        <v>3104</v>
      </c>
      <c r="B2106" t="s">
        <v>2130</v>
      </c>
      <c r="C2106" t="s">
        <v>38</v>
      </c>
      <c r="D2106" t="s">
        <v>39</v>
      </c>
      <c r="E2106">
        <v>2</v>
      </c>
      <c r="F2106">
        <v>4274.01</v>
      </c>
      <c r="G2106">
        <v>0.28000000000000003</v>
      </c>
      <c r="H2106" s="3">
        <f t="shared" si="160"/>
        <v>8548.02</v>
      </c>
      <c r="I2106" s="1">
        <v>45637</v>
      </c>
      <c r="J2106" t="s">
        <v>18</v>
      </c>
      <c r="K2106" t="s">
        <v>23</v>
      </c>
      <c r="L2106" s="2">
        <f t="shared" si="161"/>
        <v>4274.01</v>
      </c>
      <c r="M2106" s="4">
        <f t="shared" si="162"/>
        <v>0.28000000000000003</v>
      </c>
      <c r="N2106" s="1">
        <f t="shared" si="163"/>
        <v>45637</v>
      </c>
      <c r="O2106" s="3">
        <f>(Table13[[#This Row],[Units_Sold]]*Table13[[#This Row],[Unit_Price_Cleaned]]*(1-Table13[[#This Row],[Discount Cleaned]]))</f>
        <v>6154.5744000000004</v>
      </c>
      <c r="P2106" t="str">
        <f t="shared" si="164"/>
        <v>Profit</v>
      </c>
      <c r="Q2106" t="str" cm="1">
        <f t="array" ref="Q2106">IF(K2106="",INDEX($K$2:$K$2501,MATCH(MAX(COUNTIF($K$2:$K$2501,$K$2:$K$2501)),COUNTIF($K$2:$K$2501,$K$2:$K$2501),0)),K2106)</f>
        <v>B2B</v>
      </c>
    </row>
    <row r="2107" spans="1:17" x14ac:dyDescent="0.3">
      <c r="A2107">
        <v>3105</v>
      </c>
      <c r="B2107" t="s">
        <v>2131</v>
      </c>
      <c r="C2107" t="s">
        <v>29</v>
      </c>
      <c r="D2107" t="s">
        <v>30</v>
      </c>
      <c r="E2107">
        <v>2</v>
      </c>
      <c r="H2107" s="3">
        <f t="shared" si="160"/>
        <v>5235.2780769230776</v>
      </c>
      <c r="I2107" s="1">
        <v>45786</v>
      </c>
      <c r="J2107" t="s">
        <v>56</v>
      </c>
      <c r="K2107" t="s">
        <v>16</v>
      </c>
      <c r="L2107" s="2">
        <f t="shared" si="161"/>
        <v>2617.6390384615388</v>
      </c>
      <c r="M2107" s="4">
        <f t="shared" si="162"/>
        <v>0.6</v>
      </c>
      <c r="N2107" s="1">
        <f t="shared" si="163"/>
        <v>45786</v>
      </c>
      <c r="O2107" s="3">
        <f>(Table13[[#This Row],[Units_Sold]]*Table13[[#This Row],[Unit_Price_Cleaned]]*(1-Table13[[#This Row],[Discount Cleaned]]))</f>
        <v>2094.111230769231</v>
      </c>
      <c r="P2107" t="str">
        <f t="shared" si="164"/>
        <v>Profit</v>
      </c>
      <c r="Q2107" t="str" cm="1">
        <f t="array" ref="Q2107">IF(K2107="",INDEX($K$2:$K$2501,MATCH(MAX(COUNTIF($K$2:$K$2501,$K$2:$K$2501)),COUNTIF($K$2:$K$2501,$K$2:$K$2501),0)),K2107)</f>
        <v>B2C</v>
      </c>
    </row>
    <row r="2108" spans="1:17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 s="3">
        <f t="shared" si="160"/>
        <v>15358.000384615389</v>
      </c>
      <c r="I2108" s="1">
        <v>45832</v>
      </c>
      <c r="J2108" t="s">
        <v>15</v>
      </c>
      <c r="L2108" s="2">
        <f t="shared" si="161"/>
        <v>2559.6667307692314</v>
      </c>
      <c r="M2108" s="4">
        <f t="shared" si="162"/>
        <v>0.6</v>
      </c>
      <c r="N2108" s="1">
        <f t="shared" si="163"/>
        <v>45832</v>
      </c>
      <c r="O2108" s="3">
        <f>(Table13[[#This Row],[Units_Sold]]*Table13[[#This Row],[Unit_Price_Cleaned]]*(1-Table13[[#This Row],[Discount Cleaned]]))</f>
        <v>6143.2001538461554</v>
      </c>
      <c r="P2108" t="str">
        <f t="shared" si="164"/>
        <v>Profit</v>
      </c>
      <c r="Q2108" t="str" cm="1">
        <f t="array" ref="Q2108">IF(K2108="",INDEX($K$2:$K$2501,MATCH(MAX(COUNTIF($K$2:$K$2501,$K$2:$K$2501)),COUNTIF($K$2:$K$2501,$K$2:$K$2501),0)),K2108)</f>
        <v>B2B</v>
      </c>
    </row>
    <row r="2109" spans="1:17" x14ac:dyDescent="0.3">
      <c r="A2109">
        <v>3107</v>
      </c>
      <c r="B2109" t="s">
        <v>2133</v>
      </c>
      <c r="C2109" t="s">
        <v>13</v>
      </c>
      <c r="D2109" t="s">
        <v>14</v>
      </c>
      <c r="E2109">
        <v>2</v>
      </c>
      <c r="F2109">
        <v>2068.64</v>
      </c>
      <c r="H2109" s="3">
        <f t="shared" si="160"/>
        <v>4137.28</v>
      </c>
      <c r="J2109" t="s">
        <v>22</v>
      </c>
      <c r="K2109" t="s">
        <v>16</v>
      </c>
      <c r="L2109" s="2">
        <f t="shared" si="161"/>
        <v>2068.64</v>
      </c>
      <c r="M2109" s="4">
        <f t="shared" si="162"/>
        <v>0.6</v>
      </c>
      <c r="N2109" s="1">
        <f t="shared" si="163"/>
        <v>45782</v>
      </c>
      <c r="O2109" s="3">
        <f>(Table13[[#This Row],[Units_Sold]]*Table13[[#This Row],[Unit_Price_Cleaned]]*(1-Table13[[#This Row],[Discount Cleaned]]))</f>
        <v>1654.912</v>
      </c>
      <c r="P2109" t="str">
        <f t="shared" si="164"/>
        <v>Profit</v>
      </c>
      <c r="Q2109" t="str" cm="1">
        <f t="array" ref="Q2109">IF(K2109="",INDEX($K$2:$K$2501,MATCH(MAX(COUNTIF($K$2:$K$2501,$K$2:$K$2501)),COUNTIF($K$2:$K$2501,$K$2:$K$2501),0)),K2109)</f>
        <v>B2C</v>
      </c>
    </row>
    <row r="2110" spans="1:17" x14ac:dyDescent="0.3">
      <c r="A2110">
        <v>3108</v>
      </c>
      <c r="B2110" t="s">
        <v>2134</v>
      </c>
      <c r="C2110" t="s">
        <v>38</v>
      </c>
      <c r="D2110" t="s">
        <v>63</v>
      </c>
      <c r="E2110">
        <v>2</v>
      </c>
      <c r="H2110" s="3">
        <f t="shared" si="160"/>
        <v>5690.4839344262318</v>
      </c>
      <c r="I2110" s="1">
        <v>45847</v>
      </c>
      <c r="J2110" t="s">
        <v>22</v>
      </c>
      <c r="L2110" s="2">
        <f t="shared" si="161"/>
        <v>2845.2419672131159</v>
      </c>
      <c r="M2110" s="4">
        <f t="shared" si="162"/>
        <v>0.6</v>
      </c>
      <c r="N2110" s="1">
        <f t="shared" si="163"/>
        <v>45847</v>
      </c>
      <c r="O2110" s="3">
        <f>(Table13[[#This Row],[Units_Sold]]*Table13[[#This Row],[Unit_Price_Cleaned]]*(1-Table13[[#This Row],[Discount Cleaned]]))</f>
        <v>2276.193573770493</v>
      </c>
      <c r="P2110" t="str">
        <f t="shared" si="164"/>
        <v>Profit</v>
      </c>
      <c r="Q2110" t="str" cm="1">
        <f t="array" ref="Q2110">IF(K2110="",INDEX($K$2:$K$2501,MATCH(MAX(COUNTIF($K$2:$K$2501,$K$2:$K$2501)),COUNTIF($K$2:$K$2501,$K$2:$K$2501),0)),K2110)</f>
        <v>B2B</v>
      </c>
    </row>
    <row r="2111" spans="1:17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 s="3">
        <f t="shared" si="160"/>
        <v>12435.198076923076</v>
      </c>
      <c r="J2111" t="s">
        <v>18</v>
      </c>
      <c r="L2111" s="2">
        <f t="shared" si="161"/>
        <v>2487.039615384615</v>
      </c>
      <c r="M2111" s="4">
        <f t="shared" si="162"/>
        <v>0.35</v>
      </c>
      <c r="N2111" s="1">
        <f t="shared" si="163"/>
        <v>45782</v>
      </c>
      <c r="O2111" s="3">
        <f>(Table13[[#This Row],[Units_Sold]]*Table13[[#This Row],[Unit_Price_Cleaned]]*(1-Table13[[#This Row],[Discount Cleaned]]))</f>
        <v>8082.8787499999999</v>
      </c>
      <c r="P2111" t="str">
        <f t="shared" si="164"/>
        <v>Profit</v>
      </c>
      <c r="Q2111" t="str" cm="1">
        <f t="array" ref="Q2111">IF(K2111="",INDEX($K$2:$K$2501,MATCH(MAX(COUNTIF($K$2:$K$2501,$K$2:$K$2501)),COUNTIF($K$2:$K$2501,$K$2:$K$2501),0)),K2111)</f>
        <v>B2B</v>
      </c>
    </row>
    <row r="2112" spans="1:17" x14ac:dyDescent="0.3">
      <c r="A2112">
        <v>3110</v>
      </c>
      <c r="B2112" t="s">
        <v>2136</v>
      </c>
      <c r="C2112" t="s">
        <v>13</v>
      </c>
      <c r="D2112" t="s">
        <v>36</v>
      </c>
      <c r="E2112">
        <v>2</v>
      </c>
      <c r="F2112">
        <v>4103.32</v>
      </c>
      <c r="H2112" s="3">
        <f t="shared" si="160"/>
        <v>8206.64</v>
      </c>
      <c r="I2112" s="1">
        <v>45709</v>
      </c>
      <c r="J2112" t="s">
        <v>15</v>
      </c>
      <c r="L2112" s="2">
        <f t="shared" si="161"/>
        <v>4103.32</v>
      </c>
      <c r="M2112" s="4">
        <f t="shared" si="162"/>
        <v>0.6</v>
      </c>
      <c r="N2112" s="1">
        <f t="shared" si="163"/>
        <v>45709</v>
      </c>
      <c r="O2112" s="3">
        <f>(Table13[[#This Row],[Units_Sold]]*Table13[[#This Row],[Unit_Price_Cleaned]]*(1-Table13[[#This Row],[Discount Cleaned]]))</f>
        <v>3282.6559999999999</v>
      </c>
      <c r="P2112" t="str">
        <f t="shared" si="164"/>
        <v>Profit</v>
      </c>
      <c r="Q2112" t="str" cm="1">
        <f t="array" ref="Q2112">IF(K2112="",INDEX($K$2:$K$2501,MATCH(MAX(COUNTIF($K$2:$K$2501,$K$2:$K$2501)),COUNTIF($K$2:$K$2501,$K$2:$K$2501),0)),K2112)</f>
        <v>B2B</v>
      </c>
    </row>
    <row r="2113" spans="1:17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 s="3">
        <f t="shared" si="160"/>
        <v>-839.87</v>
      </c>
      <c r="J2113" t="s">
        <v>40</v>
      </c>
      <c r="K2113" t="s">
        <v>16</v>
      </c>
      <c r="L2113" s="2">
        <f t="shared" si="161"/>
        <v>839.87</v>
      </c>
      <c r="M2113" s="4">
        <f t="shared" si="162"/>
        <v>0.6</v>
      </c>
      <c r="N2113" s="1">
        <f t="shared" si="163"/>
        <v>45782</v>
      </c>
      <c r="O2113" s="3">
        <f>(Table13[[#This Row],[Units_Sold]]*Table13[[#This Row],[Unit_Price_Cleaned]]*(1-Table13[[#This Row],[Discount Cleaned]]))</f>
        <v>-335.94800000000004</v>
      </c>
      <c r="P2113" t="str">
        <f t="shared" si="164"/>
        <v>Loss</v>
      </c>
      <c r="Q2113" t="str" cm="1">
        <f t="array" ref="Q2113">IF(K2113="",INDEX($K$2:$K$2501,MATCH(MAX(COUNTIF($K$2:$K$2501,$K$2:$K$2501)),COUNTIF($K$2:$K$2501,$K$2:$K$2501),0)),K2113)</f>
        <v>B2C</v>
      </c>
    </row>
    <row r="2114" spans="1:17" x14ac:dyDescent="0.3">
      <c r="A2114">
        <v>3112</v>
      </c>
      <c r="B2114" t="s">
        <v>2138</v>
      </c>
      <c r="C2114" t="s">
        <v>25</v>
      </c>
      <c r="D2114" t="s">
        <v>26</v>
      </c>
      <c r="E2114">
        <v>2</v>
      </c>
      <c r="F2114">
        <v>3026.75</v>
      </c>
      <c r="H2114" s="3">
        <f t="shared" ref="H2114:H2177" si="165">(L2114*E2114)</f>
        <v>6053.5</v>
      </c>
      <c r="I2114" s="1">
        <v>45532</v>
      </c>
      <c r="J2114" t="s">
        <v>15</v>
      </c>
      <c r="K2114" t="s">
        <v>23</v>
      </c>
      <c r="L2114" s="2">
        <f t="shared" ref="L2114:L2177" si="166">IF(F2114="",AVERAGEIF($D$2:$D$2501,D2114,$F$2:$F$2501),F2114)</f>
        <v>3026.75</v>
      </c>
      <c r="M2114" s="4">
        <f t="shared" ref="M2114:M2177" si="167">IF(G2114="",MEDIAN($G$2,$G$2501),G2114)</f>
        <v>0.6</v>
      </c>
      <c r="N2114" s="1">
        <f t="shared" ref="N2114:N2177" si="168">IF(I2114="",MODE($I$32:$I$2501),I2114)</f>
        <v>45532</v>
      </c>
      <c r="O2114" s="3">
        <f>(Table13[[#This Row],[Units_Sold]]*Table13[[#This Row],[Unit_Price_Cleaned]]*(1-Table13[[#This Row],[Discount Cleaned]]))</f>
        <v>2421.4</v>
      </c>
      <c r="P2114" t="str">
        <f t="shared" ref="P2114:P2177" si="169">IF(O2114&gt;500,"Profit","Loss")</f>
        <v>Profit</v>
      </c>
      <c r="Q2114" t="str" cm="1">
        <f t="array" ref="Q2114">IF(K2114="",INDEX($K$2:$K$2501,MATCH(MAX(COUNTIF($K$2:$K$2501,$K$2:$K$2501)),COUNTIF($K$2:$K$2501,$K$2:$K$2501),0)),K2114)</f>
        <v>B2B</v>
      </c>
    </row>
    <row r="2115" spans="1:17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 s="3">
        <f t="shared" si="165"/>
        <v>13027.44</v>
      </c>
      <c r="I2115" s="1">
        <v>45548</v>
      </c>
      <c r="J2115" t="s">
        <v>40</v>
      </c>
      <c r="K2115" t="s">
        <v>23</v>
      </c>
      <c r="L2115" s="2">
        <f t="shared" si="166"/>
        <v>3256.86</v>
      </c>
      <c r="M2115" s="4">
        <f t="shared" si="167"/>
        <v>0.77</v>
      </c>
      <c r="N2115" s="1">
        <f t="shared" si="168"/>
        <v>45548</v>
      </c>
      <c r="O2115" s="3">
        <f>(Table13[[#This Row],[Units_Sold]]*Table13[[#This Row],[Unit_Price_Cleaned]]*(1-Table13[[#This Row],[Discount Cleaned]]))</f>
        <v>2996.3112000000001</v>
      </c>
      <c r="P2115" t="str">
        <f t="shared" si="169"/>
        <v>Profit</v>
      </c>
      <c r="Q2115" t="str" cm="1">
        <f t="array" ref="Q2115">IF(K2115="",INDEX($K$2:$K$2501,MATCH(MAX(COUNTIF($K$2:$K$2501,$K$2:$K$2501)),COUNTIF($K$2:$K$2501,$K$2:$K$2501),0)),K2115)</f>
        <v>B2B</v>
      </c>
    </row>
    <row r="2116" spans="1:17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 s="3">
        <f t="shared" si="165"/>
        <v>8165.22</v>
      </c>
      <c r="J2116" t="s">
        <v>46</v>
      </c>
      <c r="L2116" s="2">
        <f t="shared" si="166"/>
        <v>4082.61</v>
      </c>
      <c r="M2116" s="4">
        <f t="shared" si="167"/>
        <v>0.6</v>
      </c>
      <c r="N2116" s="1">
        <f t="shared" si="168"/>
        <v>45782</v>
      </c>
      <c r="O2116" s="3">
        <f>(Table13[[#This Row],[Units_Sold]]*Table13[[#This Row],[Unit_Price_Cleaned]]*(1-Table13[[#This Row],[Discount Cleaned]]))</f>
        <v>3266.0880000000002</v>
      </c>
      <c r="P2116" t="str">
        <f t="shared" si="169"/>
        <v>Profit</v>
      </c>
      <c r="Q2116" t="str" cm="1">
        <f t="array" ref="Q2116">IF(K2116="",INDEX($K$2:$K$2501,MATCH(MAX(COUNTIF($K$2:$K$2501,$K$2:$K$2501)),COUNTIF($K$2:$K$2501,$K$2:$K$2501),0)),K2116)</f>
        <v>B2B</v>
      </c>
    </row>
    <row r="2117" spans="1:17" x14ac:dyDescent="0.3">
      <c r="A2117">
        <v>3115</v>
      </c>
      <c r="B2117" t="s">
        <v>2141</v>
      </c>
      <c r="C2117" t="s">
        <v>29</v>
      </c>
      <c r="D2117" t="s">
        <v>141</v>
      </c>
      <c r="E2117">
        <v>2</v>
      </c>
      <c r="H2117" s="3">
        <f t="shared" si="165"/>
        <v>4925.58</v>
      </c>
      <c r="I2117" s="1">
        <v>45527</v>
      </c>
      <c r="J2117" t="s">
        <v>56</v>
      </c>
      <c r="L2117" s="2">
        <f t="shared" si="166"/>
        <v>2462.79</v>
      </c>
      <c r="M2117" s="4">
        <f t="shared" si="167"/>
        <v>0.6</v>
      </c>
      <c r="N2117" s="1">
        <f t="shared" si="168"/>
        <v>45527</v>
      </c>
      <c r="O2117" s="3">
        <f>(Table13[[#This Row],[Units_Sold]]*Table13[[#This Row],[Unit_Price_Cleaned]]*(1-Table13[[#This Row],[Discount Cleaned]]))</f>
        <v>1970.232</v>
      </c>
      <c r="P2117" t="str">
        <f t="shared" si="169"/>
        <v>Profit</v>
      </c>
      <c r="Q2117" t="str" cm="1">
        <f t="array" ref="Q2117">IF(K2117="",INDEX($K$2:$K$2501,MATCH(MAX(COUNTIF($K$2:$K$2501,$K$2:$K$2501)),COUNTIF($K$2:$K$2501,$K$2:$K$2501),0)),K2117)</f>
        <v>B2B</v>
      </c>
    </row>
    <row r="2118" spans="1:17" x14ac:dyDescent="0.3">
      <c r="A2118">
        <v>3116</v>
      </c>
      <c r="B2118" t="s">
        <v>2142</v>
      </c>
      <c r="C2118" t="s">
        <v>38</v>
      </c>
      <c r="D2118" t="s">
        <v>63</v>
      </c>
      <c r="E2118">
        <v>2</v>
      </c>
      <c r="F2118">
        <v>1237.1500000000001</v>
      </c>
      <c r="H2118" s="3">
        <f t="shared" si="165"/>
        <v>2474.3000000000002</v>
      </c>
      <c r="I2118" s="1">
        <v>45740</v>
      </c>
      <c r="J2118" t="s">
        <v>40</v>
      </c>
      <c r="K2118" t="s">
        <v>23</v>
      </c>
      <c r="L2118" s="2">
        <f t="shared" si="166"/>
        <v>1237.1500000000001</v>
      </c>
      <c r="M2118" s="4">
        <f t="shared" si="167"/>
        <v>0.6</v>
      </c>
      <c r="N2118" s="1">
        <f t="shared" si="168"/>
        <v>45740</v>
      </c>
      <c r="O2118" s="3">
        <f>(Table13[[#This Row],[Units_Sold]]*Table13[[#This Row],[Unit_Price_Cleaned]]*(1-Table13[[#This Row],[Discount Cleaned]]))</f>
        <v>989.72000000000014</v>
      </c>
      <c r="P2118" t="str">
        <f t="shared" si="169"/>
        <v>Profit</v>
      </c>
      <c r="Q2118" t="str" cm="1">
        <f t="array" ref="Q2118">IF(K2118="",INDEX($K$2:$K$2501,MATCH(MAX(COUNTIF($K$2:$K$2501,$K$2:$K$2501)),COUNTIF($K$2:$K$2501,$K$2:$K$2501),0)),K2118)</f>
        <v>B2B</v>
      </c>
    </row>
    <row r="2119" spans="1:17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 s="3">
        <f t="shared" si="165"/>
        <v>10903.422857142859</v>
      </c>
      <c r="I2119" s="1">
        <v>45563</v>
      </c>
      <c r="J2119" t="s">
        <v>40</v>
      </c>
      <c r="K2119" t="s">
        <v>23</v>
      </c>
      <c r="L2119" s="2">
        <f t="shared" si="166"/>
        <v>2725.8557142857148</v>
      </c>
      <c r="M2119" s="4">
        <f t="shared" si="167"/>
        <v>0.28999999999999998</v>
      </c>
      <c r="N2119" s="1">
        <f t="shared" si="168"/>
        <v>45563</v>
      </c>
      <c r="O2119" s="3">
        <f>(Table13[[#This Row],[Units_Sold]]*Table13[[#This Row],[Unit_Price_Cleaned]]*(1-Table13[[#This Row],[Discount Cleaned]]))</f>
        <v>7741.4302285714293</v>
      </c>
      <c r="P2119" t="str">
        <f t="shared" si="169"/>
        <v>Profit</v>
      </c>
      <c r="Q2119" t="str" cm="1">
        <f t="array" ref="Q2119">IF(K2119="",INDEX($K$2:$K$2501,MATCH(MAX(COUNTIF($K$2:$K$2501,$K$2:$K$2501)),COUNTIF($K$2:$K$2501,$K$2:$K$2501),0)),K2119)</f>
        <v>B2B</v>
      </c>
    </row>
    <row r="2120" spans="1:17" x14ac:dyDescent="0.3">
      <c r="A2120">
        <v>3118</v>
      </c>
      <c r="B2120" t="s">
        <v>2144</v>
      </c>
      <c r="C2120" t="s">
        <v>20</v>
      </c>
      <c r="D2120" t="s">
        <v>21</v>
      </c>
      <c r="E2120">
        <v>2</v>
      </c>
      <c r="F2120">
        <v>948.06</v>
      </c>
      <c r="G2120">
        <v>0.6</v>
      </c>
      <c r="H2120" s="3">
        <f t="shared" si="165"/>
        <v>1896.12</v>
      </c>
      <c r="I2120" s="1">
        <v>45611</v>
      </c>
      <c r="J2120" t="s">
        <v>46</v>
      </c>
      <c r="K2120" t="s">
        <v>23</v>
      </c>
      <c r="L2120" s="2">
        <f t="shared" si="166"/>
        <v>948.06</v>
      </c>
      <c r="M2120" s="4">
        <f t="shared" si="167"/>
        <v>0.6</v>
      </c>
      <c r="N2120" s="1">
        <f t="shared" si="168"/>
        <v>45611</v>
      </c>
      <c r="O2120" s="3">
        <f>(Table13[[#This Row],[Units_Sold]]*Table13[[#This Row],[Unit_Price_Cleaned]]*(1-Table13[[#This Row],[Discount Cleaned]]))</f>
        <v>758.44799999999998</v>
      </c>
      <c r="P2120" t="str">
        <f t="shared" si="169"/>
        <v>Profit</v>
      </c>
      <c r="Q2120" t="str" cm="1">
        <f t="array" ref="Q2120">IF(K2120="",INDEX($K$2:$K$2501,MATCH(MAX(COUNTIF($K$2:$K$2501,$K$2:$K$2501)),COUNTIF($K$2:$K$2501,$K$2:$K$2501),0)),K2120)</f>
        <v>B2B</v>
      </c>
    </row>
    <row r="2121" spans="1:17" x14ac:dyDescent="0.3">
      <c r="A2121">
        <v>3119</v>
      </c>
      <c r="B2121" t="s">
        <v>2145</v>
      </c>
      <c r="C2121" t="s">
        <v>13</v>
      </c>
      <c r="D2121" t="s">
        <v>14</v>
      </c>
      <c r="E2121">
        <v>2</v>
      </c>
      <c r="F2121">
        <v>722.74</v>
      </c>
      <c r="H2121" s="3">
        <f t="shared" si="165"/>
        <v>1445.48</v>
      </c>
      <c r="I2121" s="1">
        <v>45637</v>
      </c>
      <c r="J2121" t="s">
        <v>46</v>
      </c>
      <c r="K2121" t="s">
        <v>16</v>
      </c>
      <c r="L2121" s="2">
        <f t="shared" si="166"/>
        <v>722.74</v>
      </c>
      <c r="M2121" s="4">
        <f t="shared" si="167"/>
        <v>0.6</v>
      </c>
      <c r="N2121" s="1">
        <f t="shared" si="168"/>
        <v>45637</v>
      </c>
      <c r="O2121" s="3">
        <f>(Table13[[#This Row],[Units_Sold]]*Table13[[#This Row],[Unit_Price_Cleaned]]*(1-Table13[[#This Row],[Discount Cleaned]]))</f>
        <v>578.19200000000001</v>
      </c>
      <c r="P2121" t="str">
        <f t="shared" si="169"/>
        <v>Profit</v>
      </c>
      <c r="Q2121" t="str" cm="1">
        <f t="array" ref="Q2121">IF(K2121="",INDEX($K$2:$K$2501,MATCH(MAX(COUNTIF($K$2:$K$2501,$K$2:$K$2501)),COUNTIF($K$2:$K$2501,$K$2:$K$2501),0)),K2121)</f>
        <v>B2C</v>
      </c>
    </row>
    <row r="2122" spans="1:17" x14ac:dyDescent="0.3">
      <c r="A2122">
        <v>3120</v>
      </c>
      <c r="B2122" t="s">
        <v>2146</v>
      </c>
      <c r="C2122" t="s">
        <v>29</v>
      </c>
      <c r="D2122" t="s">
        <v>42</v>
      </c>
      <c r="E2122">
        <v>2</v>
      </c>
      <c r="F2122">
        <v>824.59</v>
      </c>
      <c r="G2122">
        <v>0.13</v>
      </c>
      <c r="H2122" s="3">
        <f t="shared" si="165"/>
        <v>1649.18</v>
      </c>
      <c r="I2122" s="1">
        <v>45818</v>
      </c>
      <c r="J2122" t="s">
        <v>56</v>
      </c>
      <c r="L2122" s="2">
        <f t="shared" si="166"/>
        <v>824.59</v>
      </c>
      <c r="M2122" s="4">
        <f t="shared" si="167"/>
        <v>0.13</v>
      </c>
      <c r="N2122" s="1">
        <f t="shared" si="168"/>
        <v>45818</v>
      </c>
      <c r="O2122" s="3">
        <f>(Table13[[#This Row],[Units_Sold]]*Table13[[#This Row],[Unit_Price_Cleaned]]*(1-Table13[[#This Row],[Discount Cleaned]]))</f>
        <v>1434.7866000000001</v>
      </c>
      <c r="P2122" t="str">
        <f t="shared" si="169"/>
        <v>Profit</v>
      </c>
      <c r="Q2122" t="str" cm="1">
        <f t="array" ref="Q2122">IF(K2122="",INDEX($K$2:$K$2501,MATCH(MAX(COUNTIF($K$2:$K$2501,$K$2:$K$2501)),COUNTIF($K$2:$K$2501,$K$2:$K$2501),0)),K2122)</f>
        <v>B2B</v>
      </c>
    </row>
    <row r="2123" spans="1:17" x14ac:dyDescent="0.3">
      <c r="A2123">
        <v>3121</v>
      </c>
      <c r="B2123" t="s">
        <v>2147</v>
      </c>
      <c r="C2123" t="s">
        <v>20</v>
      </c>
      <c r="D2123" t="s">
        <v>80</v>
      </c>
      <c r="E2123">
        <v>2</v>
      </c>
      <c r="F2123">
        <v>1049.27</v>
      </c>
      <c r="H2123" s="3">
        <f t="shared" si="165"/>
        <v>2098.54</v>
      </c>
      <c r="I2123" s="1">
        <v>45717</v>
      </c>
      <c r="J2123" t="s">
        <v>56</v>
      </c>
      <c r="K2123" t="s">
        <v>16</v>
      </c>
      <c r="L2123" s="2">
        <f t="shared" si="166"/>
        <v>1049.27</v>
      </c>
      <c r="M2123" s="4">
        <f t="shared" si="167"/>
        <v>0.6</v>
      </c>
      <c r="N2123" s="1">
        <f t="shared" si="168"/>
        <v>45717</v>
      </c>
      <c r="O2123" s="3">
        <f>(Table13[[#This Row],[Units_Sold]]*Table13[[#This Row],[Unit_Price_Cleaned]]*(1-Table13[[#This Row],[Discount Cleaned]]))</f>
        <v>839.41600000000005</v>
      </c>
      <c r="P2123" t="str">
        <f t="shared" si="169"/>
        <v>Profit</v>
      </c>
      <c r="Q2123" t="str" cm="1">
        <f t="array" ref="Q2123">IF(K2123="",INDEX($K$2:$K$2501,MATCH(MAX(COUNTIF($K$2:$K$2501,$K$2:$K$2501)),COUNTIF($K$2:$K$2501,$K$2:$K$2501),0)),K2123)</f>
        <v>B2C</v>
      </c>
    </row>
    <row r="2124" spans="1:17" x14ac:dyDescent="0.3">
      <c r="A2124">
        <v>3122</v>
      </c>
      <c r="B2124" t="s">
        <v>2148</v>
      </c>
      <c r="C2124" t="s">
        <v>29</v>
      </c>
      <c r="D2124" t="s">
        <v>30</v>
      </c>
      <c r="E2124">
        <v>2</v>
      </c>
      <c r="G2124">
        <v>1.19</v>
      </c>
      <c r="H2124" s="3">
        <f t="shared" si="165"/>
        <v>5235.2780769230776</v>
      </c>
      <c r="I2124" s="1">
        <v>45649</v>
      </c>
      <c r="J2124" t="s">
        <v>46</v>
      </c>
      <c r="K2124" t="s">
        <v>16</v>
      </c>
      <c r="L2124" s="2">
        <f t="shared" si="166"/>
        <v>2617.6390384615388</v>
      </c>
      <c r="M2124" s="4">
        <f t="shared" si="167"/>
        <v>1.19</v>
      </c>
      <c r="N2124" s="1">
        <f t="shared" si="168"/>
        <v>45649</v>
      </c>
      <c r="O2124" s="3">
        <f>(Table13[[#This Row],[Units_Sold]]*Table13[[#This Row],[Unit_Price_Cleaned]]*(1-Table13[[#This Row],[Discount Cleaned]]))</f>
        <v>-994.70283461538452</v>
      </c>
      <c r="P2124" t="str">
        <f t="shared" si="169"/>
        <v>Loss</v>
      </c>
      <c r="Q2124" t="str" cm="1">
        <f t="array" ref="Q2124">IF(K2124="",INDEX($K$2:$K$2501,MATCH(MAX(COUNTIF($K$2:$K$2501,$K$2:$K$2501)),COUNTIF($K$2:$K$2501,$K$2:$K$2501),0)),K2124)</f>
        <v>B2C</v>
      </c>
    </row>
    <row r="2125" spans="1:17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 s="3">
        <f t="shared" si="165"/>
        <v>12417.922</v>
      </c>
      <c r="I2125" s="1">
        <v>45722</v>
      </c>
      <c r="J2125" t="s">
        <v>56</v>
      </c>
      <c r="K2125" t="s">
        <v>16</v>
      </c>
      <c r="L2125" s="2">
        <f t="shared" si="166"/>
        <v>2483.5844000000002</v>
      </c>
      <c r="M2125" s="4">
        <f t="shared" si="167"/>
        <v>0.6</v>
      </c>
      <c r="N2125" s="1">
        <f t="shared" si="168"/>
        <v>45722</v>
      </c>
      <c r="O2125" s="3">
        <f>(Table13[[#This Row],[Units_Sold]]*Table13[[#This Row],[Unit_Price_Cleaned]]*(1-Table13[[#This Row],[Discount Cleaned]]))</f>
        <v>4967.1688000000004</v>
      </c>
      <c r="P2125" t="str">
        <f t="shared" si="169"/>
        <v>Profit</v>
      </c>
      <c r="Q2125" t="str" cm="1">
        <f t="array" ref="Q2125">IF(K2125="",INDEX($K$2:$K$2501,MATCH(MAX(COUNTIF($K$2:$K$2501,$K$2:$K$2501)),COUNTIF($K$2:$K$2501,$K$2:$K$2501),0)),K2125)</f>
        <v>B2C</v>
      </c>
    </row>
    <row r="2126" spans="1:17" x14ac:dyDescent="0.3">
      <c r="A2126">
        <v>3124</v>
      </c>
      <c r="B2126" t="s">
        <v>2150</v>
      </c>
      <c r="C2126" t="s">
        <v>33</v>
      </c>
      <c r="D2126" t="s">
        <v>34</v>
      </c>
      <c r="E2126">
        <v>2</v>
      </c>
      <c r="G2126">
        <v>0.87</v>
      </c>
      <c r="H2126" s="3">
        <f t="shared" si="165"/>
        <v>4974.07923076923</v>
      </c>
      <c r="I2126" s="1">
        <v>45155</v>
      </c>
      <c r="J2126" t="s">
        <v>46</v>
      </c>
      <c r="K2126" t="s">
        <v>23</v>
      </c>
      <c r="L2126" s="2">
        <f t="shared" si="166"/>
        <v>2487.039615384615</v>
      </c>
      <c r="M2126" s="4">
        <f t="shared" si="167"/>
        <v>0.87</v>
      </c>
      <c r="N2126" s="1">
        <f t="shared" si="168"/>
        <v>45155</v>
      </c>
      <c r="O2126" s="3">
        <f>(Table13[[#This Row],[Units_Sold]]*Table13[[#This Row],[Unit_Price_Cleaned]]*(1-Table13[[#This Row],[Discount Cleaned]]))</f>
        <v>646.63029999999992</v>
      </c>
      <c r="P2126" t="str">
        <f t="shared" si="169"/>
        <v>Profit</v>
      </c>
      <c r="Q2126" t="str" cm="1">
        <f t="array" ref="Q2126">IF(K2126="",INDEX($K$2:$K$2501,MATCH(MAX(COUNTIF($K$2:$K$2501,$K$2:$K$2501)),COUNTIF($K$2:$K$2501,$K$2:$K$2501),0)),K2126)</f>
        <v>B2B</v>
      </c>
    </row>
    <row r="2127" spans="1:17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 s="3">
        <f t="shared" si="165"/>
        <v>21323.95</v>
      </c>
      <c r="I2127" s="1">
        <v>45568</v>
      </c>
      <c r="J2127" t="s">
        <v>18</v>
      </c>
      <c r="K2127" t="s">
        <v>16</v>
      </c>
      <c r="L2127" s="2">
        <f t="shared" si="166"/>
        <v>4264.79</v>
      </c>
      <c r="M2127" s="4">
        <f t="shared" si="167"/>
        <v>0.6</v>
      </c>
      <c r="N2127" s="1">
        <f t="shared" si="168"/>
        <v>45568</v>
      </c>
      <c r="O2127" s="3">
        <f>(Table13[[#This Row],[Units_Sold]]*Table13[[#This Row],[Unit_Price_Cleaned]]*(1-Table13[[#This Row],[Discount Cleaned]]))</f>
        <v>8529.58</v>
      </c>
      <c r="P2127" t="str">
        <f t="shared" si="169"/>
        <v>Profit</v>
      </c>
      <c r="Q2127" t="str" cm="1">
        <f t="array" ref="Q2127">IF(K2127="",INDEX($K$2:$K$2501,MATCH(MAX(COUNTIF($K$2:$K$2501,$K$2:$K$2501)),COUNTIF($K$2:$K$2501,$K$2:$K$2501),0)),K2127)</f>
        <v>B2C</v>
      </c>
    </row>
    <row r="2128" spans="1:17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 s="3">
        <f t="shared" si="165"/>
        <v>11104.880800000001</v>
      </c>
      <c r="I2128" s="1">
        <v>45609</v>
      </c>
      <c r="J2128" t="s">
        <v>22</v>
      </c>
      <c r="K2128" t="s">
        <v>23</v>
      </c>
      <c r="L2128" s="2">
        <f t="shared" si="166"/>
        <v>2776.2202000000002</v>
      </c>
      <c r="M2128" s="4">
        <f t="shared" si="167"/>
        <v>0.6</v>
      </c>
      <c r="N2128" s="1">
        <f t="shared" si="168"/>
        <v>45609</v>
      </c>
      <c r="O2128" s="3">
        <f>(Table13[[#This Row],[Units_Sold]]*Table13[[#This Row],[Unit_Price_Cleaned]]*(1-Table13[[#This Row],[Discount Cleaned]]))</f>
        <v>4441.9523200000003</v>
      </c>
      <c r="P2128" t="str">
        <f t="shared" si="169"/>
        <v>Profit</v>
      </c>
      <c r="Q2128" t="str" cm="1">
        <f t="array" ref="Q2128">IF(K2128="",INDEX($K$2:$K$2501,MATCH(MAX(COUNTIF($K$2:$K$2501,$K$2:$K$2501)),COUNTIF($K$2:$K$2501,$K$2:$K$2501),0)),K2128)</f>
        <v>B2B</v>
      </c>
    </row>
    <row r="2129" spans="1:17" x14ac:dyDescent="0.3">
      <c r="A2129">
        <v>3127</v>
      </c>
      <c r="B2129" t="s">
        <v>2153</v>
      </c>
      <c r="C2129" t="s">
        <v>25</v>
      </c>
      <c r="D2129" t="s">
        <v>86</v>
      </c>
      <c r="E2129">
        <v>2</v>
      </c>
      <c r="F2129">
        <v>491.77</v>
      </c>
      <c r="G2129">
        <v>0.9</v>
      </c>
      <c r="H2129" s="3">
        <f t="shared" si="165"/>
        <v>983.54</v>
      </c>
      <c r="I2129" s="1">
        <v>45663</v>
      </c>
      <c r="J2129" t="s">
        <v>46</v>
      </c>
      <c r="K2129" t="s">
        <v>23</v>
      </c>
      <c r="L2129" s="2">
        <f t="shared" si="166"/>
        <v>491.77</v>
      </c>
      <c r="M2129" s="4">
        <f t="shared" si="167"/>
        <v>0.9</v>
      </c>
      <c r="N2129" s="1">
        <f t="shared" si="168"/>
        <v>45663</v>
      </c>
      <c r="O2129" s="3">
        <f>(Table13[[#This Row],[Units_Sold]]*Table13[[#This Row],[Unit_Price_Cleaned]]*(1-Table13[[#This Row],[Discount Cleaned]]))</f>
        <v>98.353999999999971</v>
      </c>
      <c r="P2129" t="str">
        <f t="shared" si="169"/>
        <v>Loss</v>
      </c>
      <c r="Q2129" t="str" cm="1">
        <f t="array" ref="Q2129">IF(K2129="",INDEX($K$2:$K$2501,MATCH(MAX(COUNTIF($K$2:$K$2501,$K$2:$K$2501)),COUNTIF($K$2:$K$2501,$K$2:$K$2501),0)),K2129)</f>
        <v>B2B</v>
      </c>
    </row>
    <row r="2130" spans="1:17" x14ac:dyDescent="0.3">
      <c r="A2130">
        <v>3128</v>
      </c>
      <c r="B2130" t="s">
        <v>2154</v>
      </c>
      <c r="C2130" t="s">
        <v>38</v>
      </c>
      <c r="D2130" t="s">
        <v>39</v>
      </c>
      <c r="E2130">
        <v>2</v>
      </c>
      <c r="F2130">
        <v>3216.9</v>
      </c>
      <c r="H2130" s="3">
        <f t="shared" si="165"/>
        <v>6433.8</v>
      </c>
      <c r="I2130" s="1">
        <v>45811</v>
      </c>
      <c r="J2130" t="s">
        <v>56</v>
      </c>
      <c r="L2130" s="2">
        <f t="shared" si="166"/>
        <v>3216.9</v>
      </c>
      <c r="M2130" s="4">
        <f t="shared" si="167"/>
        <v>0.6</v>
      </c>
      <c r="N2130" s="1">
        <f t="shared" si="168"/>
        <v>45811</v>
      </c>
      <c r="O2130" s="3">
        <f>(Table13[[#This Row],[Units_Sold]]*Table13[[#This Row],[Unit_Price_Cleaned]]*(1-Table13[[#This Row],[Discount Cleaned]]))</f>
        <v>2573.5200000000004</v>
      </c>
      <c r="P2130" t="str">
        <f t="shared" si="169"/>
        <v>Profit</v>
      </c>
      <c r="Q2130" t="str" cm="1">
        <f t="array" ref="Q2130">IF(K2130="",INDEX($K$2:$K$2501,MATCH(MAX(COUNTIF($K$2:$K$2501,$K$2:$K$2501)),COUNTIF($K$2:$K$2501,$K$2:$K$2501),0)),K2130)</f>
        <v>B2B</v>
      </c>
    </row>
    <row r="2131" spans="1:17" x14ac:dyDescent="0.3">
      <c r="A2131">
        <v>3129</v>
      </c>
      <c r="B2131" t="s">
        <v>2155</v>
      </c>
      <c r="C2131" t="s">
        <v>13</v>
      </c>
      <c r="D2131" t="s">
        <v>49</v>
      </c>
      <c r="E2131">
        <v>2</v>
      </c>
      <c r="F2131">
        <v>3201.09</v>
      </c>
      <c r="H2131" s="3">
        <f t="shared" si="165"/>
        <v>6402.18</v>
      </c>
      <c r="I2131" s="1">
        <v>45801</v>
      </c>
      <c r="J2131" t="s">
        <v>46</v>
      </c>
      <c r="K2131" t="s">
        <v>16</v>
      </c>
      <c r="L2131" s="2">
        <f t="shared" si="166"/>
        <v>3201.09</v>
      </c>
      <c r="M2131" s="4">
        <f t="shared" si="167"/>
        <v>0.6</v>
      </c>
      <c r="N2131" s="1">
        <f t="shared" si="168"/>
        <v>45801</v>
      </c>
      <c r="O2131" s="3">
        <f>(Table13[[#This Row],[Units_Sold]]*Table13[[#This Row],[Unit_Price_Cleaned]]*(1-Table13[[#This Row],[Discount Cleaned]]))</f>
        <v>2560.8720000000003</v>
      </c>
      <c r="P2131" t="str">
        <f t="shared" si="169"/>
        <v>Profit</v>
      </c>
      <c r="Q2131" t="str" cm="1">
        <f t="array" ref="Q2131">IF(K2131="",INDEX($K$2:$K$2501,MATCH(MAX(COUNTIF($K$2:$K$2501,$K$2:$K$2501)),COUNTIF($K$2:$K$2501,$K$2:$K$2501),0)),K2131)</f>
        <v>B2C</v>
      </c>
    </row>
    <row r="2132" spans="1:17" x14ac:dyDescent="0.3">
      <c r="A2132">
        <v>3130</v>
      </c>
      <c r="B2132" t="s">
        <v>2156</v>
      </c>
      <c r="C2132" t="s">
        <v>38</v>
      </c>
      <c r="D2132" t="s">
        <v>39</v>
      </c>
      <c r="E2132">
        <v>2</v>
      </c>
      <c r="F2132">
        <v>3742.62</v>
      </c>
      <c r="H2132" s="3">
        <f t="shared" si="165"/>
        <v>7485.24</v>
      </c>
      <c r="I2132" s="1">
        <v>45765</v>
      </c>
      <c r="J2132" t="s">
        <v>22</v>
      </c>
      <c r="K2132" t="s">
        <v>16</v>
      </c>
      <c r="L2132" s="2">
        <f t="shared" si="166"/>
        <v>3742.62</v>
      </c>
      <c r="M2132" s="4">
        <f t="shared" si="167"/>
        <v>0.6</v>
      </c>
      <c r="N2132" s="1">
        <f t="shared" si="168"/>
        <v>45765</v>
      </c>
      <c r="O2132" s="3">
        <f>(Table13[[#This Row],[Units_Sold]]*Table13[[#This Row],[Unit_Price_Cleaned]]*(1-Table13[[#This Row],[Discount Cleaned]]))</f>
        <v>2994.096</v>
      </c>
      <c r="P2132" t="str">
        <f t="shared" si="169"/>
        <v>Profit</v>
      </c>
      <c r="Q2132" t="str" cm="1">
        <f t="array" ref="Q2132">IF(K2132="",INDEX($K$2:$K$2501,MATCH(MAX(COUNTIF($K$2:$K$2501,$K$2:$K$2501)),COUNTIF($K$2:$K$2501,$K$2:$K$2501),0)),K2132)</f>
        <v>B2C</v>
      </c>
    </row>
    <row r="2133" spans="1:17" x14ac:dyDescent="0.3">
      <c r="A2133">
        <v>3131</v>
      </c>
      <c r="B2133" t="s">
        <v>2157</v>
      </c>
      <c r="C2133" t="s">
        <v>29</v>
      </c>
      <c r="D2133" t="s">
        <v>30</v>
      </c>
      <c r="E2133">
        <v>2</v>
      </c>
      <c r="F2133">
        <v>4938.03</v>
      </c>
      <c r="H2133" s="3">
        <f t="shared" si="165"/>
        <v>9876.06</v>
      </c>
      <c r="I2133" s="1">
        <v>45278</v>
      </c>
      <c r="J2133" t="s">
        <v>15</v>
      </c>
      <c r="K2133" t="s">
        <v>23</v>
      </c>
      <c r="L2133" s="2">
        <f t="shared" si="166"/>
        <v>4938.03</v>
      </c>
      <c r="M2133" s="4">
        <f t="shared" si="167"/>
        <v>0.6</v>
      </c>
      <c r="N2133" s="1">
        <f t="shared" si="168"/>
        <v>45278</v>
      </c>
      <c r="O2133" s="3">
        <f>(Table13[[#This Row],[Units_Sold]]*Table13[[#This Row],[Unit_Price_Cleaned]]*(1-Table13[[#This Row],[Discount Cleaned]]))</f>
        <v>3950.424</v>
      </c>
      <c r="P2133" t="str">
        <f t="shared" si="169"/>
        <v>Profit</v>
      </c>
      <c r="Q2133" t="str" cm="1">
        <f t="array" ref="Q2133">IF(K2133="",INDEX($K$2:$K$2501,MATCH(MAX(COUNTIF($K$2:$K$2501,$K$2:$K$2501)),COUNTIF($K$2:$K$2501,$K$2:$K$2501),0)),K2133)</f>
        <v>B2B</v>
      </c>
    </row>
    <row r="2134" spans="1:17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 s="3">
        <f t="shared" si="165"/>
        <v>17642.699999999997</v>
      </c>
      <c r="J2134" t="s">
        <v>56</v>
      </c>
      <c r="K2134" t="s">
        <v>16</v>
      </c>
      <c r="L2134" s="2">
        <f t="shared" si="166"/>
        <v>2940.45</v>
      </c>
      <c r="M2134" s="4">
        <f t="shared" si="167"/>
        <v>0.6</v>
      </c>
      <c r="N2134" s="1">
        <f t="shared" si="168"/>
        <v>45782</v>
      </c>
      <c r="O2134" s="3">
        <f>(Table13[[#This Row],[Units_Sold]]*Table13[[#This Row],[Unit_Price_Cleaned]]*(1-Table13[[#This Row],[Discount Cleaned]]))</f>
        <v>7057.079999999999</v>
      </c>
      <c r="P2134" t="str">
        <f t="shared" si="169"/>
        <v>Profit</v>
      </c>
      <c r="Q2134" t="str" cm="1">
        <f t="array" ref="Q2134">IF(K2134="",INDEX($K$2:$K$2501,MATCH(MAX(COUNTIF($K$2:$K$2501,$K$2:$K$2501)),COUNTIF($K$2:$K$2501,$K$2:$K$2501),0)),K2134)</f>
        <v>B2C</v>
      </c>
    </row>
    <row r="2135" spans="1:17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 s="3">
        <f t="shared" si="165"/>
        <v>974.54</v>
      </c>
      <c r="I2135" s="1">
        <v>45570</v>
      </c>
      <c r="J2135" t="s">
        <v>56</v>
      </c>
      <c r="K2135" t="s">
        <v>23</v>
      </c>
      <c r="L2135" s="2">
        <f t="shared" si="166"/>
        <v>974.54</v>
      </c>
      <c r="M2135" s="4">
        <f t="shared" si="167"/>
        <v>0.44</v>
      </c>
      <c r="N2135" s="1">
        <f t="shared" si="168"/>
        <v>45570</v>
      </c>
      <c r="O2135" s="3">
        <f>(Table13[[#This Row],[Units_Sold]]*Table13[[#This Row],[Unit_Price_Cleaned]]*(1-Table13[[#This Row],[Discount Cleaned]]))</f>
        <v>545.74239999999998</v>
      </c>
      <c r="P2135" t="str">
        <f t="shared" si="169"/>
        <v>Profit</v>
      </c>
      <c r="Q2135" t="str" cm="1">
        <f t="array" ref="Q2135">IF(K2135="",INDEX($K$2:$K$2501,MATCH(MAX(COUNTIF($K$2:$K$2501,$K$2:$K$2501)),COUNTIF($K$2:$K$2501,$K$2:$K$2501),0)),K2135)</f>
        <v>B2B</v>
      </c>
    </row>
    <row r="2136" spans="1:17" x14ac:dyDescent="0.3">
      <c r="A2136">
        <v>3134</v>
      </c>
      <c r="B2136" t="s">
        <v>2160</v>
      </c>
      <c r="C2136" t="s">
        <v>20</v>
      </c>
      <c r="D2136" t="s">
        <v>80</v>
      </c>
      <c r="E2136">
        <v>2</v>
      </c>
      <c r="G2136">
        <v>0.53</v>
      </c>
      <c r="H2136" s="3">
        <f t="shared" si="165"/>
        <v>4967.1688000000004</v>
      </c>
      <c r="J2136" t="s">
        <v>18</v>
      </c>
      <c r="K2136" t="s">
        <v>23</v>
      </c>
      <c r="L2136" s="2">
        <f t="shared" si="166"/>
        <v>2483.5844000000002</v>
      </c>
      <c r="M2136" s="4">
        <f t="shared" si="167"/>
        <v>0.53</v>
      </c>
      <c r="N2136" s="1">
        <f t="shared" si="168"/>
        <v>45782</v>
      </c>
      <c r="O2136" s="3">
        <f>(Table13[[#This Row],[Units_Sold]]*Table13[[#This Row],[Unit_Price_Cleaned]]*(1-Table13[[#This Row],[Discount Cleaned]]))</f>
        <v>2334.569336</v>
      </c>
      <c r="P2136" t="str">
        <f t="shared" si="169"/>
        <v>Profit</v>
      </c>
      <c r="Q2136" t="str" cm="1">
        <f t="array" ref="Q2136">IF(K2136="",INDEX($K$2:$K$2501,MATCH(MAX(COUNTIF($K$2:$K$2501,$K$2:$K$2501)),COUNTIF($K$2:$K$2501,$K$2:$K$2501),0)),K2136)</f>
        <v>B2B</v>
      </c>
    </row>
    <row r="2137" spans="1:17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 s="3">
        <f t="shared" si="165"/>
        <v>2681.1743636363635</v>
      </c>
      <c r="J2137" t="s">
        <v>56</v>
      </c>
      <c r="K2137" t="s">
        <v>23</v>
      </c>
      <c r="L2137" s="2">
        <f t="shared" si="166"/>
        <v>2681.1743636363635</v>
      </c>
      <c r="M2137" s="4">
        <f t="shared" si="167"/>
        <v>0.67</v>
      </c>
      <c r="N2137" s="1">
        <f t="shared" si="168"/>
        <v>45782</v>
      </c>
      <c r="O2137" s="3">
        <f>(Table13[[#This Row],[Units_Sold]]*Table13[[#This Row],[Unit_Price_Cleaned]]*(1-Table13[[#This Row],[Discount Cleaned]]))</f>
        <v>884.78753999999981</v>
      </c>
      <c r="P2137" t="str">
        <f t="shared" si="169"/>
        <v>Profit</v>
      </c>
      <c r="Q2137" t="str" cm="1">
        <f t="array" ref="Q2137">IF(K2137="",INDEX($K$2:$K$2501,MATCH(MAX(COUNTIF($K$2:$K$2501,$K$2:$K$2501)),COUNTIF($K$2:$K$2501,$K$2:$K$2501),0)),K2137)</f>
        <v>B2B</v>
      </c>
    </row>
    <row r="2138" spans="1:17" x14ac:dyDescent="0.3">
      <c r="A2138">
        <v>3136</v>
      </c>
      <c r="B2138" t="s">
        <v>2162</v>
      </c>
      <c r="C2138" t="s">
        <v>33</v>
      </c>
      <c r="D2138" t="s">
        <v>82</v>
      </c>
      <c r="E2138">
        <v>2</v>
      </c>
      <c r="F2138">
        <v>3622.93</v>
      </c>
      <c r="H2138" s="3">
        <f t="shared" si="165"/>
        <v>7245.86</v>
      </c>
      <c r="I2138" s="1">
        <v>45313</v>
      </c>
      <c r="J2138" t="s">
        <v>15</v>
      </c>
      <c r="K2138" t="s">
        <v>16</v>
      </c>
      <c r="L2138" s="2">
        <f t="shared" si="166"/>
        <v>3622.93</v>
      </c>
      <c r="M2138" s="4">
        <f t="shared" si="167"/>
        <v>0.6</v>
      </c>
      <c r="N2138" s="1">
        <f t="shared" si="168"/>
        <v>45313</v>
      </c>
      <c r="O2138" s="3">
        <f>(Table13[[#This Row],[Units_Sold]]*Table13[[#This Row],[Unit_Price_Cleaned]]*(1-Table13[[#This Row],[Discount Cleaned]]))</f>
        <v>2898.3440000000001</v>
      </c>
      <c r="P2138" t="str">
        <f t="shared" si="169"/>
        <v>Profit</v>
      </c>
      <c r="Q2138" t="str" cm="1">
        <f t="array" ref="Q2138">IF(K2138="",INDEX($K$2:$K$2501,MATCH(MAX(COUNTIF($K$2:$K$2501,$K$2:$K$2501)),COUNTIF($K$2:$K$2501,$K$2:$K$2501),0)),K2138)</f>
        <v>B2C</v>
      </c>
    </row>
    <row r="2139" spans="1:17" x14ac:dyDescent="0.3">
      <c r="A2139">
        <v>3137</v>
      </c>
      <c r="B2139" t="s">
        <v>2163</v>
      </c>
      <c r="C2139" t="s">
        <v>20</v>
      </c>
      <c r="D2139" t="s">
        <v>21</v>
      </c>
      <c r="E2139">
        <v>2</v>
      </c>
      <c r="H2139" s="3">
        <f t="shared" si="165"/>
        <v>5362.348727272727</v>
      </c>
      <c r="I2139" s="1">
        <v>45613</v>
      </c>
      <c r="J2139" t="s">
        <v>40</v>
      </c>
      <c r="L2139" s="2">
        <f t="shared" si="166"/>
        <v>2681.1743636363635</v>
      </c>
      <c r="M2139" s="4">
        <f t="shared" si="167"/>
        <v>0.6</v>
      </c>
      <c r="N2139" s="1">
        <f t="shared" si="168"/>
        <v>45613</v>
      </c>
      <c r="O2139" s="3">
        <f>(Table13[[#This Row],[Units_Sold]]*Table13[[#This Row],[Unit_Price_Cleaned]]*(1-Table13[[#This Row],[Discount Cleaned]]))</f>
        <v>2144.9394909090911</v>
      </c>
      <c r="P2139" t="str">
        <f t="shared" si="169"/>
        <v>Profit</v>
      </c>
      <c r="Q2139" t="str" cm="1">
        <f t="array" ref="Q2139">IF(K2139="",INDEX($K$2:$K$2501,MATCH(MAX(COUNTIF($K$2:$K$2501,$K$2:$K$2501)),COUNTIF($K$2:$K$2501,$K$2:$K$2501),0)),K2139)</f>
        <v>B2B</v>
      </c>
    </row>
    <row r="2140" spans="1:17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 s="3">
        <f t="shared" si="165"/>
        <v>0</v>
      </c>
      <c r="I2140" s="1">
        <v>45842</v>
      </c>
      <c r="J2140" t="s">
        <v>15</v>
      </c>
      <c r="K2140" t="s">
        <v>16</v>
      </c>
      <c r="L2140" s="2">
        <f t="shared" si="166"/>
        <v>855.81</v>
      </c>
      <c r="M2140" s="4">
        <f t="shared" si="167"/>
        <v>0.31</v>
      </c>
      <c r="N2140" s="1">
        <f t="shared" si="168"/>
        <v>45842</v>
      </c>
      <c r="O2140" s="3">
        <f>(Table13[[#This Row],[Units_Sold]]*Table13[[#This Row],[Unit_Price_Cleaned]]*(1-Table13[[#This Row],[Discount Cleaned]]))</f>
        <v>0</v>
      </c>
      <c r="P2140" t="str">
        <f t="shared" si="169"/>
        <v>Loss</v>
      </c>
      <c r="Q2140" t="str" cm="1">
        <f t="array" ref="Q2140">IF(K2140="",INDEX($K$2:$K$2501,MATCH(MAX(COUNTIF($K$2:$K$2501,$K$2:$K$2501)),COUNTIF($K$2:$K$2501,$K$2:$K$2501),0)),K2140)</f>
        <v>B2C</v>
      </c>
    </row>
    <row r="2141" spans="1:17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 s="3">
        <f t="shared" si="165"/>
        <v>17050.578367346945</v>
      </c>
      <c r="J2141" t="s">
        <v>56</v>
      </c>
      <c r="K2141" t="s">
        <v>23</v>
      </c>
      <c r="L2141" s="2">
        <f t="shared" si="166"/>
        <v>2841.7630612244907</v>
      </c>
      <c r="M2141" s="4">
        <f t="shared" si="167"/>
        <v>0.6</v>
      </c>
      <c r="N2141" s="1">
        <f t="shared" si="168"/>
        <v>45782</v>
      </c>
      <c r="O2141" s="3">
        <f>(Table13[[#This Row],[Units_Sold]]*Table13[[#This Row],[Unit_Price_Cleaned]]*(1-Table13[[#This Row],[Discount Cleaned]]))</f>
        <v>6820.2313469387782</v>
      </c>
      <c r="P2141" t="str">
        <f t="shared" si="169"/>
        <v>Profit</v>
      </c>
      <c r="Q2141" t="str" cm="1">
        <f t="array" ref="Q2141">IF(K2141="",INDEX($K$2:$K$2501,MATCH(MAX(COUNTIF($K$2:$K$2501,$K$2:$K$2501)),COUNTIF($K$2:$K$2501,$K$2:$K$2501),0)),K2141)</f>
        <v>B2B</v>
      </c>
    </row>
    <row r="2142" spans="1:17" x14ac:dyDescent="0.3">
      <c r="A2142">
        <v>3140</v>
      </c>
      <c r="B2142" t="s">
        <v>2166</v>
      </c>
      <c r="C2142" t="s">
        <v>13</v>
      </c>
      <c r="D2142" t="s">
        <v>102</v>
      </c>
      <c r="E2142">
        <v>2</v>
      </c>
      <c r="H2142" s="3">
        <f t="shared" si="165"/>
        <v>5152.6113793103432</v>
      </c>
      <c r="J2142" t="s">
        <v>18</v>
      </c>
      <c r="K2142" t="s">
        <v>23</v>
      </c>
      <c r="L2142" s="2">
        <f t="shared" si="166"/>
        <v>2576.3056896551716</v>
      </c>
      <c r="M2142" s="4">
        <f t="shared" si="167"/>
        <v>0.6</v>
      </c>
      <c r="N2142" s="1">
        <f t="shared" si="168"/>
        <v>45782</v>
      </c>
      <c r="O2142" s="3">
        <f>(Table13[[#This Row],[Units_Sold]]*Table13[[#This Row],[Unit_Price_Cleaned]]*(1-Table13[[#This Row],[Discount Cleaned]]))</f>
        <v>2061.0445517241374</v>
      </c>
      <c r="P2142" t="str">
        <f t="shared" si="169"/>
        <v>Profit</v>
      </c>
      <c r="Q2142" t="str" cm="1">
        <f t="array" ref="Q2142">IF(K2142="",INDEX($K$2:$K$2501,MATCH(MAX(COUNTIF($K$2:$K$2501,$K$2:$K$2501)),COUNTIF($K$2:$K$2501,$K$2:$K$2501),0)),K2142)</f>
        <v>B2B</v>
      </c>
    </row>
    <row r="2143" spans="1:17" x14ac:dyDescent="0.3">
      <c r="A2143">
        <v>3141</v>
      </c>
      <c r="B2143" t="s">
        <v>2167</v>
      </c>
      <c r="C2143" t="s">
        <v>20</v>
      </c>
      <c r="D2143" t="s">
        <v>88</v>
      </c>
      <c r="E2143">
        <v>2</v>
      </c>
      <c r="H2143" s="3">
        <f t="shared" si="165"/>
        <v>5451.7114285714297</v>
      </c>
      <c r="I2143" s="1">
        <v>45430</v>
      </c>
      <c r="J2143" t="s">
        <v>22</v>
      </c>
      <c r="K2143" t="s">
        <v>16</v>
      </c>
      <c r="L2143" s="2">
        <f t="shared" si="166"/>
        <v>2725.8557142857148</v>
      </c>
      <c r="M2143" s="4">
        <f t="shared" si="167"/>
        <v>0.6</v>
      </c>
      <c r="N2143" s="1">
        <f t="shared" si="168"/>
        <v>45430</v>
      </c>
      <c r="O2143" s="3">
        <f>(Table13[[#This Row],[Units_Sold]]*Table13[[#This Row],[Unit_Price_Cleaned]]*(1-Table13[[#This Row],[Discount Cleaned]]))</f>
        <v>2180.6845714285719</v>
      </c>
      <c r="P2143" t="str">
        <f t="shared" si="169"/>
        <v>Profit</v>
      </c>
      <c r="Q2143" t="str" cm="1">
        <f t="array" ref="Q2143">IF(K2143="",INDEX($K$2:$K$2501,MATCH(MAX(COUNTIF($K$2:$K$2501,$K$2:$K$2501)),COUNTIF($K$2:$K$2501,$K$2:$K$2501),0)),K2143)</f>
        <v>B2C</v>
      </c>
    </row>
    <row r="2144" spans="1:17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 s="3">
        <f t="shared" si="165"/>
        <v>4887.3599999999997</v>
      </c>
      <c r="I2144" s="1">
        <v>45594</v>
      </c>
      <c r="J2144" t="s">
        <v>56</v>
      </c>
      <c r="K2144" t="s">
        <v>23</v>
      </c>
      <c r="L2144" s="2">
        <f t="shared" si="166"/>
        <v>4887.3599999999997</v>
      </c>
      <c r="M2144" s="4">
        <f t="shared" si="167"/>
        <v>0.6</v>
      </c>
      <c r="N2144" s="1">
        <f t="shared" si="168"/>
        <v>45594</v>
      </c>
      <c r="O2144" s="3">
        <f>(Table13[[#This Row],[Units_Sold]]*Table13[[#This Row],[Unit_Price_Cleaned]]*(1-Table13[[#This Row],[Discount Cleaned]]))</f>
        <v>1954.944</v>
      </c>
      <c r="P2144" t="str">
        <f t="shared" si="169"/>
        <v>Profit</v>
      </c>
      <c r="Q2144" t="str" cm="1">
        <f t="array" ref="Q2144">IF(K2144="",INDEX($K$2:$K$2501,MATCH(MAX(COUNTIF($K$2:$K$2501,$K$2:$K$2501)),COUNTIF($K$2:$K$2501,$K$2:$K$2501),0)),K2144)</f>
        <v>B2B</v>
      </c>
    </row>
    <row r="2145" spans="1:17" x14ac:dyDescent="0.3">
      <c r="A2145">
        <v>3143</v>
      </c>
      <c r="B2145" t="s">
        <v>2169</v>
      </c>
      <c r="C2145" t="s">
        <v>33</v>
      </c>
      <c r="D2145" t="s">
        <v>44</v>
      </c>
      <c r="E2145">
        <v>2</v>
      </c>
      <c r="H2145" s="3">
        <f t="shared" si="165"/>
        <v>5683.5261224489814</v>
      </c>
      <c r="J2145" t="s">
        <v>56</v>
      </c>
      <c r="K2145" t="s">
        <v>23</v>
      </c>
      <c r="L2145" s="2">
        <f t="shared" si="166"/>
        <v>2841.7630612244907</v>
      </c>
      <c r="M2145" s="4">
        <f t="shared" si="167"/>
        <v>0.6</v>
      </c>
      <c r="N2145" s="1">
        <f t="shared" si="168"/>
        <v>45782</v>
      </c>
      <c r="O2145" s="3">
        <f>(Table13[[#This Row],[Units_Sold]]*Table13[[#This Row],[Unit_Price_Cleaned]]*(1-Table13[[#This Row],[Discount Cleaned]]))</f>
        <v>2273.4104489795927</v>
      </c>
      <c r="P2145" t="str">
        <f t="shared" si="169"/>
        <v>Profit</v>
      </c>
      <c r="Q2145" t="str" cm="1">
        <f t="array" ref="Q2145">IF(K2145="",INDEX($K$2:$K$2501,MATCH(MAX(COUNTIF($K$2:$K$2501,$K$2:$K$2501)),COUNTIF($K$2:$K$2501,$K$2:$K$2501),0)),K2145)</f>
        <v>B2B</v>
      </c>
    </row>
    <row r="2146" spans="1:17" x14ac:dyDescent="0.3">
      <c r="A2146">
        <v>3144</v>
      </c>
      <c r="B2146" t="s">
        <v>2170</v>
      </c>
      <c r="C2146" t="s">
        <v>38</v>
      </c>
      <c r="D2146" t="s">
        <v>39</v>
      </c>
      <c r="E2146">
        <v>2</v>
      </c>
      <c r="F2146">
        <v>2664.43</v>
      </c>
      <c r="H2146" s="3">
        <f t="shared" si="165"/>
        <v>5328.86</v>
      </c>
      <c r="I2146" s="1">
        <v>45774</v>
      </c>
      <c r="J2146" t="s">
        <v>56</v>
      </c>
      <c r="L2146" s="2">
        <f t="shared" si="166"/>
        <v>2664.43</v>
      </c>
      <c r="M2146" s="4">
        <f t="shared" si="167"/>
        <v>0.6</v>
      </c>
      <c r="N2146" s="1">
        <f t="shared" si="168"/>
        <v>45774</v>
      </c>
      <c r="O2146" s="3">
        <f>(Table13[[#This Row],[Units_Sold]]*Table13[[#This Row],[Unit_Price_Cleaned]]*(1-Table13[[#This Row],[Discount Cleaned]]))</f>
        <v>2131.5439999999999</v>
      </c>
      <c r="P2146" t="str">
        <f t="shared" si="169"/>
        <v>Profit</v>
      </c>
      <c r="Q2146" t="str" cm="1">
        <f t="array" ref="Q2146">IF(K2146="",INDEX($K$2:$K$2501,MATCH(MAX(COUNTIF($K$2:$K$2501,$K$2:$K$2501)),COUNTIF($K$2:$K$2501,$K$2:$K$2501),0)),K2146)</f>
        <v>B2B</v>
      </c>
    </row>
    <row r="2147" spans="1:17" x14ac:dyDescent="0.3">
      <c r="A2147">
        <v>3145</v>
      </c>
      <c r="B2147" t="s">
        <v>2171</v>
      </c>
      <c r="C2147" t="s">
        <v>20</v>
      </c>
      <c r="D2147" t="s">
        <v>80</v>
      </c>
      <c r="E2147">
        <v>2</v>
      </c>
      <c r="F2147">
        <v>4414.97</v>
      </c>
      <c r="H2147" s="3">
        <f t="shared" si="165"/>
        <v>8829.94</v>
      </c>
      <c r="J2147" t="s">
        <v>56</v>
      </c>
      <c r="K2147" t="s">
        <v>23</v>
      </c>
      <c r="L2147" s="2">
        <f t="shared" si="166"/>
        <v>4414.97</v>
      </c>
      <c r="M2147" s="4">
        <f t="shared" si="167"/>
        <v>0.6</v>
      </c>
      <c r="N2147" s="1">
        <f t="shared" si="168"/>
        <v>45782</v>
      </c>
      <c r="O2147" s="3">
        <f>(Table13[[#This Row],[Units_Sold]]*Table13[[#This Row],[Unit_Price_Cleaned]]*(1-Table13[[#This Row],[Discount Cleaned]]))</f>
        <v>3531.9760000000006</v>
      </c>
      <c r="P2147" t="str">
        <f t="shared" si="169"/>
        <v>Profit</v>
      </c>
      <c r="Q2147" t="str" cm="1">
        <f t="array" ref="Q2147">IF(K2147="",INDEX($K$2:$K$2501,MATCH(MAX(COUNTIF($K$2:$K$2501,$K$2:$K$2501)),COUNTIF($K$2:$K$2501,$K$2:$K$2501),0)),K2147)</f>
        <v>B2B</v>
      </c>
    </row>
    <row r="2148" spans="1:17" x14ac:dyDescent="0.3">
      <c r="A2148">
        <v>3146</v>
      </c>
      <c r="B2148" t="s">
        <v>2172</v>
      </c>
      <c r="C2148" t="s">
        <v>20</v>
      </c>
      <c r="D2148" t="s">
        <v>80</v>
      </c>
      <c r="E2148">
        <v>2</v>
      </c>
      <c r="H2148" s="3">
        <f t="shared" si="165"/>
        <v>4967.1688000000004</v>
      </c>
      <c r="J2148" t="s">
        <v>56</v>
      </c>
      <c r="K2148" t="s">
        <v>23</v>
      </c>
      <c r="L2148" s="2">
        <f t="shared" si="166"/>
        <v>2483.5844000000002</v>
      </c>
      <c r="M2148" s="4">
        <f t="shared" si="167"/>
        <v>0.6</v>
      </c>
      <c r="N2148" s="1">
        <f t="shared" si="168"/>
        <v>45782</v>
      </c>
      <c r="O2148" s="3">
        <f>(Table13[[#This Row],[Units_Sold]]*Table13[[#This Row],[Unit_Price_Cleaned]]*(1-Table13[[#This Row],[Discount Cleaned]]))</f>
        <v>1986.8675200000002</v>
      </c>
      <c r="P2148" t="str">
        <f t="shared" si="169"/>
        <v>Profit</v>
      </c>
      <c r="Q2148" t="str" cm="1">
        <f t="array" ref="Q2148">IF(K2148="",INDEX($K$2:$K$2501,MATCH(MAX(COUNTIF($K$2:$K$2501,$K$2:$K$2501)),COUNTIF($K$2:$K$2501,$K$2:$K$2501),0)),K2148)</f>
        <v>B2B</v>
      </c>
    </row>
    <row r="2149" spans="1:17" x14ac:dyDescent="0.3">
      <c r="A2149">
        <v>3147</v>
      </c>
      <c r="B2149" t="s">
        <v>570</v>
      </c>
      <c r="C2149" t="s">
        <v>38</v>
      </c>
      <c r="D2149" t="s">
        <v>39</v>
      </c>
      <c r="E2149">
        <v>2</v>
      </c>
      <c r="H2149" s="3">
        <f t="shared" si="165"/>
        <v>6016.7688888888888</v>
      </c>
      <c r="I2149" s="1">
        <v>45853</v>
      </c>
      <c r="J2149" t="s">
        <v>40</v>
      </c>
      <c r="L2149" s="2">
        <f t="shared" si="166"/>
        <v>3008.3844444444444</v>
      </c>
      <c r="M2149" s="4">
        <f t="shared" si="167"/>
        <v>0.6</v>
      </c>
      <c r="N2149" s="1">
        <f t="shared" si="168"/>
        <v>45853</v>
      </c>
      <c r="O2149" s="3">
        <f>(Table13[[#This Row],[Units_Sold]]*Table13[[#This Row],[Unit_Price_Cleaned]]*(1-Table13[[#This Row],[Discount Cleaned]]))</f>
        <v>2406.7075555555557</v>
      </c>
      <c r="P2149" t="str">
        <f t="shared" si="169"/>
        <v>Profit</v>
      </c>
      <c r="Q2149" t="str" cm="1">
        <f t="array" ref="Q2149">IF(K2149="",INDEX($K$2:$K$2501,MATCH(MAX(COUNTIF($K$2:$K$2501,$K$2:$K$2501)),COUNTIF($K$2:$K$2501,$K$2:$K$2501),0)),K2149)</f>
        <v>B2B</v>
      </c>
    </row>
    <row r="2150" spans="1:17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 s="3">
        <f t="shared" si="165"/>
        <v>18050.306666666667</v>
      </c>
      <c r="I2150" s="1">
        <v>45378</v>
      </c>
      <c r="J2150" t="s">
        <v>18</v>
      </c>
      <c r="K2150" t="s">
        <v>16</v>
      </c>
      <c r="L2150" s="2">
        <f t="shared" si="166"/>
        <v>3008.3844444444444</v>
      </c>
      <c r="M2150" s="4">
        <f t="shared" si="167"/>
        <v>0.5</v>
      </c>
      <c r="N2150" s="1">
        <f t="shared" si="168"/>
        <v>45378</v>
      </c>
      <c r="O2150" s="3">
        <f>(Table13[[#This Row],[Units_Sold]]*Table13[[#This Row],[Unit_Price_Cleaned]]*(1-Table13[[#This Row],[Discount Cleaned]]))</f>
        <v>9025.1533333333336</v>
      </c>
      <c r="P2150" t="str">
        <f t="shared" si="169"/>
        <v>Profit</v>
      </c>
      <c r="Q2150" t="str" cm="1">
        <f t="array" ref="Q2150">IF(K2150="",INDEX($K$2:$K$2501,MATCH(MAX(COUNTIF($K$2:$K$2501,$K$2:$K$2501)),COUNTIF($K$2:$K$2501,$K$2:$K$2501),0)),K2150)</f>
        <v>B2C</v>
      </c>
    </row>
    <row r="2151" spans="1:17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 s="3">
        <f t="shared" si="165"/>
        <v>14444.357142857143</v>
      </c>
      <c r="J2151" t="s">
        <v>40</v>
      </c>
      <c r="K2151" t="s">
        <v>16</v>
      </c>
      <c r="L2151" s="2">
        <f t="shared" si="166"/>
        <v>2888.8714285714286</v>
      </c>
      <c r="M2151" s="4">
        <f t="shared" si="167"/>
        <v>0.6</v>
      </c>
      <c r="N2151" s="1">
        <f t="shared" si="168"/>
        <v>45782</v>
      </c>
      <c r="O2151" s="3">
        <f>(Table13[[#This Row],[Units_Sold]]*Table13[[#This Row],[Unit_Price_Cleaned]]*(1-Table13[[#This Row],[Discount Cleaned]]))</f>
        <v>5777.7428571428572</v>
      </c>
      <c r="P2151" t="str">
        <f t="shared" si="169"/>
        <v>Profit</v>
      </c>
      <c r="Q2151" t="str" cm="1">
        <f t="array" ref="Q2151">IF(K2151="",INDEX($K$2:$K$2501,MATCH(MAX(COUNTIF($K$2:$K$2501,$K$2:$K$2501)),COUNTIF($K$2:$K$2501,$K$2:$K$2501),0)),K2151)</f>
        <v>B2C</v>
      </c>
    </row>
    <row r="2152" spans="1:17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 s="3">
        <f t="shared" si="165"/>
        <v>0</v>
      </c>
      <c r="I2152" s="1">
        <v>45545</v>
      </c>
      <c r="J2152" t="s">
        <v>40</v>
      </c>
      <c r="L2152" s="2">
        <f t="shared" si="166"/>
        <v>850.69</v>
      </c>
      <c r="M2152" s="4">
        <f t="shared" si="167"/>
        <v>0.41</v>
      </c>
      <c r="N2152" s="1">
        <f t="shared" si="168"/>
        <v>45545</v>
      </c>
      <c r="O2152" s="3">
        <f>(Table13[[#This Row],[Units_Sold]]*Table13[[#This Row],[Unit_Price_Cleaned]]*(1-Table13[[#This Row],[Discount Cleaned]]))</f>
        <v>0</v>
      </c>
      <c r="P2152" t="str">
        <f t="shared" si="169"/>
        <v>Loss</v>
      </c>
      <c r="Q2152" t="str" cm="1">
        <f t="array" ref="Q2152">IF(K2152="",INDEX($K$2:$K$2501,MATCH(MAX(COUNTIF($K$2:$K$2501,$K$2:$K$2501)),COUNTIF($K$2:$K$2501,$K$2:$K$2501),0)),K2152)</f>
        <v>B2B</v>
      </c>
    </row>
    <row r="2153" spans="1:17" x14ac:dyDescent="0.3">
      <c r="A2153">
        <v>3151</v>
      </c>
      <c r="B2153" t="s">
        <v>2176</v>
      </c>
      <c r="C2153" t="s">
        <v>13</v>
      </c>
      <c r="D2153" t="s">
        <v>14</v>
      </c>
      <c r="E2153">
        <v>2</v>
      </c>
      <c r="G2153">
        <v>0.19</v>
      </c>
      <c r="H2153" s="3">
        <f t="shared" si="165"/>
        <v>4762.5355172413792</v>
      </c>
      <c r="I2153" s="1">
        <v>45836</v>
      </c>
      <c r="J2153" t="s">
        <v>22</v>
      </c>
      <c r="K2153" t="s">
        <v>23</v>
      </c>
      <c r="L2153" s="2">
        <f t="shared" si="166"/>
        <v>2381.2677586206896</v>
      </c>
      <c r="M2153" s="4">
        <f t="shared" si="167"/>
        <v>0.19</v>
      </c>
      <c r="N2153" s="1">
        <f t="shared" si="168"/>
        <v>45836</v>
      </c>
      <c r="O2153" s="3">
        <f>(Table13[[#This Row],[Units_Sold]]*Table13[[#This Row],[Unit_Price_Cleaned]]*(1-Table13[[#This Row],[Discount Cleaned]]))</f>
        <v>3857.6537689655174</v>
      </c>
      <c r="P2153" t="str">
        <f t="shared" si="169"/>
        <v>Profit</v>
      </c>
      <c r="Q2153" t="str" cm="1">
        <f t="array" ref="Q2153">IF(K2153="",INDEX($K$2:$K$2501,MATCH(MAX(COUNTIF($K$2:$K$2501,$K$2:$K$2501)),COUNTIF($K$2:$K$2501,$K$2:$K$2501),0)),K2153)</f>
        <v>B2B</v>
      </c>
    </row>
    <row r="2154" spans="1:17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 s="3">
        <f t="shared" si="165"/>
        <v>-4233.3</v>
      </c>
      <c r="I2154" s="1">
        <v>45563</v>
      </c>
      <c r="J2154" t="s">
        <v>22</v>
      </c>
      <c r="L2154" s="2">
        <f t="shared" si="166"/>
        <v>2116.65</v>
      </c>
      <c r="M2154" s="4">
        <f t="shared" si="167"/>
        <v>0.21</v>
      </c>
      <c r="N2154" s="1">
        <f t="shared" si="168"/>
        <v>45563</v>
      </c>
      <c r="O2154" s="3">
        <f>(Table13[[#This Row],[Units_Sold]]*Table13[[#This Row],[Unit_Price_Cleaned]]*(1-Table13[[#This Row],[Discount Cleaned]]))</f>
        <v>-3344.3070000000002</v>
      </c>
      <c r="P2154" t="str">
        <f t="shared" si="169"/>
        <v>Loss</v>
      </c>
      <c r="Q2154" t="str" cm="1">
        <f t="array" ref="Q2154">IF(K2154="",INDEX($K$2:$K$2501,MATCH(MAX(COUNTIF($K$2:$K$2501,$K$2:$K$2501)),COUNTIF($K$2:$K$2501,$K$2:$K$2501),0)),K2154)</f>
        <v>B2B</v>
      </c>
    </row>
    <row r="2155" spans="1:17" x14ac:dyDescent="0.3">
      <c r="A2155">
        <v>3153</v>
      </c>
      <c r="B2155" t="s">
        <v>2178</v>
      </c>
      <c r="C2155" t="s">
        <v>38</v>
      </c>
      <c r="D2155" t="s">
        <v>39</v>
      </c>
      <c r="E2155">
        <v>2</v>
      </c>
      <c r="F2155">
        <v>4723.0200000000004</v>
      </c>
      <c r="G2155">
        <v>0.52</v>
      </c>
      <c r="H2155" s="3">
        <f t="shared" si="165"/>
        <v>9446.0400000000009</v>
      </c>
      <c r="J2155" t="s">
        <v>18</v>
      </c>
      <c r="K2155" t="s">
        <v>23</v>
      </c>
      <c r="L2155" s="2">
        <f t="shared" si="166"/>
        <v>4723.0200000000004</v>
      </c>
      <c r="M2155" s="4">
        <f t="shared" si="167"/>
        <v>0.52</v>
      </c>
      <c r="N2155" s="1">
        <f t="shared" si="168"/>
        <v>45782</v>
      </c>
      <c r="O2155" s="3">
        <f>(Table13[[#This Row],[Units_Sold]]*Table13[[#This Row],[Unit_Price_Cleaned]]*(1-Table13[[#This Row],[Discount Cleaned]]))</f>
        <v>4534.0992000000006</v>
      </c>
      <c r="P2155" t="str">
        <f t="shared" si="169"/>
        <v>Profit</v>
      </c>
      <c r="Q2155" t="str" cm="1">
        <f t="array" ref="Q2155">IF(K2155="",INDEX($K$2:$K$2501,MATCH(MAX(COUNTIF($K$2:$K$2501,$K$2:$K$2501)),COUNTIF($K$2:$K$2501,$K$2:$K$2501),0)),K2155)</f>
        <v>B2B</v>
      </c>
    </row>
    <row r="2156" spans="1:17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 s="3">
        <f t="shared" si="165"/>
        <v>3154.48</v>
      </c>
      <c r="I2156" s="1">
        <v>45501</v>
      </c>
      <c r="J2156" t="s">
        <v>18</v>
      </c>
      <c r="K2156" t="s">
        <v>16</v>
      </c>
      <c r="L2156" s="2">
        <f t="shared" si="166"/>
        <v>3154.48</v>
      </c>
      <c r="M2156" s="4">
        <f t="shared" si="167"/>
        <v>0.6</v>
      </c>
      <c r="N2156" s="1">
        <f t="shared" si="168"/>
        <v>45501</v>
      </c>
      <c r="O2156" s="3">
        <f>(Table13[[#This Row],[Units_Sold]]*Table13[[#This Row],[Unit_Price_Cleaned]]*(1-Table13[[#This Row],[Discount Cleaned]]))</f>
        <v>1261.7920000000001</v>
      </c>
      <c r="P2156" t="str">
        <f t="shared" si="169"/>
        <v>Profit</v>
      </c>
      <c r="Q2156" t="str" cm="1">
        <f t="array" ref="Q2156">IF(K2156="",INDEX($K$2:$K$2501,MATCH(MAX(COUNTIF($K$2:$K$2501,$K$2:$K$2501)),COUNTIF($K$2:$K$2501,$K$2:$K$2501),0)),K2156)</f>
        <v>B2C</v>
      </c>
    </row>
    <row r="2157" spans="1:17" x14ac:dyDescent="0.3">
      <c r="A2157">
        <v>3155</v>
      </c>
      <c r="B2157" t="s">
        <v>2180</v>
      </c>
      <c r="C2157" t="s">
        <v>29</v>
      </c>
      <c r="D2157" t="s">
        <v>141</v>
      </c>
      <c r="E2157">
        <v>2</v>
      </c>
      <c r="G2157">
        <v>0.27</v>
      </c>
      <c r="H2157" s="3">
        <f t="shared" si="165"/>
        <v>4925.58</v>
      </c>
      <c r="J2157" t="s">
        <v>22</v>
      </c>
      <c r="K2157" t="s">
        <v>16</v>
      </c>
      <c r="L2157" s="2">
        <f t="shared" si="166"/>
        <v>2462.79</v>
      </c>
      <c r="M2157" s="4">
        <f t="shared" si="167"/>
        <v>0.27</v>
      </c>
      <c r="N2157" s="1">
        <f t="shared" si="168"/>
        <v>45782</v>
      </c>
      <c r="O2157" s="3">
        <f>(Table13[[#This Row],[Units_Sold]]*Table13[[#This Row],[Unit_Price_Cleaned]]*(1-Table13[[#This Row],[Discount Cleaned]]))</f>
        <v>3595.6733999999997</v>
      </c>
      <c r="P2157" t="str">
        <f t="shared" si="169"/>
        <v>Profit</v>
      </c>
      <c r="Q2157" t="str" cm="1">
        <f t="array" ref="Q2157">IF(K2157="",INDEX($K$2:$K$2501,MATCH(MAX(COUNTIF($K$2:$K$2501,$K$2:$K$2501)),COUNTIF($K$2:$K$2501,$K$2:$K$2501),0)),K2157)</f>
        <v>B2C</v>
      </c>
    </row>
    <row r="2158" spans="1:17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 s="3">
        <f t="shared" si="165"/>
        <v>2888.8714285714286</v>
      </c>
      <c r="J2158" t="s">
        <v>18</v>
      </c>
      <c r="K2158" t="s">
        <v>16</v>
      </c>
      <c r="L2158" s="2">
        <f t="shared" si="166"/>
        <v>2888.8714285714286</v>
      </c>
      <c r="M2158" s="4">
        <f t="shared" si="167"/>
        <v>0.52</v>
      </c>
      <c r="N2158" s="1">
        <f t="shared" si="168"/>
        <v>45782</v>
      </c>
      <c r="O2158" s="3">
        <f>(Table13[[#This Row],[Units_Sold]]*Table13[[#This Row],[Unit_Price_Cleaned]]*(1-Table13[[#This Row],[Discount Cleaned]]))</f>
        <v>1386.6582857142857</v>
      </c>
      <c r="P2158" t="str">
        <f t="shared" si="169"/>
        <v>Profit</v>
      </c>
      <c r="Q2158" t="str" cm="1">
        <f t="array" ref="Q2158">IF(K2158="",INDEX($K$2:$K$2501,MATCH(MAX(COUNTIF($K$2:$K$2501,$K$2:$K$2501)),COUNTIF($K$2:$K$2501,$K$2:$K$2501),0)),K2158)</f>
        <v>B2C</v>
      </c>
    </row>
    <row r="2159" spans="1:17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 s="3">
        <f t="shared" si="165"/>
        <v>10613.28</v>
      </c>
      <c r="I2159" s="1">
        <v>45310</v>
      </c>
      <c r="J2159" t="s">
        <v>46</v>
      </c>
      <c r="K2159" t="s">
        <v>23</v>
      </c>
      <c r="L2159" s="2">
        <f t="shared" si="166"/>
        <v>1768.88</v>
      </c>
      <c r="M2159" s="4">
        <f t="shared" si="167"/>
        <v>0.6</v>
      </c>
      <c r="N2159" s="1">
        <f t="shared" si="168"/>
        <v>45310</v>
      </c>
      <c r="O2159" s="3">
        <f>(Table13[[#This Row],[Units_Sold]]*Table13[[#This Row],[Unit_Price_Cleaned]]*(1-Table13[[#This Row],[Discount Cleaned]]))</f>
        <v>4245.3120000000008</v>
      </c>
      <c r="P2159" t="str">
        <f t="shared" si="169"/>
        <v>Profit</v>
      </c>
      <c r="Q2159" t="str" cm="1">
        <f t="array" ref="Q2159">IF(K2159="",INDEX($K$2:$K$2501,MATCH(MAX(COUNTIF($K$2:$K$2501,$K$2:$K$2501)),COUNTIF($K$2:$K$2501,$K$2:$K$2501),0)),K2159)</f>
        <v>B2B</v>
      </c>
    </row>
    <row r="2160" spans="1:17" x14ac:dyDescent="0.3">
      <c r="A2160">
        <v>3158</v>
      </c>
      <c r="B2160" t="s">
        <v>2183</v>
      </c>
      <c r="C2160" t="s">
        <v>25</v>
      </c>
      <c r="D2160" t="s">
        <v>86</v>
      </c>
      <c r="E2160">
        <v>2</v>
      </c>
      <c r="H2160" s="3">
        <f t="shared" si="165"/>
        <v>5003.0619999999999</v>
      </c>
      <c r="I2160" s="1">
        <v>45500</v>
      </c>
      <c r="J2160" t="s">
        <v>46</v>
      </c>
      <c r="L2160" s="2">
        <f t="shared" si="166"/>
        <v>2501.5309999999999</v>
      </c>
      <c r="M2160" s="4">
        <f t="shared" si="167"/>
        <v>0.6</v>
      </c>
      <c r="N2160" s="1">
        <f t="shared" si="168"/>
        <v>45500</v>
      </c>
      <c r="O2160" s="3">
        <f>(Table13[[#This Row],[Units_Sold]]*Table13[[#This Row],[Unit_Price_Cleaned]]*(1-Table13[[#This Row],[Discount Cleaned]]))</f>
        <v>2001.2248</v>
      </c>
      <c r="P2160" t="str">
        <f t="shared" si="169"/>
        <v>Profit</v>
      </c>
      <c r="Q2160" t="str" cm="1">
        <f t="array" ref="Q2160">IF(K2160="",INDEX($K$2:$K$2501,MATCH(MAX(COUNTIF($K$2:$K$2501,$K$2:$K$2501)),COUNTIF($K$2:$K$2501,$K$2:$K$2501),0)),K2160)</f>
        <v>B2B</v>
      </c>
    </row>
    <row r="2161" spans="1:17" x14ac:dyDescent="0.3">
      <c r="A2161">
        <v>3159</v>
      </c>
      <c r="B2161" t="s">
        <v>2184</v>
      </c>
      <c r="C2161" t="s">
        <v>33</v>
      </c>
      <c r="D2161" t="s">
        <v>82</v>
      </c>
      <c r="E2161">
        <v>2</v>
      </c>
      <c r="H2161" s="3">
        <f t="shared" si="165"/>
        <v>5552.4404000000004</v>
      </c>
      <c r="I2161" s="1">
        <v>45728</v>
      </c>
      <c r="J2161" t="s">
        <v>15</v>
      </c>
      <c r="K2161" t="s">
        <v>23</v>
      </c>
      <c r="L2161" s="2">
        <f t="shared" si="166"/>
        <v>2776.2202000000002</v>
      </c>
      <c r="M2161" s="4">
        <f t="shared" si="167"/>
        <v>0.6</v>
      </c>
      <c r="N2161" s="1">
        <f t="shared" si="168"/>
        <v>45728</v>
      </c>
      <c r="O2161" s="3">
        <f>(Table13[[#This Row],[Units_Sold]]*Table13[[#This Row],[Unit_Price_Cleaned]]*(1-Table13[[#This Row],[Discount Cleaned]]))</f>
        <v>2220.9761600000002</v>
      </c>
      <c r="P2161" t="str">
        <f t="shared" si="169"/>
        <v>Profit</v>
      </c>
      <c r="Q2161" t="str" cm="1">
        <f t="array" ref="Q2161">IF(K2161="",INDEX($K$2:$K$2501,MATCH(MAX(COUNTIF($K$2:$K$2501,$K$2:$K$2501)),COUNTIF($K$2:$K$2501,$K$2:$K$2501),0)),K2161)</f>
        <v>B2B</v>
      </c>
    </row>
    <row r="2162" spans="1:17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 s="3">
        <f t="shared" si="165"/>
        <v>29860.86</v>
      </c>
      <c r="I2162" s="1">
        <v>45794</v>
      </c>
      <c r="J2162" t="s">
        <v>18</v>
      </c>
      <c r="K2162" t="s">
        <v>16</v>
      </c>
      <c r="L2162" s="2">
        <f t="shared" si="166"/>
        <v>4976.8100000000004</v>
      </c>
      <c r="M2162" s="4">
        <f t="shared" si="167"/>
        <v>0.6</v>
      </c>
      <c r="N2162" s="1">
        <f t="shared" si="168"/>
        <v>45794</v>
      </c>
      <c r="O2162" s="3">
        <f>(Table13[[#This Row],[Units_Sold]]*Table13[[#This Row],[Unit_Price_Cleaned]]*(1-Table13[[#This Row],[Discount Cleaned]]))</f>
        <v>11944.344000000001</v>
      </c>
      <c r="P2162" t="str">
        <f t="shared" si="169"/>
        <v>Profit</v>
      </c>
      <c r="Q2162" t="str" cm="1">
        <f t="array" ref="Q2162">IF(K2162="",INDEX($K$2:$K$2501,MATCH(MAX(COUNTIF($K$2:$K$2501,$K$2:$K$2501)),COUNTIF($K$2:$K$2501,$K$2:$K$2501),0)),K2162)</f>
        <v>B2C</v>
      </c>
    </row>
    <row r="2163" spans="1:17" x14ac:dyDescent="0.3">
      <c r="A2163">
        <v>3161</v>
      </c>
      <c r="B2163" t="s">
        <v>2186</v>
      </c>
      <c r="C2163" t="s">
        <v>29</v>
      </c>
      <c r="D2163" t="s">
        <v>30</v>
      </c>
      <c r="E2163">
        <v>2</v>
      </c>
      <c r="H2163" s="3">
        <f t="shared" si="165"/>
        <v>5235.2780769230776</v>
      </c>
      <c r="I2163" s="1">
        <v>45422</v>
      </c>
      <c r="J2163" t="s">
        <v>22</v>
      </c>
      <c r="K2163" t="s">
        <v>16</v>
      </c>
      <c r="L2163" s="2">
        <f t="shared" si="166"/>
        <v>2617.6390384615388</v>
      </c>
      <c r="M2163" s="4">
        <f t="shared" si="167"/>
        <v>0.6</v>
      </c>
      <c r="N2163" s="1">
        <f t="shared" si="168"/>
        <v>45422</v>
      </c>
      <c r="O2163" s="3">
        <f>(Table13[[#This Row],[Units_Sold]]*Table13[[#This Row],[Unit_Price_Cleaned]]*(1-Table13[[#This Row],[Discount Cleaned]]))</f>
        <v>2094.111230769231</v>
      </c>
      <c r="P2163" t="str">
        <f t="shared" si="169"/>
        <v>Profit</v>
      </c>
      <c r="Q2163" t="str" cm="1">
        <f t="array" ref="Q2163">IF(K2163="",INDEX($K$2:$K$2501,MATCH(MAX(COUNTIF($K$2:$K$2501,$K$2:$K$2501)),COUNTIF($K$2:$K$2501,$K$2:$K$2501),0)),K2163)</f>
        <v>B2C</v>
      </c>
    </row>
    <row r="2164" spans="1:17" x14ac:dyDescent="0.3">
      <c r="A2164">
        <v>3162</v>
      </c>
      <c r="B2164" t="s">
        <v>2187</v>
      </c>
      <c r="C2164" t="s">
        <v>29</v>
      </c>
      <c r="D2164" t="s">
        <v>42</v>
      </c>
      <c r="E2164">
        <v>2</v>
      </c>
      <c r="H2164" s="3">
        <f t="shared" si="165"/>
        <v>5119.3334615384629</v>
      </c>
      <c r="I2164" s="1">
        <v>45655</v>
      </c>
      <c r="J2164" t="s">
        <v>40</v>
      </c>
      <c r="L2164" s="2">
        <f t="shared" si="166"/>
        <v>2559.6667307692314</v>
      </c>
      <c r="M2164" s="4">
        <f t="shared" si="167"/>
        <v>0.6</v>
      </c>
      <c r="N2164" s="1">
        <f t="shared" si="168"/>
        <v>45655</v>
      </c>
      <c r="O2164" s="3">
        <f>(Table13[[#This Row],[Units_Sold]]*Table13[[#This Row],[Unit_Price_Cleaned]]*(1-Table13[[#This Row],[Discount Cleaned]]))</f>
        <v>2047.7333846153851</v>
      </c>
      <c r="P2164" t="str">
        <f t="shared" si="169"/>
        <v>Profit</v>
      </c>
      <c r="Q2164" t="str" cm="1">
        <f t="array" ref="Q2164">IF(K2164="",INDEX($K$2:$K$2501,MATCH(MAX(COUNTIF($K$2:$K$2501,$K$2:$K$2501)),COUNTIF($K$2:$K$2501,$K$2:$K$2501),0)),K2164)</f>
        <v>B2B</v>
      </c>
    </row>
    <row r="2165" spans="1:17" x14ac:dyDescent="0.3">
      <c r="A2165">
        <v>3163</v>
      </c>
      <c r="B2165" t="s">
        <v>2188</v>
      </c>
      <c r="C2165" t="s">
        <v>13</v>
      </c>
      <c r="D2165" t="s">
        <v>102</v>
      </c>
      <c r="E2165">
        <v>2</v>
      </c>
      <c r="H2165" s="3">
        <f t="shared" si="165"/>
        <v>5152.6113793103432</v>
      </c>
      <c r="I2165" s="1">
        <v>45816</v>
      </c>
      <c r="J2165" t="s">
        <v>18</v>
      </c>
      <c r="K2165" t="s">
        <v>16</v>
      </c>
      <c r="L2165" s="2">
        <f t="shared" si="166"/>
        <v>2576.3056896551716</v>
      </c>
      <c r="M2165" s="4">
        <f t="shared" si="167"/>
        <v>0.6</v>
      </c>
      <c r="N2165" s="1">
        <f t="shared" si="168"/>
        <v>45816</v>
      </c>
      <c r="O2165" s="3">
        <f>(Table13[[#This Row],[Units_Sold]]*Table13[[#This Row],[Unit_Price_Cleaned]]*(1-Table13[[#This Row],[Discount Cleaned]]))</f>
        <v>2061.0445517241374</v>
      </c>
      <c r="P2165" t="str">
        <f t="shared" si="169"/>
        <v>Profit</v>
      </c>
      <c r="Q2165" t="str" cm="1">
        <f t="array" ref="Q2165">IF(K2165="",INDEX($K$2:$K$2501,MATCH(MAX(COUNTIF($K$2:$K$2501,$K$2:$K$2501)),COUNTIF($K$2:$K$2501,$K$2:$K$2501),0)),K2165)</f>
        <v>B2C</v>
      </c>
    </row>
    <row r="2166" spans="1:17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 s="3">
        <f t="shared" si="165"/>
        <v>7450.753200000001</v>
      </c>
      <c r="I2166" s="1">
        <v>45749</v>
      </c>
      <c r="J2166" t="s">
        <v>40</v>
      </c>
      <c r="K2166" t="s">
        <v>16</v>
      </c>
      <c r="L2166" s="2">
        <f t="shared" si="166"/>
        <v>2483.5844000000002</v>
      </c>
      <c r="M2166" s="4">
        <f t="shared" si="167"/>
        <v>0.09</v>
      </c>
      <c r="N2166" s="1">
        <f t="shared" si="168"/>
        <v>45749</v>
      </c>
      <c r="O2166" s="3">
        <f>(Table13[[#This Row],[Units_Sold]]*Table13[[#This Row],[Unit_Price_Cleaned]]*(1-Table13[[#This Row],[Discount Cleaned]]))</f>
        <v>6780.1854120000007</v>
      </c>
      <c r="P2166" t="str">
        <f t="shared" si="169"/>
        <v>Profit</v>
      </c>
      <c r="Q2166" t="str" cm="1">
        <f t="array" ref="Q2166">IF(K2166="",INDEX($K$2:$K$2501,MATCH(MAX(COUNTIF($K$2:$K$2501,$K$2:$K$2501)),COUNTIF($K$2:$K$2501,$K$2:$K$2501),0)),K2166)</f>
        <v>B2C</v>
      </c>
    </row>
    <row r="2167" spans="1:17" x14ac:dyDescent="0.3">
      <c r="A2167">
        <v>3165</v>
      </c>
      <c r="B2167" t="s">
        <v>2190</v>
      </c>
      <c r="C2167" t="s">
        <v>38</v>
      </c>
      <c r="D2167" t="s">
        <v>91</v>
      </c>
      <c r="E2167">
        <v>2</v>
      </c>
      <c r="F2167">
        <v>2994.31</v>
      </c>
      <c r="H2167" s="3">
        <f t="shared" si="165"/>
        <v>5988.62</v>
      </c>
      <c r="J2167" t="s">
        <v>40</v>
      </c>
      <c r="K2167" t="s">
        <v>16</v>
      </c>
      <c r="L2167" s="2">
        <f t="shared" si="166"/>
        <v>2994.31</v>
      </c>
      <c r="M2167" s="4">
        <f t="shared" si="167"/>
        <v>0.6</v>
      </c>
      <c r="N2167" s="1">
        <f t="shared" si="168"/>
        <v>45782</v>
      </c>
      <c r="O2167" s="3">
        <f>(Table13[[#This Row],[Units_Sold]]*Table13[[#This Row],[Unit_Price_Cleaned]]*(1-Table13[[#This Row],[Discount Cleaned]]))</f>
        <v>2395.4479999999999</v>
      </c>
      <c r="P2167" t="str">
        <f t="shared" si="169"/>
        <v>Profit</v>
      </c>
      <c r="Q2167" t="str" cm="1">
        <f t="array" ref="Q2167">IF(K2167="",INDEX($K$2:$K$2501,MATCH(MAX(COUNTIF($K$2:$K$2501,$K$2:$K$2501)),COUNTIF($K$2:$K$2501,$K$2:$K$2501),0)),K2167)</f>
        <v>B2C</v>
      </c>
    </row>
    <row r="2168" spans="1:17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 s="3">
        <f t="shared" si="165"/>
        <v>-5737.5536363636356</v>
      </c>
      <c r="I2168" s="1">
        <v>45674</v>
      </c>
      <c r="J2168" t="s">
        <v>46</v>
      </c>
      <c r="K2168" t="s">
        <v>23</v>
      </c>
      <c r="L2168" s="2">
        <f t="shared" si="166"/>
        <v>2868.7768181818178</v>
      </c>
      <c r="M2168" s="4">
        <f t="shared" si="167"/>
        <v>0.6</v>
      </c>
      <c r="N2168" s="1">
        <f t="shared" si="168"/>
        <v>45674</v>
      </c>
      <c r="O2168" s="3">
        <f>(Table13[[#This Row],[Units_Sold]]*Table13[[#This Row],[Unit_Price_Cleaned]]*(1-Table13[[#This Row],[Discount Cleaned]]))</f>
        <v>-2295.0214545454542</v>
      </c>
      <c r="P2168" t="str">
        <f t="shared" si="169"/>
        <v>Loss</v>
      </c>
      <c r="Q2168" t="str" cm="1">
        <f t="array" ref="Q2168">IF(K2168="",INDEX($K$2:$K$2501,MATCH(MAX(COUNTIF($K$2:$K$2501,$K$2:$K$2501)),COUNTIF($K$2:$K$2501,$K$2:$K$2501),0)),K2168)</f>
        <v>B2B</v>
      </c>
    </row>
    <row r="2169" spans="1:17" x14ac:dyDescent="0.3">
      <c r="A2169">
        <v>3167</v>
      </c>
      <c r="B2169" t="s">
        <v>2192</v>
      </c>
      <c r="C2169" t="s">
        <v>13</v>
      </c>
      <c r="D2169" t="s">
        <v>102</v>
      </c>
      <c r="E2169">
        <v>2</v>
      </c>
      <c r="H2169" s="3">
        <f t="shared" si="165"/>
        <v>5152.6113793103432</v>
      </c>
      <c r="I2169" s="1">
        <v>45558</v>
      </c>
      <c r="J2169" t="s">
        <v>22</v>
      </c>
      <c r="K2169" t="s">
        <v>23</v>
      </c>
      <c r="L2169" s="2">
        <f t="shared" si="166"/>
        <v>2576.3056896551716</v>
      </c>
      <c r="M2169" s="4">
        <f t="shared" si="167"/>
        <v>0.6</v>
      </c>
      <c r="N2169" s="1">
        <f t="shared" si="168"/>
        <v>45558</v>
      </c>
      <c r="O2169" s="3">
        <f>(Table13[[#This Row],[Units_Sold]]*Table13[[#This Row],[Unit_Price_Cleaned]]*(1-Table13[[#This Row],[Discount Cleaned]]))</f>
        <v>2061.0445517241374</v>
      </c>
      <c r="P2169" t="str">
        <f t="shared" si="169"/>
        <v>Profit</v>
      </c>
      <c r="Q2169" t="str" cm="1">
        <f t="array" ref="Q2169">IF(K2169="",INDEX($K$2:$K$2501,MATCH(MAX(COUNTIF($K$2:$K$2501,$K$2:$K$2501)),COUNTIF($K$2:$K$2501,$K$2:$K$2501),0)),K2169)</f>
        <v>B2B</v>
      </c>
    </row>
    <row r="2170" spans="1:17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 s="3">
        <f t="shared" si="165"/>
        <v>-1845.75</v>
      </c>
      <c r="I2170" s="1">
        <v>45814</v>
      </c>
      <c r="J2170" t="s">
        <v>40</v>
      </c>
      <c r="K2170" t="s">
        <v>23</v>
      </c>
      <c r="L2170" s="2">
        <f t="shared" si="166"/>
        <v>1845.75</v>
      </c>
      <c r="M2170" s="4">
        <f t="shared" si="167"/>
        <v>0.6</v>
      </c>
      <c r="N2170" s="1">
        <f t="shared" si="168"/>
        <v>45814</v>
      </c>
      <c r="O2170" s="3">
        <f>(Table13[[#This Row],[Units_Sold]]*Table13[[#This Row],[Unit_Price_Cleaned]]*(1-Table13[[#This Row],[Discount Cleaned]]))</f>
        <v>-738.30000000000007</v>
      </c>
      <c r="P2170" t="str">
        <f t="shared" si="169"/>
        <v>Loss</v>
      </c>
      <c r="Q2170" t="str" cm="1">
        <f t="array" ref="Q2170">IF(K2170="",INDEX($K$2:$K$2501,MATCH(MAX(COUNTIF($K$2:$K$2501,$K$2:$K$2501)),COUNTIF($K$2:$K$2501,$K$2:$K$2501),0)),K2170)</f>
        <v>B2B</v>
      </c>
    </row>
    <row r="2171" spans="1:17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 s="3">
        <f t="shared" si="165"/>
        <v>-5362.348727272727</v>
      </c>
      <c r="I2171" s="1">
        <v>45380</v>
      </c>
      <c r="J2171" t="s">
        <v>56</v>
      </c>
      <c r="K2171" t="s">
        <v>16</v>
      </c>
      <c r="L2171" s="2">
        <f t="shared" si="166"/>
        <v>2681.1743636363635</v>
      </c>
      <c r="M2171" s="4">
        <f t="shared" si="167"/>
        <v>0.6</v>
      </c>
      <c r="N2171" s="1">
        <f t="shared" si="168"/>
        <v>45380</v>
      </c>
      <c r="O2171" s="3">
        <f>(Table13[[#This Row],[Units_Sold]]*Table13[[#This Row],[Unit_Price_Cleaned]]*(1-Table13[[#This Row],[Discount Cleaned]]))</f>
        <v>-2144.9394909090911</v>
      </c>
      <c r="P2171" t="str">
        <f t="shared" si="169"/>
        <v>Loss</v>
      </c>
      <c r="Q2171" t="str" cm="1">
        <f t="array" ref="Q2171">IF(K2171="",INDEX($K$2:$K$2501,MATCH(MAX(COUNTIF($K$2:$K$2501,$K$2:$K$2501)),COUNTIF($K$2:$K$2501,$K$2:$K$2501),0)),K2171)</f>
        <v>B2C</v>
      </c>
    </row>
    <row r="2172" spans="1:17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 s="3">
        <f t="shared" si="165"/>
        <v>4459.54</v>
      </c>
      <c r="J2172" t="s">
        <v>18</v>
      </c>
      <c r="K2172" t="s">
        <v>16</v>
      </c>
      <c r="L2172" s="2">
        <f t="shared" si="166"/>
        <v>2229.77</v>
      </c>
      <c r="M2172" s="4">
        <f t="shared" si="167"/>
        <v>0.6</v>
      </c>
      <c r="N2172" s="1">
        <f t="shared" si="168"/>
        <v>45782</v>
      </c>
      <c r="O2172" s="3">
        <f>(Table13[[#This Row],[Units_Sold]]*Table13[[#This Row],[Unit_Price_Cleaned]]*(1-Table13[[#This Row],[Discount Cleaned]]))</f>
        <v>1783.816</v>
      </c>
      <c r="P2172" t="str">
        <f t="shared" si="169"/>
        <v>Profit</v>
      </c>
      <c r="Q2172" t="str" cm="1">
        <f t="array" ref="Q2172">IF(K2172="",INDEX($K$2:$K$2501,MATCH(MAX(COUNTIF($K$2:$K$2501,$K$2:$K$2501)),COUNTIF($K$2:$K$2501,$K$2:$K$2501),0)),K2172)</f>
        <v>B2C</v>
      </c>
    </row>
    <row r="2173" spans="1:17" x14ac:dyDescent="0.3">
      <c r="A2173">
        <v>3171</v>
      </c>
      <c r="B2173" t="s">
        <v>2196</v>
      </c>
      <c r="C2173" t="s">
        <v>33</v>
      </c>
      <c r="D2173" t="s">
        <v>72</v>
      </c>
      <c r="E2173">
        <v>2</v>
      </c>
      <c r="F2173">
        <v>3618.17</v>
      </c>
      <c r="H2173" s="3">
        <f t="shared" si="165"/>
        <v>7236.34</v>
      </c>
      <c r="I2173" s="1">
        <v>45816</v>
      </c>
      <c r="J2173" t="s">
        <v>18</v>
      </c>
      <c r="K2173" t="s">
        <v>23</v>
      </c>
      <c r="L2173" s="2">
        <f t="shared" si="166"/>
        <v>3618.17</v>
      </c>
      <c r="M2173" s="4">
        <f t="shared" si="167"/>
        <v>0.6</v>
      </c>
      <c r="N2173" s="1">
        <f t="shared" si="168"/>
        <v>45816</v>
      </c>
      <c r="O2173" s="3">
        <f>(Table13[[#This Row],[Units_Sold]]*Table13[[#This Row],[Unit_Price_Cleaned]]*(1-Table13[[#This Row],[Discount Cleaned]]))</f>
        <v>2894.5360000000001</v>
      </c>
      <c r="P2173" t="str">
        <f t="shared" si="169"/>
        <v>Profit</v>
      </c>
      <c r="Q2173" t="str" cm="1">
        <f t="array" ref="Q2173">IF(K2173="",INDEX($K$2:$K$2501,MATCH(MAX(COUNTIF($K$2:$K$2501,$K$2:$K$2501)),COUNTIF($K$2:$K$2501,$K$2:$K$2501),0)),K2173)</f>
        <v>B2B</v>
      </c>
    </row>
    <row r="2174" spans="1:17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 s="3">
        <f t="shared" si="165"/>
        <v>13300.050000000001</v>
      </c>
      <c r="I2174" s="1">
        <v>45624</v>
      </c>
      <c r="J2174" t="s">
        <v>46</v>
      </c>
      <c r="L2174" s="2">
        <f t="shared" si="166"/>
        <v>4433.3500000000004</v>
      </c>
      <c r="M2174" s="4">
        <f t="shared" si="167"/>
        <v>0.6</v>
      </c>
      <c r="N2174" s="1">
        <f t="shared" si="168"/>
        <v>45624</v>
      </c>
      <c r="O2174" s="3">
        <f>(Table13[[#This Row],[Units_Sold]]*Table13[[#This Row],[Unit_Price_Cleaned]]*(1-Table13[[#This Row],[Discount Cleaned]]))</f>
        <v>5320.02</v>
      </c>
      <c r="P2174" t="str">
        <f t="shared" si="169"/>
        <v>Profit</v>
      </c>
      <c r="Q2174" t="str" cm="1">
        <f t="array" ref="Q2174">IF(K2174="",INDEX($K$2:$K$2501,MATCH(MAX(COUNTIF($K$2:$K$2501,$K$2:$K$2501)),COUNTIF($K$2:$K$2501,$K$2:$K$2501),0)),K2174)</f>
        <v>B2B</v>
      </c>
    </row>
    <row r="2175" spans="1:17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 s="3">
        <f t="shared" si="165"/>
        <v>4823.92</v>
      </c>
      <c r="J2175" t="s">
        <v>15</v>
      </c>
      <c r="K2175" t="s">
        <v>16</v>
      </c>
      <c r="L2175" s="2">
        <f t="shared" si="166"/>
        <v>1205.98</v>
      </c>
      <c r="M2175" s="4">
        <f t="shared" si="167"/>
        <v>0.6</v>
      </c>
      <c r="N2175" s="1">
        <f t="shared" si="168"/>
        <v>45782</v>
      </c>
      <c r="O2175" s="3">
        <f>(Table13[[#This Row],[Units_Sold]]*Table13[[#This Row],[Unit_Price_Cleaned]]*(1-Table13[[#This Row],[Discount Cleaned]]))</f>
        <v>1929.5680000000002</v>
      </c>
      <c r="P2175" t="str">
        <f t="shared" si="169"/>
        <v>Profit</v>
      </c>
      <c r="Q2175" t="str" cm="1">
        <f t="array" ref="Q2175">IF(K2175="",INDEX($K$2:$K$2501,MATCH(MAX(COUNTIF($K$2:$K$2501,$K$2:$K$2501)),COUNTIF($K$2:$K$2501,$K$2:$K$2501),0)),K2175)</f>
        <v>B2C</v>
      </c>
    </row>
    <row r="2176" spans="1:17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 s="3">
        <f t="shared" si="165"/>
        <v>17383.16</v>
      </c>
      <c r="I2176" s="1">
        <v>45705</v>
      </c>
      <c r="J2176" t="s">
        <v>46</v>
      </c>
      <c r="L2176" s="2">
        <f t="shared" si="166"/>
        <v>4345.79</v>
      </c>
      <c r="M2176" s="4">
        <f t="shared" si="167"/>
        <v>1.1399999999999999</v>
      </c>
      <c r="N2176" s="1">
        <f t="shared" si="168"/>
        <v>45705</v>
      </c>
      <c r="O2176" s="3">
        <f>(Table13[[#This Row],[Units_Sold]]*Table13[[#This Row],[Unit_Price_Cleaned]]*(1-Table13[[#This Row],[Discount Cleaned]]))</f>
        <v>-2433.6423999999984</v>
      </c>
      <c r="P2176" t="str">
        <f t="shared" si="169"/>
        <v>Loss</v>
      </c>
      <c r="Q2176" t="str" cm="1">
        <f t="array" ref="Q2176">IF(K2176="",INDEX($K$2:$K$2501,MATCH(MAX(COUNTIF($K$2:$K$2501,$K$2:$K$2501)),COUNTIF($K$2:$K$2501,$K$2:$K$2501),0)),K2176)</f>
        <v>B2B</v>
      </c>
    </row>
    <row r="2177" spans="1:17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 s="3">
        <f t="shared" si="165"/>
        <v>8811.27</v>
      </c>
      <c r="I2177" s="1">
        <v>45378</v>
      </c>
      <c r="J2177" t="s">
        <v>46</v>
      </c>
      <c r="K2177" t="s">
        <v>16</v>
      </c>
      <c r="L2177" s="2">
        <f t="shared" si="166"/>
        <v>2937.09</v>
      </c>
      <c r="M2177" s="4">
        <f t="shared" si="167"/>
        <v>0.6</v>
      </c>
      <c r="N2177" s="1">
        <f t="shared" si="168"/>
        <v>45378</v>
      </c>
      <c r="O2177" s="3">
        <f>(Table13[[#This Row],[Units_Sold]]*Table13[[#This Row],[Unit_Price_Cleaned]]*(1-Table13[[#This Row],[Discount Cleaned]]))</f>
        <v>3524.5080000000003</v>
      </c>
      <c r="P2177" t="str">
        <f t="shared" si="169"/>
        <v>Profit</v>
      </c>
      <c r="Q2177" t="str" cm="1">
        <f t="array" ref="Q2177">IF(K2177="",INDEX($K$2:$K$2501,MATCH(MAX(COUNTIF($K$2:$K$2501,$K$2:$K$2501)),COUNTIF($K$2:$K$2501,$K$2:$K$2501),0)),K2177)</f>
        <v>B2C</v>
      </c>
    </row>
    <row r="2178" spans="1:17" x14ac:dyDescent="0.3">
      <c r="A2178">
        <v>3176</v>
      </c>
      <c r="B2178" t="s">
        <v>2201</v>
      </c>
      <c r="C2178" t="s">
        <v>38</v>
      </c>
      <c r="D2178" t="s">
        <v>63</v>
      </c>
      <c r="E2178">
        <v>2</v>
      </c>
      <c r="F2178">
        <v>4473.84</v>
      </c>
      <c r="G2178">
        <v>0.3</v>
      </c>
      <c r="H2178" s="3">
        <f t="shared" ref="H2178:H2241" si="170">(L2178*E2178)</f>
        <v>8947.68</v>
      </c>
      <c r="I2178" s="1">
        <v>45515</v>
      </c>
      <c r="J2178" t="s">
        <v>46</v>
      </c>
      <c r="K2178" t="s">
        <v>23</v>
      </c>
      <c r="L2178" s="2">
        <f t="shared" ref="L2178:L2241" si="171">IF(F2178="",AVERAGEIF($D$2:$D$2501,D2178,$F$2:$F$2501),F2178)</f>
        <v>4473.84</v>
      </c>
      <c r="M2178" s="4">
        <f t="shared" ref="M2178:M2241" si="172">IF(G2178="",MEDIAN($G$2,$G$2501),G2178)</f>
        <v>0.3</v>
      </c>
      <c r="N2178" s="1">
        <f t="shared" ref="N2178:N2241" si="173">IF(I2178="",MODE($I$32:$I$2501),I2178)</f>
        <v>45515</v>
      </c>
      <c r="O2178" s="3">
        <f>(Table13[[#This Row],[Units_Sold]]*Table13[[#This Row],[Unit_Price_Cleaned]]*(1-Table13[[#This Row],[Discount Cleaned]]))</f>
        <v>6263.3760000000002</v>
      </c>
      <c r="P2178" t="str">
        <f t="shared" ref="P2178:P2241" si="174">IF(O2178&gt;500,"Profit","Loss")</f>
        <v>Profit</v>
      </c>
      <c r="Q2178" t="str" cm="1">
        <f t="array" ref="Q2178">IF(K2178="",INDEX($K$2:$K$2501,MATCH(MAX(COUNTIF($K$2:$K$2501,$K$2:$K$2501)),COUNTIF($K$2:$K$2501,$K$2:$K$2501),0)),K2178)</f>
        <v>B2B</v>
      </c>
    </row>
    <row r="2179" spans="1:17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 s="3">
        <f t="shared" si="170"/>
        <v>-2381.2677586206896</v>
      </c>
      <c r="I2179" s="1">
        <v>45697</v>
      </c>
      <c r="J2179" t="s">
        <v>18</v>
      </c>
      <c r="K2179" t="s">
        <v>16</v>
      </c>
      <c r="L2179" s="2">
        <f t="shared" si="171"/>
        <v>2381.2677586206896</v>
      </c>
      <c r="M2179" s="4">
        <f t="shared" si="172"/>
        <v>0.6</v>
      </c>
      <c r="N2179" s="1">
        <f t="shared" si="173"/>
        <v>45697</v>
      </c>
      <c r="O2179" s="3">
        <f>(Table13[[#This Row],[Units_Sold]]*Table13[[#This Row],[Unit_Price_Cleaned]]*(1-Table13[[#This Row],[Discount Cleaned]]))</f>
        <v>-952.50710344827587</v>
      </c>
      <c r="P2179" t="str">
        <f t="shared" si="174"/>
        <v>Loss</v>
      </c>
      <c r="Q2179" t="str" cm="1">
        <f t="array" ref="Q2179">IF(K2179="",INDEX($K$2:$K$2501,MATCH(MAX(COUNTIF($K$2:$K$2501,$K$2:$K$2501)),COUNTIF($K$2:$K$2501,$K$2:$K$2501),0)),K2179)</f>
        <v>B2C</v>
      </c>
    </row>
    <row r="2180" spans="1:17" x14ac:dyDescent="0.3">
      <c r="A2180">
        <v>3178</v>
      </c>
      <c r="B2180" t="s">
        <v>2203</v>
      </c>
      <c r="C2180" t="s">
        <v>20</v>
      </c>
      <c r="D2180" t="s">
        <v>88</v>
      </c>
      <c r="E2180">
        <v>2</v>
      </c>
      <c r="G2180">
        <v>0.66</v>
      </c>
      <c r="H2180" s="3">
        <f t="shared" si="170"/>
        <v>5451.7114285714297</v>
      </c>
      <c r="J2180" t="s">
        <v>56</v>
      </c>
      <c r="K2180" t="s">
        <v>16</v>
      </c>
      <c r="L2180" s="2">
        <f t="shared" si="171"/>
        <v>2725.8557142857148</v>
      </c>
      <c r="M2180" s="4">
        <f t="shared" si="172"/>
        <v>0.66</v>
      </c>
      <c r="N2180" s="1">
        <f t="shared" si="173"/>
        <v>45782</v>
      </c>
      <c r="O2180" s="3">
        <f>(Table13[[#This Row],[Units_Sold]]*Table13[[#This Row],[Unit_Price_Cleaned]]*(1-Table13[[#This Row],[Discount Cleaned]]))</f>
        <v>1853.5818857142858</v>
      </c>
      <c r="P2180" t="str">
        <f t="shared" si="174"/>
        <v>Profit</v>
      </c>
      <c r="Q2180" t="str" cm="1">
        <f t="array" ref="Q2180">IF(K2180="",INDEX($K$2:$K$2501,MATCH(MAX(COUNTIF($K$2:$K$2501,$K$2:$K$2501)),COUNTIF($K$2:$K$2501,$K$2:$K$2501),0)),K2180)</f>
        <v>B2C</v>
      </c>
    </row>
    <row r="2181" spans="1:17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 s="3">
        <f t="shared" si="170"/>
        <v>2057.88</v>
      </c>
      <c r="I2181" s="1">
        <v>45588</v>
      </c>
      <c r="J2181" t="s">
        <v>18</v>
      </c>
      <c r="K2181" t="s">
        <v>16</v>
      </c>
      <c r="L2181" s="2">
        <f t="shared" si="171"/>
        <v>2057.88</v>
      </c>
      <c r="M2181" s="4">
        <f t="shared" si="172"/>
        <v>0.6</v>
      </c>
      <c r="N2181" s="1">
        <f t="shared" si="173"/>
        <v>45588</v>
      </c>
      <c r="O2181" s="3">
        <f>(Table13[[#This Row],[Units_Sold]]*Table13[[#This Row],[Unit_Price_Cleaned]]*(1-Table13[[#This Row],[Discount Cleaned]]))</f>
        <v>823.15200000000004</v>
      </c>
      <c r="P2181" t="str">
        <f t="shared" si="174"/>
        <v>Profit</v>
      </c>
      <c r="Q2181" t="str" cm="1">
        <f t="array" ref="Q2181">IF(K2181="",INDEX($K$2:$K$2501,MATCH(MAX(COUNTIF($K$2:$K$2501,$K$2:$K$2501)),COUNTIF($K$2:$K$2501,$K$2:$K$2501),0)),K2181)</f>
        <v>B2C</v>
      </c>
    </row>
    <row r="2182" spans="1:17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 s="3">
        <f t="shared" si="170"/>
        <v>9906.6</v>
      </c>
      <c r="I2182" s="1">
        <v>45519</v>
      </c>
      <c r="J2182" t="s">
        <v>40</v>
      </c>
      <c r="L2182" s="2">
        <f t="shared" si="171"/>
        <v>1981.32</v>
      </c>
      <c r="M2182" s="4">
        <f t="shared" si="172"/>
        <v>0.6</v>
      </c>
      <c r="N2182" s="1">
        <f t="shared" si="173"/>
        <v>45519</v>
      </c>
      <c r="O2182" s="3">
        <f>(Table13[[#This Row],[Units_Sold]]*Table13[[#This Row],[Unit_Price_Cleaned]]*(1-Table13[[#This Row],[Discount Cleaned]]))</f>
        <v>3962.6400000000003</v>
      </c>
      <c r="P2182" t="str">
        <f t="shared" si="174"/>
        <v>Profit</v>
      </c>
      <c r="Q2182" t="str" cm="1">
        <f t="array" ref="Q2182">IF(K2182="",INDEX($K$2:$K$2501,MATCH(MAX(COUNTIF($K$2:$K$2501,$K$2:$K$2501)),COUNTIF($K$2:$K$2501,$K$2:$K$2501),0)),K2182)</f>
        <v>B2B</v>
      </c>
    </row>
    <row r="2183" spans="1:17" x14ac:dyDescent="0.3">
      <c r="A2183">
        <v>3181</v>
      </c>
      <c r="B2183" t="s">
        <v>2205</v>
      </c>
      <c r="C2183" t="s">
        <v>25</v>
      </c>
      <c r="D2183" t="s">
        <v>26</v>
      </c>
      <c r="E2183">
        <v>2</v>
      </c>
      <c r="H2183" s="3">
        <f t="shared" si="170"/>
        <v>5777.7428571428572</v>
      </c>
      <c r="I2183" s="1">
        <v>45441</v>
      </c>
      <c r="J2183" t="s">
        <v>18</v>
      </c>
      <c r="L2183" s="2">
        <f t="shared" si="171"/>
        <v>2888.8714285714286</v>
      </c>
      <c r="M2183" s="4">
        <f t="shared" si="172"/>
        <v>0.6</v>
      </c>
      <c r="N2183" s="1">
        <f t="shared" si="173"/>
        <v>45441</v>
      </c>
      <c r="O2183" s="3">
        <f>(Table13[[#This Row],[Units_Sold]]*Table13[[#This Row],[Unit_Price_Cleaned]]*(1-Table13[[#This Row],[Discount Cleaned]]))</f>
        <v>2311.0971428571429</v>
      </c>
      <c r="P2183" t="str">
        <f t="shared" si="174"/>
        <v>Profit</v>
      </c>
      <c r="Q2183" t="str" cm="1">
        <f t="array" ref="Q2183">IF(K2183="",INDEX($K$2:$K$2501,MATCH(MAX(COUNTIF($K$2:$K$2501,$K$2:$K$2501)),COUNTIF($K$2:$K$2501,$K$2:$K$2501),0)),K2183)</f>
        <v>B2B</v>
      </c>
    </row>
    <row r="2184" spans="1:17" x14ac:dyDescent="0.3">
      <c r="A2184">
        <v>3182</v>
      </c>
      <c r="B2184" t="s">
        <v>1078</v>
      </c>
      <c r="C2184" t="s">
        <v>38</v>
      </c>
      <c r="D2184" t="s">
        <v>63</v>
      </c>
      <c r="E2184">
        <v>2</v>
      </c>
      <c r="F2184">
        <v>3078.92</v>
      </c>
      <c r="H2184" s="3">
        <f t="shared" si="170"/>
        <v>6157.84</v>
      </c>
      <c r="J2184" t="s">
        <v>56</v>
      </c>
      <c r="K2184" t="s">
        <v>23</v>
      </c>
      <c r="L2184" s="2">
        <f t="shared" si="171"/>
        <v>3078.92</v>
      </c>
      <c r="M2184" s="4">
        <f t="shared" si="172"/>
        <v>0.6</v>
      </c>
      <c r="N2184" s="1">
        <f t="shared" si="173"/>
        <v>45782</v>
      </c>
      <c r="O2184" s="3">
        <f>(Table13[[#This Row],[Units_Sold]]*Table13[[#This Row],[Unit_Price_Cleaned]]*(1-Table13[[#This Row],[Discount Cleaned]]))</f>
        <v>2463.1360000000004</v>
      </c>
      <c r="P2184" t="str">
        <f t="shared" si="174"/>
        <v>Profit</v>
      </c>
      <c r="Q2184" t="str" cm="1">
        <f t="array" ref="Q2184">IF(K2184="",INDEX($K$2:$K$2501,MATCH(MAX(COUNTIF($K$2:$K$2501,$K$2:$K$2501)),COUNTIF($K$2:$K$2501,$K$2:$K$2501),0)),K2184)</f>
        <v>B2B</v>
      </c>
    </row>
    <row r="2185" spans="1:17" x14ac:dyDescent="0.3">
      <c r="A2185">
        <v>3183</v>
      </c>
      <c r="B2185" t="s">
        <v>2206</v>
      </c>
      <c r="C2185" t="s">
        <v>29</v>
      </c>
      <c r="D2185" t="s">
        <v>120</v>
      </c>
      <c r="E2185">
        <v>2</v>
      </c>
      <c r="H2185" s="3">
        <f t="shared" si="170"/>
        <v>5660.2651428571462</v>
      </c>
      <c r="I2185" s="1">
        <v>45444</v>
      </c>
      <c r="J2185" t="s">
        <v>40</v>
      </c>
      <c r="L2185" s="2">
        <f t="shared" si="171"/>
        <v>2830.1325714285731</v>
      </c>
      <c r="M2185" s="4">
        <f t="shared" si="172"/>
        <v>0.6</v>
      </c>
      <c r="N2185" s="1">
        <f t="shared" si="173"/>
        <v>45444</v>
      </c>
      <c r="O2185" s="3">
        <f>(Table13[[#This Row],[Units_Sold]]*Table13[[#This Row],[Unit_Price_Cleaned]]*(1-Table13[[#This Row],[Discount Cleaned]]))</f>
        <v>2264.1060571428584</v>
      </c>
      <c r="P2185" t="str">
        <f t="shared" si="174"/>
        <v>Profit</v>
      </c>
      <c r="Q2185" t="str" cm="1">
        <f t="array" ref="Q2185">IF(K2185="",INDEX($K$2:$K$2501,MATCH(MAX(COUNTIF($K$2:$K$2501,$K$2:$K$2501)),COUNTIF($K$2:$K$2501,$K$2:$K$2501),0)),K2185)</f>
        <v>B2B</v>
      </c>
    </row>
    <row r="2186" spans="1:17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 s="3">
        <f t="shared" si="170"/>
        <v>7718.3292000000019</v>
      </c>
      <c r="I2186" s="1">
        <v>45135</v>
      </c>
      <c r="J2186" t="s">
        <v>46</v>
      </c>
      <c r="L2186" s="2">
        <f t="shared" si="171"/>
        <v>2572.7764000000006</v>
      </c>
      <c r="M2186" s="4">
        <f t="shared" si="172"/>
        <v>1</v>
      </c>
      <c r="N2186" s="1">
        <f t="shared" si="173"/>
        <v>45135</v>
      </c>
      <c r="O2186" s="3">
        <f>(Table13[[#This Row],[Units_Sold]]*Table13[[#This Row],[Unit_Price_Cleaned]]*(1-Table13[[#This Row],[Discount Cleaned]]))</f>
        <v>0</v>
      </c>
      <c r="P2186" t="str">
        <f t="shared" si="174"/>
        <v>Loss</v>
      </c>
      <c r="Q2186" t="str" cm="1">
        <f t="array" ref="Q2186">IF(K2186="",INDEX($K$2:$K$2501,MATCH(MAX(COUNTIF($K$2:$K$2501,$K$2:$K$2501)),COUNTIF($K$2:$K$2501,$K$2:$K$2501),0)),K2186)</f>
        <v>B2B</v>
      </c>
    </row>
    <row r="2187" spans="1:17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 s="3">
        <f t="shared" si="170"/>
        <v>5152.6113793103432</v>
      </c>
      <c r="I2187" s="1">
        <v>45601</v>
      </c>
      <c r="J2187" t="s">
        <v>18</v>
      </c>
      <c r="L2187" s="2">
        <f t="shared" si="171"/>
        <v>2576.3056896551716</v>
      </c>
      <c r="M2187" s="4">
        <f t="shared" si="172"/>
        <v>0.6</v>
      </c>
      <c r="N2187" s="1">
        <f t="shared" si="173"/>
        <v>45601</v>
      </c>
      <c r="O2187" s="3">
        <f>(Table13[[#This Row],[Units_Sold]]*Table13[[#This Row],[Unit_Price_Cleaned]]*(1-Table13[[#This Row],[Discount Cleaned]]))</f>
        <v>2061.0445517241374</v>
      </c>
      <c r="P2187" t="str">
        <f t="shared" si="174"/>
        <v>Profit</v>
      </c>
      <c r="Q2187" t="str" cm="1">
        <f t="array" ref="Q2187">IF(K2187="",INDEX($K$2:$K$2501,MATCH(MAX(COUNTIF($K$2:$K$2501,$K$2:$K$2501)),COUNTIF($K$2:$K$2501,$K$2:$K$2501),0)),K2187)</f>
        <v>B2B</v>
      </c>
    </row>
    <row r="2188" spans="1:17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 s="3">
        <f t="shared" si="170"/>
        <v>12881.528448275858</v>
      </c>
      <c r="J2188" t="s">
        <v>56</v>
      </c>
      <c r="K2188" t="s">
        <v>23</v>
      </c>
      <c r="L2188" s="2">
        <f t="shared" si="171"/>
        <v>2576.3056896551716</v>
      </c>
      <c r="M2188" s="4">
        <f t="shared" si="172"/>
        <v>0.6</v>
      </c>
      <c r="N2188" s="1">
        <f t="shared" si="173"/>
        <v>45782</v>
      </c>
      <c r="O2188" s="3">
        <f>(Table13[[#This Row],[Units_Sold]]*Table13[[#This Row],[Unit_Price_Cleaned]]*(1-Table13[[#This Row],[Discount Cleaned]]))</f>
        <v>5152.6113793103432</v>
      </c>
      <c r="P2188" t="str">
        <f t="shared" si="174"/>
        <v>Profit</v>
      </c>
      <c r="Q2188" t="str" cm="1">
        <f t="array" ref="Q2188">IF(K2188="",INDEX($K$2:$K$2501,MATCH(MAX(COUNTIF($K$2:$K$2501,$K$2:$K$2501)),COUNTIF($K$2:$K$2501,$K$2:$K$2501),0)),K2188)</f>
        <v>B2B</v>
      </c>
    </row>
    <row r="2189" spans="1:17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 s="3">
        <f t="shared" si="170"/>
        <v>23993.82</v>
      </c>
      <c r="I2189" s="1">
        <v>45321</v>
      </c>
      <c r="J2189" t="s">
        <v>22</v>
      </c>
      <c r="K2189" t="s">
        <v>16</v>
      </c>
      <c r="L2189" s="2">
        <f t="shared" si="171"/>
        <v>3998.97</v>
      </c>
      <c r="M2189" s="4">
        <f t="shared" si="172"/>
        <v>0.6</v>
      </c>
      <c r="N2189" s="1">
        <f t="shared" si="173"/>
        <v>45321</v>
      </c>
      <c r="O2189" s="3">
        <f>(Table13[[#This Row],[Units_Sold]]*Table13[[#This Row],[Unit_Price_Cleaned]]*(1-Table13[[#This Row],[Discount Cleaned]]))</f>
        <v>9597.5280000000002</v>
      </c>
      <c r="P2189" t="str">
        <f t="shared" si="174"/>
        <v>Profit</v>
      </c>
      <c r="Q2189" t="str" cm="1">
        <f t="array" ref="Q2189">IF(K2189="",INDEX($K$2:$K$2501,MATCH(MAX(COUNTIF($K$2:$K$2501,$K$2:$K$2501)),COUNTIF($K$2:$K$2501,$K$2:$K$2501),0)),K2189)</f>
        <v>B2C</v>
      </c>
    </row>
    <row r="2190" spans="1:17" x14ac:dyDescent="0.3">
      <c r="A2190">
        <v>3188</v>
      </c>
      <c r="B2190" t="s">
        <v>2211</v>
      </c>
      <c r="C2190" t="s">
        <v>29</v>
      </c>
      <c r="D2190" t="s">
        <v>30</v>
      </c>
      <c r="E2190">
        <v>2</v>
      </c>
      <c r="F2190">
        <v>936.76</v>
      </c>
      <c r="H2190" s="3">
        <f t="shared" si="170"/>
        <v>1873.52</v>
      </c>
      <c r="J2190" t="s">
        <v>56</v>
      </c>
      <c r="K2190" t="s">
        <v>23</v>
      </c>
      <c r="L2190" s="2">
        <f t="shared" si="171"/>
        <v>936.76</v>
      </c>
      <c r="M2190" s="4">
        <f t="shared" si="172"/>
        <v>0.6</v>
      </c>
      <c r="N2190" s="1">
        <f t="shared" si="173"/>
        <v>45782</v>
      </c>
      <c r="O2190" s="3">
        <f>(Table13[[#This Row],[Units_Sold]]*Table13[[#This Row],[Unit_Price_Cleaned]]*(1-Table13[[#This Row],[Discount Cleaned]]))</f>
        <v>749.40800000000002</v>
      </c>
      <c r="P2190" t="str">
        <f t="shared" si="174"/>
        <v>Profit</v>
      </c>
      <c r="Q2190" t="str" cm="1">
        <f t="array" ref="Q2190">IF(K2190="",INDEX($K$2:$K$2501,MATCH(MAX(COUNTIF($K$2:$K$2501,$K$2:$K$2501)),COUNTIF($K$2:$K$2501,$K$2:$K$2501),0)),K2190)</f>
        <v>B2B</v>
      </c>
    </row>
    <row r="2191" spans="1:17" x14ac:dyDescent="0.3">
      <c r="A2191">
        <v>3189</v>
      </c>
      <c r="B2191" t="s">
        <v>2212</v>
      </c>
      <c r="C2191" t="s">
        <v>25</v>
      </c>
      <c r="D2191" t="s">
        <v>86</v>
      </c>
      <c r="E2191">
        <v>2</v>
      </c>
      <c r="F2191">
        <v>1299.74</v>
      </c>
      <c r="G2191">
        <v>0.09</v>
      </c>
      <c r="H2191" s="3">
        <f t="shared" si="170"/>
        <v>2599.48</v>
      </c>
      <c r="I2191" s="1">
        <v>45644</v>
      </c>
      <c r="J2191" t="s">
        <v>40</v>
      </c>
      <c r="K2191" t="s">
        <v>16</v>
      </c>
      <c r="L2191" s="2">
        <f t="shared" si="171"/>
        <v>1299.74</v>
      </c>
      <c r="M2191" s="4">
        <f t="shared" si="172"/>
        <v>0.09</v>
      </c>
      <c r="N2191" s="1">
        <f t="shared" si="173"/>
        <v>45644</v>
      </c>
      <c r="O2191" s="3">
        <f>(Table13[[#This Row],[Units_Sold]]*Table13[[#This Row],[Unit_Price_Cleaned]]*(1-Table13[[#This Row],[Discount Cleaned]]))</f>
        <v>2365.5268000000001</v>
      </c>
      <c r="P2191" t="str">
        <f t="shared" si="174"/>
        <v>Profit</v>
      </c>
      <c r="Q2191" t="str" cm="1">
        <f t="array" ref="Q2191">IF(K2191="",INDEX($K$2:$K$2501,MATCH(MAX(COUNTIF($K$2:$K$2501,$K$2:$K$2501)),COUNTIF($K$2:$K$2501,$K$2:$K$2501),0)),K2191)</f>
        <v>B2C</v>
      </c>
    </row>
    <row r="2192" spans="1:17" x14ac:dyDescent="0.3">
      <c r="A2192">
        <v>3190</v>
      </c>
      <c r="B2192" t="s">
        <v>2213</v>
      </c>
      <c r="C2192" t="s">
        <v>25</v>
      </c>
      <c r="D2192" t="s">
        <v>54</v>
      </c>
      <c r="E2192">
        <v>2</v>
      </c>
      <c r="G2192">
        <v>0.44</v>
      </c>
      <c r="H2192" s="3">
        <f t="shared" si="170"/>
        <v>5060.7673076923093</v>
      </c>
      <c r="J2192" t="s">
        <v>56</v>
      </c>
      <c r="K2192" t="s">
        <v>23</v>
      </c>
      <c r="L2192" s="2">
        <f t="shared" si="171"/>
        <v>2530.3836538461546</v>
      </c>
      <c r="M2192" s="4">
        <f t="shared" si="172"/>
        <v>0.44</v>
      </c>
      <c r="N2192" s="1">
        <f t="shared" si="173"/>
        <v>45782</v>
      </c>
      <c r="O2192" s="3">
        <f>(Table13[[#This Row],[Units_Sold]]*Table13[[#This Row],[Unit_Price_Cleaned]]*(1-Table13[[#This Row],[Discount Cleaned]]))</f>
        <v>2834.0296923076935</v>
      </c>
      <c r="P2192" t="str">
        <f t="shared" si="174"/>
        <v>Profit</v>
      </c>
      <c r="Q2192" t="str" cm="1">
        <f t="array" ref="Q2192">IF(K2192="",INDEX($K$2:$K$2501,MATCH(MAX(COUNTIF($K$2:$K$2501,$K$2:$K$2501)),COUNTIF($K$2:$K$2501,$K$2:$K$2501),0)),K2192)</f>
        <v>B2B</v>
      </c>
    </row>
    <row r="2193" spans="1:17" x14ac:dyDescent="0.3">
      <c r="A2193">
        <v>3191</v>
      </c>
      <c r="B2193" t="s">
        <v>2214</v>
      </c>
      <c r="C2193" t="s">
        <v>20</v>
      </c>
      <c r="D2193" t="s">
        <v>88</v>
      </c>
      <c r="E2193">
        <v>2</v>
      </c>
      <c r="H2193" s="3">
        <f t="shared" si="170"/>
        <v>5451.7114285714297</v>
      </c>
      <c r="I2193" s="1">
        <v>45687</v>
      </c>
      <c r="J2193" t="s">
        <v>15</v>
      </c>
      <c r="L2193" s="2">
        <f t="shared" si="171"/>
        <v>2725.8557142857148</v>
      </c>
      <c r="M2193" s="4">
        <f t="shared" si="172"/>
        <v>0.6</v>
      </c>
      <c r="N2193" s="1">
        <f t="shared" si="173"/>
        <v>45687</v>
      </c>
      <c r="O2193" s="3">
        <f>(Table13[[#This Row],[Units_Sold]]*Table13[[#This Row],[Unit_Price_Cleaned]]*(1-Table13[[#This Row],[Discount Cleaned]]))</f>
        <v>2180.6845714285719</v>
      </c>
      <c r="P2193" t="str">
        <f t="shared" si="174"/>
        <v>Profit</v>
      </c>
      <c r="Q2193" t="str" cm="1">
        <f t="array" ref="Q2193">IF(K2193="",INDEX($K$2:$K$2501,MATCH(MAX(COUNTIF($K$2:$K$2501,$K$2:$K$2501)),COUNTIF($K$2:$K$2501,$K$2:$K$2501),0)),K2193)</f>
        <v>B2B</v>
      </c>
    </row>
    <row r="2194" spans="1:17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 s="3">
        <f t="shared" si="170"/>
        <v>-7136.9</v>
      </c>
      <c r="I2194" s="1">
        <v>45136</v>
      </c>
      <c r="J2194" t="s">
        <v>15</v>
      </c>
      <c r="K2194" t="s">
        <v>16</v>
      </c>
      <c r="L2194" s="2">
        <f t="shared" si="171"/>
        <v>3568.45</v>
      </c>
      <c r="M2194" s="4">
        <f t="shared" si="172"/>
        <v>0.37</v>
      </c>
      <c r="N2194" s="1">
        <f t="shared" si="173"/>
        <v>45136</v>
      </c>
      <c r="O2194" s="3">
        <f>(Table13[[#This Row],[Units_Sold]]*Table13[[#This Row],[Unit_Price_Cleaned]]*(1-Table13[[#This Row],[Discount Cleaned]]))</f>
        <v>-4496.2469999999994</v>
      </c>
      <c r="P2194" t="str">
        <f t="shared" si="174"/>
        <v>Loss</v>
      </c>
      <c r="Q2194" t="str" cm="1">
        <f t="array" ref="Q2194">IF(K2194="",INDEX($K$2:$K$2501,MATCH(MAX(COUNTIF($K$2:$K$2501,$K$2:$K$2501)),COUNTIF($K$2:$K$2501,$K$2:$K$2501),0)),K2194)</f>
        <v>B2C</v>
      </c>
    </row>
    <row r="2195" spans="1:17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 s="3">
        <f t="shared" si="170"/>
        <v>8647.5139655172406</v>
      </c>
      <c r="I2195" s="1">
        <v>45465</v>
      </c>
      <c r="J2195" t="s">
        <v>18</v>
      </c>
      <c r="K2195" t="s">
        <v>16</v>
      </c>
      <c r="L2195" s="2">
        <f t="shared" si="171"/>
        <v>2882.5046551724135</v>
      </c>
      <c r="M2195" s="4">
        <f t="shared" si="172"/>
        <v>0.6</v>
      </c>
      <c r="N2195" s="1">
        <f t="shared" si="173"/>
        <v>45465</v>
      </c>
      <c r="O2195" s="3">
        <f>(Table13[[#This Row],[Units_Sold]]*Table13[[#This Row],[Unit_Price_Cleaned]]*(1-Table13[[#This Row],[Discount Cleaned]]))</f>
        <v>3459.0055862068966</v>
      </c>
      <c r="P2195" t="str">
        <f t="shared" si="174"/>
        <v>Profit</v>
      </c>
      <c r="Q2195" t="str" cm="1">
        <f t="array" ref="Q2195">IF(K2195="",INDEX($K$2:$K$2501,MATCH(MAX(COUNTIF($K$2:$K$2501,$K$2:$K$2501)),COUNTIF($K$2:$K$2501,$K$2:$K$2501),0)),K2195)</f>
        <v>B2C</v>
      </c>
    </row>
    <row r="2196" spans="1:17" x14ac:dyDescent="0.3">
      <c r="A2196">
        <v>1022</v>
      </c>
      <c r="B2196" t="s">
        <v>2217</v>
      </c>
      <c r="C2196" t="s">
        <v>25</v>
      </c>
      <c r="D2196" t="s">
        <v>54</v>
      </c>
      <c r="E2196">
        <v>2</v>
      </c>
      <c r="F2196">
        <v>3611.35</v>
      </c>
      <c r="H2196" s="3">
        <f t="shared" si="170"/>
        <v>7222.7</v>
      </c>
      <c r="I2196" s="1">
        <v>45848</v>
      </c>
      <c r="J2196" t="s">
        <v>18</v>
      </c>
      <c r="L2196" s="2">
        <f t="shared" si="171"/>
        <v>3611.35</v>
      </c>
      <c r="M2196" s="4">
        <f t="shared" si="172"/>
        <v>0.6</v>
      </c>
      <c r="N2196" s="1">
        <f t="shared" si="173"/>
        <v>45848</v>
      </c>
      <c r="O2196" s="3">
        <f>(Table13[[#This Row],[Units_Sold]]*Table13[[#This Row],[Unit_Price_Cleaned]]*(1-Table13[[#This Row],[Discount Cleaned]]))</f>
        <v>2889.08</v>
      </c>
      <c r="P2196" t="str">
        <f t="shared" si="174"/>
        <v>Profit</v>
      </c>
      <c r="Q2196" t="str" cm="1">
        <f t="array" ref="Q2196">IF(K2196="",INDEX($K$2:$K$2501,MATCH(MAX(COUNTIF($K$2:$K$2501,$K$2:$K$2501)),COUNTIF($K$2:$K$2501,$K$2:$K$2501),0)),K2196)</f>
        <v>B2B</v>
      </c>
    </row>
    <row r="2197" spans="1:17" x14ac:dyDescent="0.3">
      <c r="A2197">
        <v>3195</v>
      </c>
      <c r="B2197" t="s">
        <v>2218</v>
      </c>
      <c r="C2197" t="s">
        <v>20</v>
      </c>
      <c r="D2197" t="s">
        <v>88</v>
      </c>
      <c r="E2197">
        <v>2</v>
      </c>
      <c r="F2197">
        <v>958.16</v>
      </c>
      <c r="H2197" s="3">
        <f t="shared" si="170"/>
        <v>1916.32</v>
      </c>
      <c r="I2197" s="1">
        <v>45302</v>
      </c>
      <c r="J2197" t="s">
        <v>15</v>
      </c>
      <c r="K2197" t="s">
        <v>16</v>
      </c>
      <c r="L2197" s="2">
        <f t="shared" si="171"/>
        <v>958.16</v>
      </c>
      <c r="M2197" s="4">
        <f t="shared" si="172"/>
        <v>0.6</v>
      </c>
      <c r="N2197" s="1">
        <f t="shared" si="173"/>
        <v>45302</v>
      </c>
      <c r="O2197" s="3">
        <f>(Table13[[#This Row],[Units_Sold]]*Table13[[#This Row],[Unit_Price_Cleaned]]*(1-Table13[[#This Row],[Discount Cleaned]]))</f>
        <v>766.52800000000002</v>
      </c>
      <c r="P2197" t="str">
        <f t="shared" si="174"/>
        <v>Profit</v>
      </c>
      <c r="Q2197" t="str" cm="1">
        <f t="array" ref="Q2197">IF(K2197="",INDEX($K$2:$K$2501,MATCH(MAX(COUNTIF($K$2:$K$2501,$K$2:$K$2501)),COUNTIF($K$2:$K$2501,$K$2:$K$2501),0)),K2197)</f>
        <v>B2C</v>
      </c>
    </row>
    <row r="2198" spans="1:17" x14ac:dyDescent="0.3">
      <c r="A2198">
        <v>3196</v>
      </c>
      <c r="B2198" t="s">
        <v>2219</v>
      </c>
      <c r="C2198" t="s">
        <v>38</v>
      </c>
      <c r="D2198" t="s">
        <v>63</v>
      </c>
      <c r="E2198">
        <v>2</v>
      </c>
      <c r="F2198">
        <v>4897.24</v>
      </c>
      <c r="H2198" s="3">
        <f t="shared" si="170"/>
        <v>9794.48</v>
      </c>
      <c r="I2198" s="1">
        <v>45518</v>
      </c>
      <c r="J2198" t="s">
        <v>46</v>
      </c>
      <c r="K2198" t="s">
        <v>23</v>
      </c>
      <c r="L2198" s="2">
        <f t="shared" si="171"/>
        <v>4897.24</v>
      </c>
      <c r="M2198" s="4">
        <f t="shared" si="172"/>
        <v>0.6</v>
      </c>
      <c r="N2198" s="1">
        <f t="shared" si="173"/>
        <v>45518</v>
      </c>
      <c r="O2198" s="3">
        <f>(Table13[[#This Row],[Units_Sold]]*Table13[[#This Row],[Unit_Price_Cleaned]]*(1-Table13[[#This Row],[Discount Cleaned]]))</f>
        <v>3917.7919999999999</v>
      </c>
      <c r="P2198" t="str">
        <f t="shared" si="174"/>
        <v>Profit</v>
      </c>
      <c r="Q2198" t="str" cm="1">
        <f t="array" ref="Q2198">IF(K2198="",INDEX($K$2:$K$2501,MATCH(MAX(COUNTIF($K$2:$K$2501,$K$2:$K$2501)),COUNTIF($K$2:$K$2501,$K$2:$K$2501),0)),K2198)</f>
        <v>B2B</v>
      </c>
    </row>
    <row r="2199" spans="1:17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 s="3">
        <f t="shared" si="170"/>
        <v>12313.95</v>
      </c>
      <c r="I2199" s="1">
        <v>45540</v>
      </c>
      <c r="J2199" t="s">
        <v>56</v>
      </c>
      <c r="K2199" t="s">
        <v>16</v>
      </c>
      <c r="L2199" s="2">
        <f t="shared" si="171"/>
        <v>2462.79</v>
      </c>
      <c r="M2199" s="4">
        <f t="shared" si="172"/>
        <v>1.1200000000000001</v>
      </c>
      <c r="N2199" s="1">
        <f t="shared" si="173"/>
        <v>45540</v>
      </c>
      <c r="O2199" s="3">
        <f>(Table13[[#This Row],[Units_Sold]]*Table13[[#This Row],[Unit_Price_Cleaned]]*(1-Table13[[#This Row],[Discount Cleaned]]))</f>
        <v>-1477.6740000000013</v>
      </c>
      <c r="P2199" t="str">
        <f t="shared" si="174"/>
        <v>Loss</v>
      </c>
      <c r="Q2199" t="str" cm="1">
        <f t="array" ref="Q2199">IF(K2199="",INDEX($K$2:$K$2501,MATCH(MAX(COUNTIF($K$2:$K$2501,$K$2:$K$2501)),COUNTIF($K$2:$K$2501,$K$2:$K$2501),0)),K2199)</f>
        <v>B2C</v>
      </c>
    </row>
    <row r="2200" spans="1:17" x14ac:dyDescent="0.3">
      <c r="A2200">
        <v>3198</v>
      </c>
      <c r="B2200" t="s">
        <v>2221</v>
      </c>
      <c r="C2200" t="s">
        <v>20</v>
      </c>
      <c r="D2200" t="s">
        <v>21</v>
      </c>
      <c r="E2200">
        <v>2</v>
      </c>
      <c r="H2200" s="3">
        <f t="shared" si="170"/>
        <v>5362.348727272727</v>
      </c>
      <c r="I2200" s="1">
        <v>45748</v>
      </c>
      <c r="J2200" t="s">
        <v>46</v>
      </c>
      <c r="K2200" t="s">
        <v>16</v>
      </c>
      <c r="L2200" s="2">
        <f t="shared" si="171"/>
        <v>2681.1743636363635</v>
      </c>
      <c r="M2200" s="4">
        <f t="shared" si="172"/>
        <v>0.6</v>
      </c>
      <c r="N2200" s="1">
        <f t="shared" si="173"/>
        <v>45748</v>
      </c>
      <c r="O2200" s="3">
        <f>(Table13[[#This Row],[Units_Sold]]*Table13[[#This Row],[Unit_Price_Cleaned]]*(1-Table13[[#This Row],[Discount Cleaned]]))</f>
        <v>2144.9394909090911</v>
      </c>
      <c r="P2200" t="str">
        <f t="shared" si="174"/>
        <v>Profit</v>
      </c>
      <c r="Q2200" t="str" cm="1">
        <f t="array" ref="Q2200">IF(K2200="",INDEX($K$2:$K$2501,MATCH(MAX(COUNTIF($K$2:$K$2501,$K$2:$K$2501)),COUNTIF($K$2:$K$2501,$K$2:$K$2501),0)),K2200)</f>
        <v>B2C</v>
      </c>
    </row>
    <row r="2201" spans="1:17" x14ac:dyDescent="0.3">
      <c r="A2201">
        <v>1003</v>
      </c>
      <c r="B2201" t="s">
        <v>2222</v>
      </c>
      <c r="C2201" t="s">
        <v>13</v>
      </c>
      <c r="D2201" t="s">
        <v>14</v>
      </c>
      <c r="E2201">
        <v>2</v>
      </c>
      <c r="H2201" s="3">
        <f t="shared" si="170"/>
        <v>4762.5355172413792</v>
      </c>
      <c r="I2201" s="1">
        <v>45396</v>
      </c>
      <c r="J2201" t="s">
        <v>22</v>
      </c>
      <c r="K2201" t="s">
        <v>16</v>
      </c>
      <c r="L2201" s="2">
        <f t="shared" si="171"/>
        <v>2381.2677586206896</v>
      </c>
      <c r="M2201" s="4">
        <f t="shared" si="172"/>
        <v>0.6</v>
      </c>
      <c r="N2201" s="1">
        <f t="shared" si="173"/>
        <v>45396</v>
      </c>
      <c r="O2201" s="3">
        <f>(Table13[[#This Row],[Units_Sold]]*Table13[[#This Row],[Unit_Price_Cleaned]]*(1-Table13[[#This Row],[Discount Cleaned]]))</f>
        <v>1905.0142068965517</v>
      </c>
      <c r="P2201" t="str">
        <f t="shared" si="174"/>
        <v>Profit</v>
      </c>
      <c r="Q2201" t="str" cm="1">
        <f t="array" ref="Q2201">IF(K2201="",INDEX($K$2:$K$2501,MATCH(MAX(COUNTIF($K$2:$K$2501,$K$2:$K$2501)),COUNTIF($K$2:$K$2501,$K$2:$K$2501),0)),K2201)</f>
        <v>B2C</v>
      </c>
    </row>
    <row r="2202" spans="1:17" x14ac:dyDescent="0.3">
      <c r="A2202">
        <v>3200</v>
      </c>
      <c r="B2202" t="s">
        <v>2223</v>
      </c>
      <c r="C2202" t="s">
        <v>29</v>
      </c>
      <c r="D2202" t="s">
        <v>141</v>
      </c>
      <c r="E2202">
        <v>2</v>
      </c>
      <c r="H2202" s="3">
        <f t="shared" si="170"/>
        <v>4925.58</v>
      </c>
      <c r="I2202" s="1">
        <v>45522</v>
      </c>
      <c r="J2202" t="s">
        <v>22</v>
      </c>
      <c r="K2202" t="s">
        <v>23</v>
      </c>
      <c r="L2202" s="2">
        <f t="shared" si="171"/>
        <v>2462.79</v>
      </c>
      <c r="M2202" s="4">
        <f t="shared" si="172"/>
        <v>0.6</v>
      </c>
      <c r="N2202" s="1">
        <f t="shared" si="173"/>
        <v>45522</v>
      </c>
      <c r="O2202" s="3">
        <f>(Table13[[#This Row],[Units_Sold]]*Table13[[#This Row],[Unit_Price_Cleaned]]*(1-Table13[[#This Row],[Discount Cleaned]]))</f>
        <v>1970.232</v>
      </c>
      <c r="P2202" t="str">
        <f t="shared" si="174"/>
        <v>Profit</v>
      </c>
      <c r="Q2202" t="str" cm="1">
        <f t="array" ref="Q2202">IF(K2202="",INDEX($K$2:$K$2501,MATCH(MAX(COUNTIF($K$2:$K$2501,$K$2:$K$2501)),COUNTIF($K$2:$K$2501,$K$2:$K$2501),0)),K2202)</f>
        <v>B2B</v>
      </c>
    </row>
    <row r="2203" spans="1:17" x14ac:dyDescent="0.3">
      <c r="A2203">
        <v>3201</v>
      </c>
      <c r="B2203" t="s">
        <v>2224</v>
      </c>
      <c r="C2203" t="s">
        <v>25</v>
      </c>
      <c r="D2203" t="s">
        <v>54</v>
      </c>
      <c r="E2203">
        <v>2</v>
      </c>
      <c r="F2203">
        <v>3494.89</v>
      </c>
      <c r="H2203" s="3">
        <f t="shared" si="170"/>
        <v>6989.78</v>
      </c>
      <c r="I2203" s="1">
        <v>45546</v>
      </c>
      <c r="J2203" t="s">
        <v>56</v>
      </c>
      <c r="K2203" t="s">
        <v>16</v>
      </c>
      <c r="L2203" s="2">
        <f t="shared" si="171"/>
        <v>3494.89</v>
      </c>
      <c r="M2203" s="4">
        <f t="shared" si="172"/>
        <v>0.6</v>
      </c>
      <c r="N2203" s="1">
        <f t="shared" si="173"/>
        <v>45546</v>
      </c>
      <c r="O2203" s="3">
        <f>(Table13[[#This Row],[Units_Sold]]*Table13[[#This Row],[Unit_Price_Cleaned]]*(1-Table13[[#This Row],[Discount Cleaned]]))</f>
        <v>2795.9120000000003</v>
      </c>
      <c r="P2203" t="str">
        <f t="shared" si="174"/>
        <v>Profit</v>
      </c>
      <c r="Q2203" t="str" cm="1">
        <f t="array" ref="Q2203">IF(K2203="",INDEX($K$2:$K$2501,MATCH(MAX(COUNTIF($K$2:$K$2501,$K$2:$K$2501)),COUNTIF($K$2:$K$2501,$K$2:$K$2501),0)),K2203)</f>
        <v>B2C</v>
      </c>
    </row>
    <row r="2204" spans="1:17" x14ac:dyDescent="0.3">
      <c r="A2204">
        <v>1006</v>
      </c>
      <c r="B2204" t="s">
        <v>2225</v>
      </c>
      <c r="C2204" t="s">
        <v>25</v>
      </c>
      <c r="D2204" t="s">
        <v>26</v>
      </c>
      <c r="E2204">
        <v>2</v>
      </c>
      <c r="F2204">
        <v>2520.44</v>
      </c>
      <c r="G2204">
        <v>0.15</v>
      </c>
      <c r="H2204" s="3">
        <f t="shared" si="170"/>
        <v>5040.88</v>
      </c>
      <c r="I2204" s="1">
        <v>45698</v>
      </c>
      <c r="J2204" t="s">
        <v>40</v>
      </c>
      <c r="K2204" t="s">
        <v>16</v>
      </c>
      <c r="L2204" s="2">
        <f t="shared" si="171"/>
        <v>2520.44</v>
      </c>
      <c r="M2204" s="4">
        <f t="shared" si="172"/>
        <v>0.15</v>
      </c>
      <c r="N2204" s="1">
        <f t="shared" si="173"/>
        <v>45698</v>
      </c>
      <c r="O2204" s="3">
        <f>(Table13[[#This Row],[Units_Sold]]*Table13[[#This Row],[Unit_Price_Cleaned]]*(1-Table13[[#This Row],[Discount Cleaned]]))</f>
        <v>4284.7479999999996</v>
      </c>
      <c r="P2204" t="str">
        <f t="shared" si="174"/>
        <v>Profit</v>
      </c>
      <c r="Q2204" t="str" cm="1">
        <f t="array" ref="Q2204">IF(K2204="",INDEX($K$2:$K$2501,MATCH(MAX(COUNTIF($K$2:$K$2501,$K$2:$K$2501)),COUNTIF($K$2:$K$2501,$K$2:$K$2501),0)),K2204)</f>
        <v>B2C</v>
      </c>
    </row>
    <row r="2205" spans="1:17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 s="3">
        <f t="shared" si="170"/>
        <v>-4883.5200000000004</v>
      </c>
      <c r="J2205" t="s">
        <v>46</v>
      </c>
      <c r="L2205" s="2">
        <f t="shared" si="171"/>
        <v>4883.5200000000004</v>
      </c>
      <c r="M2205" s="4">
        <f t="shared" si="172"/>
        <v>0.6</v>
      </c>
      <c r="N2205" s="1">
        <f t="shared" si="173"/>
        <v>45782</v>
      </c>
      <c r="O2205" s="3">
        <f>(Table13[[#This Row],[Units_Sold]]*Table13[[#This Row],[Unit_Price_Cleaned]]*(1-Table13[[#This Row],[Discount Cleaned]]))</f>
        <v>-1953.4080000000004</v>
      </c>
      <c r="P2205" t="str">
        <f t="shared" si="174"/>
        <v>Loss</v>
      </c>
      <c r="Q2205" t="str" cm="1">
        <f t="array" ref="Q2205">IF(K2205="",INDEX($K$2:$K$2501,MATCH(MAX(COUNTIF($K$2:$K$2501,$K$2:$K$2501)),COUNTIF($K$2:$K$2501,$K$2:$K$2501),0)),K2205)</f>
        <v>B2B</v>
      </c>
    </row>
    <row r="2206" spans="1:17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 s="3">
        <f t="shared" si="170"/>
        <v>0</v>
      </c>
      <c r="I2206" s="1">
        <v>45501</v>
      </c>
      <c r="J2206" t="s">
        <v>22</v>
      </c>
      <c r="K2206" t="s">
        <v>16</v>
      </c>
      <c r="L2206" s="2">
        <f t="shared" si="171"/>
        <v>781.13</v>
      </c>
      <c r="M2206" s="4">
        <f t="shared" si="172"/>
        <v>0.6</v>
      </c>
      <c r="N2206" s="1">
        <f t="shared" si="173"/>
        <v>45501</v>
      </c>
      <c r="O2206" s="3">
        <f>(Table13[[#This Row],[Units_Sold]]*Table13[[#This Row],[Unit_Price_Cleaned]]*(1-Table13[[#This Row],[Discount Cleaned]]))</f>
        <v>0</v>
      </c>
      <c r="P2206" t="str">
        <f t="shared" si="174"/>
        <v>Loss</v>
      </c>
      <c r="Q2206" t="str" cm="1">
        <f t="array" ref="Q2206">IF(K2206="",INDEX($K$2:$K$2501,MATCH(MAX(COUNTIF($K$2:$K$2501,$K$2:$K$2501)),COUNTIF($K$2:$K$2501,$K$2:$K$2501),0)),K2206)</f>
        <v>B2C</v>
      </c>
    </row>
    <row r="2207" spans="1:17" x14ac:dyDescent="0.3">
      <c r="A2207">
        <v>3205</v>
      </c>
      <c r="B2207" t="s">
        <v>2228</v>
      </c>
      <c r="C2207" t="s">
        <v>25</v>
      </c>
      <c r="D2207" t="s">
        <v>54</v>
      </c>
      <c r="E2207">
        <v>2</v>
      </c>
      <c r="H2207" s="3">
        <f t="shared" si="170"/>
        <v>5060.7673076923093</v>
      </c>
      <c r="I2207" s="1">
        <v>45646</v>
      </c>
      <c r="J2207" t="s">
        <v>56</v>
      </c>
      <c r="L2207" s="2">
        <f t="shared" si="171"/>
        <v>2530.3836538461546</v>
      </c>
      <c r="M2207" s="4">
        <f t="shared" si="172"/>
        <v>0.6</v>
      </c>
      <c r="N2207" s="1">
        <f t="shared" si="173"/>
        <v>45646</v>
      </c>
      <c r="O2207" s="3">
        <f>(Table13[[#This Row],[Units_Sold]]*Table13[[#This Row],[Unit_Price_Cleaned]]*(1-Table13[[#This Row],[Discount Cleaned]]))</f>
        <v>2024.3069230769238</v>
      </c>
      <c r="P2207" t="str">
        <f t="shared" si="174"/>
        <v>Profit</v>
      </c>
      <c r="Q2207" t="str" cm="1">
        <f t="array" ref="Q2207">IF(K2207="",INDEX($K$2:$K$2501,MATCH(MAX(COUNTIF($K$2:$K$2501,$K$2:$K$2501)),COUNTIF($K$2:$K$2501,$K$2:$K$2501),0)),K2207)</f>
        <v>B2B</v>
      </c>
    </row>
    <row r="2208" spans="1:17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 s="3">
        <f t="shared" si="170"/>
        <v>-2868.7768181818178</v>
      </c>
      <c r="I2208" s="1">
        <v>45634</v>
      </c>
      <c r="J2208" t="s">
        <v>15</v>
      </c>
      <c r="K2208" t="s">
        <v>16</v>
      </c>
      <c r="L2208" s="2">
        <f t="shared" si="171"/>
        <v>2868.7768181818178</v>
      </c>
      <c r="M2208" s="4">
        <f t="shared" si="172"/>
        <v>0.54</v>
      </c>
      <c r="N2208" s="1">
        <f t="shared" si="173"/>
        <v>45634</v>
      </c>
      <c r="O2208" s="3">
        <f>(Table13[[#This Row],[Units_Sold]]*Table13[[#This Row],[Unit_Price_Cleaned]]*(1-Table13[[#This Row],[Discount Cleaned]]))</f>
        <v>-1319.637336363636</v>
      </c>
      <c r="P2208" t="str">
        <f t="shared" si="174"/>
        <v>Loss</v>
      </c>
      <c r="Q2208" t="str" cm="1">
        <f t="array" ref="Q2208">IF(K2208="",INDEX($K$2:$K$2501,MATCH(MAX(COUNTIF($K$2:$K$2501,$K$2:$K$2501)),COUNTIF($K$2:$K$2501,$K$2:$K$2501),0)),K2208)</f>
        <v>B2C</v>
      </c>
    </row>
    <row r="2209" spans="1:17" x14ac:dyDescent="0.3">
      <c r="A2209">
        <v>3207</v>
      </c>
      <c r="B2209" t="s">
        <v>2230</v>
      </c>
      <c r="C2209" t="s">
        <v>13</v>
      </c>
      <c r="D2209" t="s">
        <v>49</v>
      </c>
      <c r="E2209">
        <v>2</v>
      </c>
      <c r="H2209" s="3">
        <f t="shared" si="170"/>
        <v>5570.1755932203387</v>
      </c>
      <c r="J2209" t="s">
        <v>18</v>
      </c>
      <c r="K2209" t="s">
        <v>16</v>
      </c>
      <c r="L2209" s="2">
        <f t="shared" si="171"/>
        <v>2785.0877966101693</v>
      </c>
      <c r="M2209" s="4">
        <f t="shared" si="172"/>
        <v>0.6</v>
      </c>
      <c r="N2209" s="1">
        <f t="shared" si="173"/>
        <v>45782</v>
      </c>
      <c r="O2209" s="3">
        <f>(Table13[[#This Row],[Units_Sold]]*Table13[[#This Row],[Unit_Price_Cleaned]]*(1-Table13[[#This Row],[Discount Cleaned]]))</f>
        <v>2228.0702372881356</v>
      </c>
      <c r="P2209" t="str">
        <f t="shared" si="174"/>
        <v>Profit</v>
      </c>
      <c r="Q2209" t="str" cm="1">
        <f t="array" ref="Q2209">IF(K2209="",INDEX($K$2:$K$2501,MATCH(MAX(COUNTIF($K$2:$K$2501,$K$2:$K$2501)),COUNTIF($K$2:$K$2501,$K$2:$K$2501),0)),K2209)</f>
        <v>B2C</v>
      </c>
    </row>
    <row r="2210" spans="1:17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 s="3">
        <f t="shared" si="170"/>
        <v>17122.8</v>
      </c>
      <c r="I2210" s="1">
        <v>45554</v>
      </c>
      <c r="J2210" t="s">
        <v>46</v>
      </c>
      <c r="K2210" t="s">
        <v>23</v>
      </c>
      <c r="L2210" s="2">
        <f t="shared" si="171"/>
        <v>4280.7</v>
      </c>
      <c r="M2210" s="4">
        <f t="shared" si="172"/>
        <v>0.6</v>
      </c>
      <c r="N2210" s="1">
        <f t="shared" si="173"/>
        <v>45554</v>
      </c>
      <c r="O2210" s="3">
        <f>(Table13[[#This Row],[Units_Sold]]*Table13[[#This Row],[Unit_Price_Cleaned]]*(1-Table13[[#This Row],[Discount Cleaned]]))</f>
        <v>6849.12</v>
      </c>
      <c r="P2210" t="str">
        <f t="shared" si="174"/>
        <v>Profit</v>
      </c>
      <c r="Q2210" t="str" cm="1">
        <f t="array" ref="Q2210">IF(K2210="",INDEX($K$2:$K$2501,MATCH(MAX(COUNTIF($K$2:$K$2501,$K$2:$K$2501)),COUNTIF($K$2:$K$2501,$K$2:$K$2501),0)),K2210)</f>
        <v>B2B</v>
      </c>
    </row>
    <row r="2211" spans="1:17" x14ac:dyDescent="0.3">
      <c r="A2211">
        <v>3209</v>
      </c>
      <c r="B2211" t="s">
        <v>2232</v>
      </c>
      <c r="C2211" t="s">
        <v>25</v>
      </c>
      <c r="D2211" t="s">
        <v>86</v>
      </c>
      <c r="E2211">
        <v>2</v>
      </c>
      <c r="F2211">
        <v>3221.55</v>
      </c>
      <c r="H2211" s="3">
        <f t="shared" si="170"/>
        <v>6443.1</v>
      </c>
      <c r="I2211" s="1">
        <v>45279</v>
      </c>
      <c r="J2211" t="s">
        <v>18</v>
      </c>
      <c r="K2211" t="s">
        <v>23</v>
      </c>
      <c r="L2211" s="2">
        <f t="shared" si="171"/>
        <v>3221.55</v>
      </c>
      <c r="M2211" s="4">
        <f t="shared" si="172"/>
        <v>0.6</v>
      </c>
      <c r="N2211" s="1">
        <f t="shared" si="173"/>
        <v>45279</v>
      </c>
      <c r="O2211" s="3">
        <f>(Table13[[#This Row],[Units_Sold]]*Table13[[#This Row],[Unit_Price_Cleaned]]*(1-Table13[[#This Row],[Discount Cleaned]]))</f>
        <v>2577.2400000000002</v>
      </c>
      <c r="P2211" t="str">
        <f t="shared" si="174"/>
        <v>Profit</v>
      </c>
      <c r="Q2211" t="str" cm="1">
        <f t="array" ref="Q2211">IF(K2211="",INDEX($K$2:$K$2501,MATCH(MAX(COUNTIF($K$2:$K$2501,$K$2:$K$2501)),COUNTIF($K$2:$K$2501,$K$2:$K$2501),0)),K2211)</f>
        <v>B2B</v>
      </c>
    </row>
    <row r="2212" spans="1:17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 s="3">
        <f t="shared" si="170"/>
        <v>0</v>
      </c>
      <c r="I2212" s="1">
        <v>45676</v>
      </c>
      <c r="J2212" t="s">
        <v>22</v>
      </c>
      <c r="K2212" t="s">
        <v>23</v>
      </c>
      <c r="L2212" s="2">
        <f t="shared" si="171"/>
        <v>2576.3056896551716</v>
      </c>
      <c r="M2212" s="4">
        <f t="shared" si="172"/>
        <v>0.6</v>
      </c>
      <c r="N2212" s="1">
        <f t="shared" si="173"/>
        <v>45676</v>
      </c>
      <c r="O2212" s="3">
        <f>(Table13[[#This Row],[Units_Sold]]*Table13[[#This Row],[Unit_Price_Cleaned]]*(1-Table13[[#This Row],[Discount Cleaned]]))</f>
        <v>0</v>
      </c>
      <c r="P2212" t="str">
        <f t="shared" si="174"/>
        <v>Loss</v>
      </c>
      <c r="Q2212" t="str" cm="1">
        <f t="array" ref="Q2212">IF(K2212="",INDEX($K$2:$K$2501,MATCH(MAX(COUNTIF($K$2:$K$2501,$K$2:$K$2501)),COUNTIF($K$2:$K$2501,$K$2:$K$2501),0)),K2212)</f>
        <v>B2B</v>
      </c>
    </row>
    <row r="2213" spans="1:17" x14ac:dyDescent="0.3">
      <c r="A2213">
        <v>3211</v>
      </c>
      <c r="B2213" t="s">
        <v>2234</v>
      </c>
      <c r="C2213" t="s">
        <v>33</v>
      </c>
      <c r="D2213" t="s">
        <v>34</v>
      </c>
      <c r="E2213">
        <v>2</v>
      </c>
      <c r="F2213">
        <v>1624.28</v>
      </c>
      <c r="G2213">
        <v>1.29</v>
      </c>
      <c r="H2213" s="3">
        <f t="shared" si="170"/>
        <v>3248.56</v>
      </c>
      <c r="I2213" s="1">
        <v>45697</v>
      </c>
      <c r="J2213" t="s">
        <v>40</v>
      </c>
      <c r="K2213" t="s">
        <v>23</v>
      </c>
      <c r="L2213" s="2">
        <f t="shared" si="171"/>
        <v>1624.28</v>
      </c>
      <c r="M2213" s="4">
        <f t="shared" si="172"/>
        <v>1.29</v>
      </c>
      <c r="N2213" s="1">
        <f t="shared" si="173"/>
        <v>45697</v>
      </c>
      <c r="O2213" s="3">
        <f>(Table13[[#This Row],[Units_Sold]]*Table13[[#This Row],[Unit_Price_Cleaned]]*(1-Table13[[#This Row],[Discount Cleaned]]))</f>
        <v>-942.08240000000012</v>
      </c>
      <c r="P2213" t="str">
        <f t="shared" si="174"/>
        <v>Loss</v>
      </c>
      <c r="Q2213" t="str" cm="1">
        <f t="array" ref="Q2213">IF(K2213="",INDEX($K$2:$K$2501,MATCH(MAX(COUNTIF($K$2:$K$2501,$K$2:$K$2501)),COUNTIF($K$2:$K$2501,$K$2:$K$2501),0)),K2213)</f>
        <v>B2B</v>
      </c>
    </row>
    <row r="2214" spans="1:17" x14ac:dyDescent="0.3">
      <c r="A2214">
        <v>3212</v>
      </c>
      <c r="B2214" t="s">
        <v>1935</v>
      </c>
      <c r="C2214" t="s">
        <v>20</v>
      </c>
      <c r="D2214" t="s">
        <v>21</v>
      </c>
      <c r="E2214">
        <v>2</v>
      </c>
      <c r="F2214">
        <v>4606.8500000000004</v>
      </c>
      <c r="G2214">
        <v>0.28000000000000003</v>
      </c>
      <c r="H2214" s="3">
        <f t="shared" si="170"/>
        <v>9213.7000000000007</v>
      </c>
      <c r="I2214" s="1">
        <v>45530</v>
      </c>
      <c r="J2214" t="s">
        <v>18</v>
      </c>
      <c r="K2214" t="s">
        <v>16</v>
      </c>
      <c r="L2214" s="2">
        <f t="shared" si="171"/>
        <v>4606.8500000000004</v>
      </c>
      <c r="M2214" s="4">
        <f t="shared" si="172"/>
        <v>0.28000000000000003</v>
      </c>
      <c r="N2214" s="1">
        <f t="shared" si="173"/>
        <v>45530</v>
      </c>
      <c r="O2214" s="3">
        <f>(Table13[[#This Row],[Units_Sold]]*Table13[[#This Row],[Unit_Price_Cleaned]]*(1-Table13[[#This Row],[Discount Cleaned]]))</f>
        <v>6633.8640000000005</v>
      </c>
      <c r="P2214" t="str">
        <f t="shared" si="174"/>
        <v>Profit</v>
      </c>
      <c r="Q2214" t="str" cm="1">
        <f t="array" ref="Q2214">IF(K2214="",INDEX($K$2:$K$2501,MATCH(MAX(COUNTIF($K$2:$K$2501,$K$2:$K$2501)),COUNTIF($K$2:$K$2501,$K$2:$K$2501),0)),K2214)</f>
        <v>B2C</v>
      </c>
    </row>
    <row r="2215" spans="1:17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 s="3">
        <f t="shared" si="170"/>
        <v>7279.5</v>
      </c>
      <c r="I2215" s="1">
        <v>45592</v>
      </c>
      <c r="J2215" t="s">
        <v>18</v>
      </c>
      <c r="K2215" t="s">
        <v>16</v>
      </c>
      <c r="L2215" s="2">
        <f t="shared" si="171"/>
        <v>1213.25</v>
      </c>
      <c r="M2215" s="4">
        <f t="shared" si="172"/>
        <v>1.1100000000000001</v>
      </c>
      <c r="N2215" s="1">
        <f t="shared" si="173"/>
        <v>45592</v>
      </c>
      <c r="O2215" s="3">
        <f>(Table13[[#This Row],[Units_Sold]]*Table13[[#This Row],[Unit_Price_Cleaned]]*(1-Table13[[#This Row],[Discount Cleaned]]))</f>
        <v>-800.74500000000069</v>
      </c>
      <c r="P2215" t="str">
        <f t="shared" si="174"/>
        <v>Loss</v>
      </c>
      <c r="Q2215" t="str" cm="1">
        <f t="array" ref="Q2215">IF(K2215="",INDEX($K$2:$K$2501,MATCH(MAX(COUNTIF($K$2:$K$2501,$K$2:$K$2501)),COUNTIF($K$2:$K$2501,$K$2:$K$2501),0)),K2215)</f>
        <v>B2C</v>
      </c>
    </row>
    <row r="2216" spans="1:17" x14ac:dyDescent="0.3">
      <c r="A2216">
        <v>3214</v>
      </c>
      <c r="B2216" t="s">
        <v>1120</v>
      </c>
      <c r="C2216" t="s">
        <v>13</v>
      </c>
      <c r="D2216" t="s">
        <v>102</v>
      </c>
      <c r="E2216">
        <v>2</v>
      </c>
      <c r="H2216" s="3">
        <f t="shared" si="170"/>
        <v>5152.6113793103432</v>
      </c>
      <c r="I2216" s="1">
        <v>45774</v>
      </c>
      <c r="J2216" t="s">
        <v>22</v>
      </c>
      <c r="K2216" t="s">
        <v>16</v>
      </c>
      <c r="L2216" s="2">
        <f t="shared" si="171"/>
        <v>2576.3056896551716</v>
      </c>
      <c r="M2216" s="4">
        <f t="shared" si="172"/>
        <v>0.6</v>
      </c>
      <c r="N2216" s="1">
        <f t="shared" si="173"/>
        <v>45774</v>
      </c>
      <c r="O2216" s="3">
        <f>(Table13[[#This Row],[Units_Sold]]*Table13[[#This Row],[Unit_Price_Cleaned]]*(1-Table13[[#This Row],[Discount Cleaned]]))</f>
        <v>2061.0445517241374</v>
      </c>
      <c r="P2216" t="str">
        <f t="shared" si="174"/>
        <v>Profit</v>
      </c>
      <c r="Q2216" t="str" cm="1">
        <f t="array" ref="Q2216">IF(K2216="",INDEX($K$2:$K$2501,MATCH(MAX(COUNTIF($K$2:$K$2501,$K$2:$K$2501)),COUNTIF($K$2:$K$2501,$K$2:$K$2501),0)),K2216)</f>
        <v>B2C</v>
      </c>
    </row>
    <row r="2217" spans="1:17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 s="3">
        <f t="shared" si="170"/>
        <v>552.80999999999995</v>
      </c>
      <c r="J2217" t="s">
        <v>15</v>
      </c>
      <c r="L2217" s="2">
        <f t="shared" si="171"/>
        <v>552.80999999999995</v>
      </c>
      <c r="M2217" s="4">
        <f t="shared" si="172"/>
        <v>0.56999999999999995</v>
      </c>
      <c r="N2217" s="1">
        <f t="shared" si="173"/>
        <v>45782</v>
      </c>
      <c r="O2217" s="3">
        <f>(Table13[[#This Row],[Units_Sold]]*Table13[[#This Row],[Unit_Price_Cleaned]]*(1-Table13[[#This Row],[Discount Cleaned]]))</f>
        <v>237.70830000000001</v>
      </c>
      <c r="P2217" t="str">
        <f t="shared" si="174"/>
        <v>Loss</v>
      </c>
      <c r="Q2217" t="str" cm="1">
        <f t="array" ref="Q2217">IF(K2217="",INDEX($K$2:$K$2501,MATCH(MAX(COUNTIF($K$2:$K$2501,$K$2:$K$2501)),COUNTIF($K$2:$K$2501,$K$2:$K$2501),0)),K2217)</f>
        <v>B2B</v>
      </c>
    </row>
    <row r="2218" spans="1:17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 s="3">
        <f t="shared" si="170"/>
        <v>0</v>
      </c>
      <c r="I2218" s="1">
        <v>45596</v>
      </c>
      <c r="J2218" t="s">
        <v>46</v>
      </c>
      <c r="L2218" s="2">
        <f t="shared" si="171"/>
        <v>2530.3836538461546</v>
      </c>
      <c r="M2218" s="4">
        <f t="shared" si="172"/>
        <v>7.0000000000000007E-2</v>
      </c>
      <c r="N2218" s="1">
        <f t="shared" si="173"/>
        <v>45596</v>
      </c>
      <c r="O2218" s="3">
        <f>(Table13[[#This Row],[Units_Sold]]*Table13[[#This Row],[Unit_Price_Cleaned]]*(1-Table13[[#This Row],[Discount Cleaned]]))</f>
        <v>0</v>
      </c>
      <c r="P2218" t="str">
        <f t="shared" si="174"/>
        <v>Loss</v>
      </c>
      <c r="Q2218" t="str" cm="1">
        <f t="array" ref="Q2218">IF(K2218="",INDEX($K$2:$K$2501,MATCH(MAX(COUNTIF($K$2:$K$2501,$K$2:$K$2501)),COUNTIF($K$2:$K$2501,$K$2:$K$2501),0)),K2218)</f>
        <v>B2B</v>
      </c>
    </row>
    <row r="2219" spans="1:17" x14ac:dyDescent="0.3">
      <c r="A2219">
        <v>3217</v>
      </c>
      <c r="B2219" t="s">
        <v>2238</v>
      </c>
      <c r="C2219" t="s">
        <v>38</v>
      </c>
      <c r="D2219" t="s">
        <v>63</v>
      </c>
      <c r="E2219">
        <v>2</v>
      </c>
      <c r="F2219">
        <v>1039.75</v>
      </c>
      <c r="H2219" s="3">
        <f t="shared" si="170"/>
        <v>2079.5</v>
      </c>
      <c r="I2219" s="1">
        <v>45136</v>
      </c>
      <c r="J2219" t="s">
        <v>46</v>
      </c>
      <c r="K2219" t="s">
        <v>16</v>
      </c>
      <c r="L2219" s="2">
        <f t="shared" si="171"/>
        <v>1039.75</v>
      </c>
      <c r="M2219" s="4">
        <f t="shared" si="172"/>
        <v>0.6</v>
      </c>
      <c r="N2219" s="1">
        <f t="shared" si="173"/>
        <v>45136</v>
      </c>
      <c r="O2219" s="3">
        <f>(Table13[[#This Row],[Units_Sold]]*Table13[[#This Row],[Unit_Price_Cleaned]]*(1-Table13[[#This Row],[Discount Cleaned]]))</f>
        <v>831.80000000000007</v>
      </c>
      <c r="P2219" t="str">
        <f t="shared" si="174"/>
        <v>Profit</v>
      </c>
      <c r="Q2219" t="str" cm="1">
        <f t="array" ref="Q2219">IF(K2219="",INDEX($K$2:$K$2501,MATCH(MAX(COUNTIF($K$2:$K$2501,$K$2:$K$2501)),COUNTIF($K$2:$K$2501,$K$2:$K$2501),0)),K2219)</f>
        <v>B2C</v>
      </c>
    </row>
    <row r="2220" spans="1:17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 s="3">
        <f t="shared" si="170"/>
        <v>0</v>
      </c>
      <c r="I2220" s="1">
        <v>45520</v>
      </c>
      <c r="J2220" t="s">
        <v>46</v>
      </c>
      <c r="K2220" t="s">
        <v>23</v>
      </c>
      <c r="L2220" s="2">
        <f t="shared" si="171"/>
        <v>2487.039615384615</v>
      </c>
      <c r="M2220" s="4">
        <f t="shared" si="172"/>
        <v>0.16</v>
      </c>
      <c r="N2220" s="1">
        <f t="shared" si="173"/>
        <v>45520</v>
      </c>
      <c r="O2220" s="3">
        <f>(Table13[[#This Row],[Units_Sold]]*Table13[[#This Row],[Unit_Price_Cleaned]]*(1-Table13[[#This Row],[Discount Cleaned]]))</f>
        <v>0</v>
      </c>
      <c r="P2220" t="str">
        <f t="shared" si="174"/>
        <v>Loss</v>
      </c>
      <c r="Q2220" t="str" cm="1">
        <f t="array" ref="Q2220">IF(K2220="",INDEX($K$2:$K$2501,MATCH(MAX(COUNTIF($K$2:$K$2501,$K$2:$K$2501)),COUNTIF($K$2:$K$2501,$K$2:$K$2501),0)),K2220)</f>
        <v>B2B</v>
      </c>
    </row>
    <row r="2221" spans="1:17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 s="3">
        <f t="shared" si="170"/>
        <v>12507.654999999999</v>
      </c>
      <c r="I2221" s="1">
        <v>45375</v>
      </c>
      <c r="J2221" t="s">
        <v>40</v>
      </c>
      <c r="K2221" t="s">
        <v>16</v>
      </c>
      <c r="L2221" s="2">
        <f t="shared" si="171"/>
        <v>2501.5309999999999</v>
      </c>
      <c r="M2221" s="4">
        <f t="shared" si="172"/>
        <v>0.6</v>
      </c>
      <c r="N2221" s="1">
        <f t="shared" si="173"/>
        <v>45375</v>
      </c>
      <c r="O2221" s="3">
        <f>(Table13[[#This Row],[Units_Sold]]*Table13[[#This Row],[Unit_Price_Cleaned]]*(1-Table13[[#This Row],[Discount Cleaned]]))</f>
        <v>5003.0619999999999</v>
      </c>
      <c r="P2221" t="str">
        <f t="shared" si="174"/>
        <v>Profit</v>
      </c>
      <c r="Q2221" t="str" cm="1">
        <f t="array" ref="Q2221">IF(K2221="",INDEX($K$2:$K$2501,MATCH(MAX(COUNTIF($K$2:$K$2501,$K$2:$K$2501)),COUNTIF($K$2:$K$2501,$K$2:$K$2501),0)),K2221)</f>
        <v>B2C</v>
      </c>
    </row>
    <row r="2222" spans="1:17" x14ac:dyDescent="0.3">
      <c r="A2222">
        <v>1006</v>
      </c>
      <c r="B2222" t="s">
        <v>1592</v>
      </c>
      <c r="C2222" t="s">
        <v>13</v>
      </c>
      <c r="D2222" t="s">
        <v>102</v>
      </c>
      <c r="E2222">
        <v>2</v>
      </c>
      <c r="F2222">
        <v>732.96</v>
      </c>
      <c r="G2222">
        <v>0.21</v>
      </c>
      <c r="H2222" s="3">
        <f t="shared" si="170"/>
        <v>1465.92</v>
      </c>
      <c r="J2222" t="s">
        <v>56</v>
      </c>
      <c r="K2222" t="s">
        <v>23</v>
      </c>
      <c r="L2222" s="2">
        <f t="shared" si="171"/>
        <v>732.96</v>
      </c>
      <c r="M2222" s="4">
        <f t="shared" si="172"/>
        <v>0.21</v>
      </c>
      <c r="N2222" s="1">
        <f t="shared" si="173"/>
        <v>45782</v>
      </c>
      <c r="O2222" s="3">
        <f>(Table13[[#This Row],[Units_Sold]]*Table13[[#This Row],[Unit_Price_Cleaned]]*(1-Table13[[#This Row],[Discount Cleaned]]))</f>
        <v>1158.0768</v>
      </c>
      <c r="P2222" t="str">
        <f t="shared" si="174"/>
        <v>Profit</v>
      </c>
      <c r="Q2222" t="str" cm="1">
        <f t="array" ref="Q2222">IF(K2222="",INDEX($K$2:$K$2501,MATCH(MAX(COUNTIF($K$2:$K$2501,$K$2:$K$2501)),COUNTIF($K$2:$K$2501,$K$2:$K$2501),0)),K2222)</f>
        <v>B2B</v>
      </c>
    </row>
    <row r="2223" spans="1:17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 s="3">
        <f t="shared" si="170"/>
        <v>-5235.2780769230776</v>
      </c>
      <c r="I2223" s="1">
        <v>45855</v>
      </c>
      <c r="J2223" t="s">
        <v>46</v>
      </c>
      <c r="L2223" s="2">
        <f t="shared" si="171"/>
        <v>2617.6390384615388</v>
      </c>
      <c r="M2223" s="4">
        <f t="shared" si="172"/>
        <v>0.6</v>
      </c>
      <c r="N2223" s="1">
        <f t="shared" si="173"/>
        <v>45855</v>
      </c>
      <c r="O2223" s="3">
        <f>(Table13[[#This Row],[Units_Sold]]*Table13[[#This Row],[Unit_Price_Cleaned]]*(1-Table13[[#This Row],[Discount Cleaned]]))</f>
        <v>-2094.111230769231</v>
      </c>
      <c r="P2223" t="str">
        <f t="shared" si="174"/>
        <v>Loss</v>
      </c>
      <c r="Q2223" t="str" cm="1">
        <f t="array" ref="Q2223">IF(K2223="",INDEX($K$2:$K$2501,MATCH(MAX(COUNTIF($K$2:$K$2501,$K$2:$K$2501)),COUNTIF($K$2:$K$2501,$K$2:$K$2501),0)),K2223)</f>
        <v>B2B</v>
      </c>
    </row>
    <row r="2224" spans="1:17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 s="3">
        <f t="shared" si="170"/>
        <v>-5737.5536363636356</v>
      </c>
      <c r="I2224" s="1">
        <v>45703</v>
      </c>
      <c r="J2224" t="s">
        <v>46</v>
      </c>
      <c r="K2224" t="s">
        <v>23</v>
      </c>
      <c r="L2224" s="2">
        <f t="shared" si="171"/>
        <v>2868.7768181818178</v>
      </c>
      <c r="M2224" s="4">
        <f t="shared" si="172"/>
        <v>0.6</v>
      </c>
      <c r="N2224" s="1">
        <f t="shared" si="173"/>
        <v>45703</v>
      </c>
      <c r="O2224" s="3">
        <f>(Table13[[#This Row],[Units_Sold]]*Table13[[#This Row],[Unit_Price_Cleaned]]*(1-Table13[[#This Row],[Discount Cleaned]]))</f>
        <v>-2295.0214545454542</v>
      </c>
      <c r="P2224" t="str">
        <f t="shared" si="174"/>
        <v>Loss</v>
      </c>
      <c r="Q2224" t="str" cm="1">
        <f t="array" ref="Q2224">IF(K2224="",INDEX($K$2:$K$2501,MATCH(MAX(COUNTIF($K$2:$K$2501,$K$2:$K$2501)),COUNTIF($K$2:$K$2501,$K$2:$K$2501),0)),K2224)</f>
        <v>B2B</v>
      </c>
    </row>
    <row r="2225" spans="1:17" x14ac:dyDescent="0.3">
      <c r="A2225">
        <v>3223</v>
      </c>
      <c r="B2225" t="s">
        <v>2243</v>
      </c>
      <c r="C2225" t="s">
        <v>33</v>
      </c>
      <c r="D2225" t="s">
        <v>82</v>
      </c>
      <c r="E2225">
        <v>2</v>
      </c>
      <c r="H2225" s="3">
        <f t="shared" si="170"/>
        <v>5552.4404000000004</v>
      </c>
      <c r="I2225" s="1">
        <v>45356</v>
      </c>
      <c r="J2225" t="s">
        <v>22</v>
      </c>
      <c r="K2225" t="s">
        <v>16</v>
      </c>
      <c r="L2225" s="2">
        <f t="shared" si="171"/>
        <v>2776.2202000000002</v>
      </c>
      <c r="M2225" s="4">
        <f t="shared" si="172"/>
        <v>0.6</v>
      </c>
      <c r="N2225" s="1">
        <f t="shared" si="173"/>
        <v>45356</v>
      </c>
      <c r="O2225" s="3">
        <f>(Table13[[#This Row],[Units_Sold]]*Table13[[#This Row],[Unit_Price_Cleaned]]*(1-Table13[[#This Row],[Discount Cleaned]]))</f>
        <v>2220.9761600000002</v>
      </c>
      <c r="P2225" t="str">
        <f t="shared" si="174"/>
        <v>Profit</v>
      </c>
      <c r="Q2225" t="str" cm="1">
        <f t="array" ref="Q2225">IF(K2225="",INDEX($K$2:$K$2501,MATCH(MAX(COUNTIF($K$2:$K$2501,$K$2:$K$2501)),COUNTIF($K$2:$K$2501,$K$2:$K$2501),0)),K2225)</f>
        <v>B2C</v>
      </c>
    </row>
    <row r="2226" spans="1:17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 s="3">
        <f t="shared" si="170"/>
        <v>5273.7000000000007</v>
      </c>
      <c r="I2226" s="1">
        <v>45769</v>
      </c>
      <c r="J2226" t="s">
        <v>22</v>
      </c>
      <c r="L2226" s="2">
        <f t="shared" si="171"/>
        <v>878.95</v>
      </c>
      <c r="M2226" s="4">
        <f t="shared" si="172"/>
        <v>0.01</v>
      </c>
      <c r="N2226" s="1">
        <f t="shared" si="173"/>
        <v>45769</v>
      </c>
      <c r="O2226" s="3">
        <f>(Table13[[#This Row],[Units_Sold]]*Table13[[#This Row],[Unit_Price_Cleaned]]*(1-Table13[[#This Row],[Discount Cleaned]]))</f>
        <v>5220.9630000000006</v>
      </c>
      <c r="P2226" t="str">
        <f t="shared" si="174"/>
        <v>Profit</v>
      </c>
      <c r="Q2226" t="str" cm="1">
        <f t="array" ref="Q2226">IF(K2226="",INDEX($K$2:$K$2501,MATCH(MAX(COUNTIF($K$2:$K$2501,$K$2:$K$2501)),COUNTIF($K$2:$K$2501,$K$2:$K$2501),0)),K2226)</f>
        <v>B2B</v>
      </c>
    </row>
    <row r="2227" spans="1:17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 s="3">
        <f t="shared" si="170"/>
        <v>18050.306666666667</v>
      </c>
      <c r="J2227" t="s">
        <v>46</v>
      </c>
      <c r="L2227" s="2">
        <f t="shared" si="171"/>
        <v>3008.3844444444444</v>
      </c>
      <c r="M2227" s="4">
        <f t="shared" si="172"/>
        <v>0.6</v>
      </c>
      <c r="N2227" s="1">
        <f t="shared" si="173"/>
        <v>45782</v>
      </c>
      <c r="O2227" s="3">
        <f>(Table13[[#This Row],[Units_Sold]]*Table13[[#This Row],[Unit_Price_Cleaned]]*(1-Table13[[#This Row],[Discount Cleaned]]))</f>
        <v>7220.1226666666671</v>
      </c>
      <c r="P2227" t="str">
        <f t="shared" si="174"/>
        <v>Profit</v>
      </c>
      <c r="Q2227" t="str" cm="1">
        <f t="array" ref="Q2227">IF(K2227="",INDEX($K$2:$K$2501,MATCH(MAX(COUNTIF($K$2:$K$2501,$K$2:$K$2501)),COUNTIF($K$2:$K$2501,$K$2:$K$2501),0)),K2227)</f>
        <v>B2B</v>
      </c>
    </row>
    <row r="2228" spans="1:17" x14ac:dyDescent="0.3">
      <c r="A2228">
        <v>3226</v>
      </c>
      <c r="B2228" t="s">
        <v>2246</v>
      </c>
      <c r="C2228" t="s">
        <v>38</v>
      </c>
      <c r="D2228" t="s">
        <v>63</v>
      </c>
      <c r="E2228">
        <v>2</v>
      </c>
      <c r="H2228" s="3">
        <f t="shared" si="170"/>
        <v>5690.4839344262318</v>
      </c>
      <c r="I2228" s="1">
        <v>45146</v>
      </c>
      <c r="J2228" t="s">
        <v>40</v>
      </c>
      <c r="K2228" t="s">
        <v>16</v>
      </c>
      <c r="L2228" s="2">
        <f t="shared" si="171"/>
        <v>2845.2419672131159</v>
      </c>
      <c r="M2228" s="4">
        <f t="shared" si="172"/>
        <v>0.6</v>
      </c>
      <c r="N2228" s="1">
        <f t="shared" si="173"/>
        <v>45146</v>
      </c>
      <c r="O2228" s="3">
        <f>(Table13[[#This Row],[Units_Sold]]*Table13[[#This Row],[Unit_Price_Cleaned]]*(1-Table13[[#This Row],[Discount Cleaned]]))</f>
        <v>2276.193573770493</v>
      </c>
      <c r="P2228" t="str">
        <f t="shared" si="174"/>
        <v>Profit</v>
      </c>
      <c r="Q2228" t="str" cm="1">
        <f t="array" ref="Q2228">IF(K2228="",INDEX($K$2:$K$2501,MATCH(MAX(COUNTIF($K$2:$K$2501,$K$2:$K$2501)),COUNTIF($K$2:$K$2501,$K$2:$K$2501),0)),K2228)</f>
        <v>B2C</v>
      </c>
    </row>
    <row r="2229" spans="1:17" x14ac:dyDescent="0.3">
      <c r="A2229">
        <v>3227</v>
      </c>
      <c r="B2229" t="s">
        <v>2247</v>
      </c>
      <c r="C2229" t="s">
        <v>29</v>
      </c>
      <c r="D2229" t="s">
        <v>30</v>
      </c>
      <c r="E2229">
        <v>2</v>
      </c>
      <c r="H2229" s="3">
        <f t="shared" si="170"/>
        <v>5235.2780769230776</v>
      </c>
      <c r="I2229" s="1">
        <v>45505</v>
      </c>
      <c r="J2229" t="s">
        <v>22</v>
      </c>
      <c r="K2229" t="s">
        <v>16</v>
      </c>
      <c r="L2229" s="2">
        <f t="shared" si="171"/>
        <v>2617.6390384615388</v>
      </c>
      <c r="M2229" s="4">
        <f t="shared" si="172"/>
        <v>0.6</v>
      </c>
      <c r="N2229" s="1">
        <f t="shared" si="173"/>
        <v>45505</v>
      </c>
      <c r="O2229" s="3">
        <f>(Table13[[#This Row],[Units_Sold]]*Table13[[#This Row],[Unit_Price_Cleaned]]*(1-Table13[[#This Row],[Discount Cleaned]]))</f>
        <v>2094.111230769231</v>
      </c>
      <c r="P2229" t="str">
        <f t="shared" si="174"/>
        <v>Profit</v>
      </c>
      <c r="Q2229" t="str" cm="1">
        <f t="array" ref="Q2229">IF(K2229="",INDEX($K$2:$K$2501,MATCH(MAX(COUNTIF($K$2:$K$2501,$K$2:$K$2501)),COUNTIF($K$2:$K$2501,$K$2:$K$2501),0)),K2229)</f>
        <v>B2C</v>
      </c>
    </row>
    <row r="2230" spans="1:17" x14ac:dyDescent="0.3">
      <c r="A2230">
        <v>3228</v>
      </c>
      <c r="B2230" t="s">
        <v>2248</v>
      </c>
      <c r="C2230" t="s">
        <v>33</v>
      </c>
      <c r="D2230" t="s">
        <v>82</v>
      </c>
      <c r="E2230">
        <v>2</v>
      </c>
      <c r="F2230">
        <v>2125.02</v>
      </c>
      <c r="H2230" s="3">
        <f t="shared" si="170"/>
        <v>4250.04</v>
      </c>
      <c r="I2230" s="1">
        <v>45563</v>
      </c>
      <c r="J2230" t="s">
        <v>56</v>
      </c>
      <c r="K2230" t="s">
        <v>16</v>
      </c>
      <c r="L2230" s="2">
        <f t="shared" si="171"/>
        <v>2125.02</v>
      </c>
      <c r="M2230" s="4">
        <f t="shared" si="172"/>
        <v>0.6</v>
      </c>
      <c r="N2230" s="1">
        <f t="shared" si="173"/>
        <v>45563</v>
      </c>
      <c r="O2230" s="3">
        <f>(Table13[[#This Row],[Units_Sold]]*Table13[[#This Row],[Unit_Price_Cleaned]]*(1-Table13[[#This Row],[Discount Cleaned]]))</f>
        <v>1700.0160000000001</v>
      </c>
      <c r="P2230" t="str">
        <f t="shared" si="174"/>
        <v>Profit</v>
      </c>
      <c r="Q2230" t="str" cm="1">
        <f t="array" ref="Q2230">IF(K2230="",INDEX($K$2:$K$2501,MATCH(MAX(COUNTIF($K$2:$K$2501,$K$2:$K$2501)),COUNTIF($K$2:$K$2501,$K$2:$K$2501),0)),K2230)</f>
        <v>B2C</v>
      </c>
    </row>
    <row r="2231" spans="1:17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 s="3">
        <f t="shared" si="170"/>
        <v>-2462.79</v>
      </c>
      <c r="J2231" t="s">
        <v>15</v>
      </c>
      <c r="K2231" t="s">
        <v>16</v>
      </c>
      <c r="L2231" s="2">
        <f t="shared" si="171"/>
        <v>2462.79</v>
      </c>
      <c r="M2231" s="4">
        <f t="shared" si="172"/>
        <v>0.6</v>
      </c>
      <c r="N2231" s="1">
        <f t="shared" si="173"/>
        <v>45782</v>
      </c>
      <c r="O2231" s="3">
        <f>(Table13[[#This Row],[Units_Sold]]*Table13[[#This Row],[Unit_Price_Cleaned]]*(1-Table13[[#This Row],[Discount Cleaned]]))</f>
        <v>-985.11599999999999</v>
      </c>
      <c r="P2231" t="str">
        <f t="shared" si="174"/>
        <v>Loss</v>
      </c>
      <c r="Q2231" t="str" cm="1">
        <f t="array" ref="Q2231">IF(K2231="",INDEX($K$2:$K$2501,MATCH(MAX(COUNTIF($K$2:$K$2501,$K$2:$K$2501)),COUNTIF($K$2:$K$2501,$K$2:$K$2501),0)),K2231)</f>
        <v>B2C</v>
      </c>
    </row>
    <row r="2232" spans="1:17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 s="3">
        <f t="shared" si="170"/>
        <v>14082.93</v>
      </c>
      <c r="J2232" t="s">
        <v>40</v>
      </c>
      <c r="K2232" t="s">
        <v>23</v>
      </c>
      <c r="L2232" s="2">
        <f t="shared" si="171"/>
        <v>4694.3100000000004</v>
      </c>
      <c r="M2232" s="4">
        <f t="shared" si="172"/>
        <v>0.09</v>
      </c>
      <c r="N2232" s="1">
        <f t="shared" si="173"/>
        <v>45782</v>
      </c>
      <c r="O2232" s="3">
        <f>(Table13[[#This Row],[Units_Sold]]*Table13[[#This Row],[Unit_Price_Cleaned]]*(1-Table13[[#This Row],[Discount Cleaned]]))</f>
        <v>12815.4663</v>
      </c>
      <c r="P2232" t="str">
        <f t="shared" si="174"/>
        <v>Profit</v>
      </c>
      <c r="Q2232" t="str" cm="1">
        <f t="array" ref="Q2232">IF(K2232="",INDEX($K$2:$K$2501,MATCH(MAX(COUNTIF($K$2:$K$2501,$K$2:$K$2501)),COUNTIF($K$2:$K$2501,$K$2:$K$2501),0)),K2232)</f>
        <v>B2B</v>
      </c>
    </row>
    <row r="2233" spans="1:17" x14ac:dyDescent="0.3">
      <c r="A2233">
        <v>3231</v>
      </c>
      <c r="B2233" t="s">
        <v>2251</v>
      </c>
      <c r="C2233" t="s">
        <v>25</v>
      </c>
      <c r="D2233" t="s">
        <v>26</v>
      </c>
      <c r="E2233">
        <v>2</v>
      </c>
      <c r="H2233" s="3">
        <f t="shared" si="170"/>
        <v>5777.7428571428572</v>
      </c>
      <c r="I2233" s="1">
        <v>45345</v>
      </c>
      <c r="J2233" t="s">
        <v>46</v>
      </c>
      <c r="K2233" t="s">
        <v>23</v>
      </c>
      <c r="L2233" s="2">
        <f t="shared" si="171"/>
        <v>2888.8714285714286</v>
      </c>
      <c r="M2233" s="4">
        <f t="shared" si="172"/>
        <v>0.6</v>
      </c>
      <c r="N2233" s="1">
        <f t="shared" si="173"/>
        <v>45345</v>
      </c>
      <c r="O2233" s="3">
        <f>(Table13[[#This Row],[Units_Sold]]*Table13[[#This Row],[Unit_Price_Cleaned]]*(1-Table13[[#This Row],[Discount Cleaned]]))</f>
        <v>2311.0971428571429</v>
      </c>
      <c r="P2233" t="str">
        <f t="shared" si="174"/>
        <v>Profit</v>
      </c>
      <c r="Q2233" t="str" cm="1">
        <f t="array" ref="Q2233">IF(K2233="",INDEX($K$2:$K$2501,MATCH(MAX(COUNTIF($K$2:$K$2501,$K$2:$K$2501)),COUNTIF($K$2:$K$2501,$K$2:$K$2501),0)),K2233)</f>
        <v>B2B</v>
      </c>
    </row>
    <row r="2234" spans="1:17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 s="3">
        <f t="shared" si="170"/>
        <v>-5362.348727272727</v>
      </c>
      <c r="I2234" s="1">
        <v>45626</v>
      </c>
      <c r="J2234" t="s">
        <v>40</v>
      </c>
      <c r="L2234" s="2">
        <f t="shared" si="171"/>
        <v>2681.1743636363635</v>
      </c>
      <c r="M2234" s="4">
        <f t="shared" si="172"/>
        <v>0.3</v>
      </c>
      <c r="N2234" s="1">
        <f t="shared" si="173"/>
        <v>45626</v>
      </c>
      <c r="O2234" s="3">
        <f>(Table13[[#This Row],[Units_Sold]]*Table13[[#This Row],[Unit_Price_Cleaned]]*(1-Table13[[#This Row],[Discount Cleaned]]))</f>
        <v>-3753.6441090909088</v>
      </c>
      <c r="P2234" t="str">
        <f t="shared" si="174"/>
        <v>Loss</v>
      </c>
      <c r="Q2234" t="str" cm="1">
        <f t="array" ref="Q2234">IF(K2234="",INDEX($K$2:$K$2501,MATCH(MAX(COUNTIF($K$2:$K$2501,$K$2:$K$2501)),COUNTIF($K$2:$K$2501,$K$2:$K$2501),0)),K2234)</f>
        <v>B2B</v>
      </c>
    </row>
    <row r="2235" spans="1:17" x14ac:dyDescent="0.3">
      <c r="A2235">
        <v>3233</v>
      </c>
      <c r="B2235" t="s">
        <v>2253</v>
      </c>
      <c r="C2235" t="s">
        <v>33</v>
      </c>
      <c r="D2235" t="s">
        <v>34</v>
      </c>
      <c r="E2235">
        <v>2</v>
      </c>
      <c r="F2235">
        <v>2654.66</v>
      </c>
      <c r="H2235" s="3">
        <f t="shared" si="170"/>
        <v>5309.32</v>
      </c>
      <c r="I2235" s="1">
        <v>45491</v>
      </c>
      <c r="J2235" t="s">
        <v>40</v>
      </c>
      <c r="K2235" t="s">
        <v>23</v>
      </c>
      <c r="L2235" s="2">
        <f t="shared" si="171"/>
        <v>2654.66</v>
      </c>
      <c r="M2235" s="4">
        <f t="shared" si="172"/>
        <v>0.6</v>
      </c>
      <c r="N2235" s="1">
        <f t="shared" si="173"/>
        <v>45491</v>
      </c>
      <c r="O2235" s="3">
        <f>(Table13[[#This Row],[Units_Sold]]*Table13[[#This Row],[Unit_Price_Cleaned]]*(1-Table13[[#This Row],[Discount Cleaned]]))</f>
        <v>2123.7280000000001</v>
      </c>
      <c r="P2235" t="str">
        <f t="shared" si="174"/>
        <v>Profit</v>
      </c>
      <c r="Q2235" t="str" cm="1">
        <f t="array" ref="Q2235">IF(K2235="",INDEX($K$2:$K$2501,MATCH(MAX(COUNTIF($K$2:$K$2501,$K$2:$K$2501)),COUNTIF($K$2:$K$2501,$K$2:$K$2501),0)),K2235)</f>
        <v>B2B</v>
      </c>
    </row>
    <row r="2236" spans="1:17" x14ac:dyDescent="0.3">
      <c r="A2236">
        <v>3234</v>
      </c>
      <c r="B2236" t="s">
        <v>2254</v>
      </c>
      <c r="C2236" t="s">
        <v>13</v>
      </c>
      <c r="D2236" t="s">
        <v>102</v>
      </c>
      <c r="E2236">
        <v>2</v>
      </c>
      <c r="F2236">
        <v>2068.3000000000002</v>
      </c>
      <c r="H2236" s="3">
        <f t="shared" si="170"/>
        <v>4136.6000000000004</v>
      </c>
      <c r="I2236" s="1">
        <v>45623</v>
      </c>
      <c r="J2236" t="s">
        <v>56</v>
      </c>
      <c r="L2236" s="2">
        <f t="shared" si="171"/>
        <v>2068.3000000000002</v>
      </c>
      <c r="M2236" s="4">
        <f t="shared" si="172"/>
        <v>0.6</v>
      </c>
      <c r="N2236" s="1">
        <f t="shared" si="173"/>
        <v>45623</v>
      </c>
      <c r="O2236" s="3">
        <f>(Table13[[#This Row],[Units_Sold]]*Table13[[#This Row],[Unit_Price_Cleaned]]*(1-Table13[[#This Row],[Discount Cleaned]]))</f>
        <v>1654.6400000000003</v>
      </c>
      <c r="P2236" t="str">
        <f t="shared" si="174"/>
        <v>Profit</v>
      </c>
      <c r="Q2236" t="str" cm="1">
        <f t="array" ref="Q2236">IF(K2236="",INDEX($K$2:$K$2501,MATCH(MAX(COUNTIF($K$2:$K$2501,$K$2:$K$2501)),COUNTIF($K$2:$K$2501,$K$2:$K$2501),0)),K2236)</f>
        <v>B2B</v>
      </c>
    </row>
    <row r="2237" spans="1:17" x14ac:dyDescent="0.3">
      <c r="A2237">
        <v>3235</v>
      </c>
      <c r="B2237" t="s">
        <v>2255</v>
      </c>
      <c r="C2237" t="s">
        <v>25</v>
      </c>
      <c r="D2237" t="s">
        <v>26</v>
      </c>
      <c r="E2237">
        <v>2</v>
      </c>
      <c r="F2237">
        <v>3466.1</v>
      </c>
      <c r="H2237" s="3">
        <f t="shared" si="170"/>
        <v>6932.2</v>
      </c>
      <c r="I2237" s="1">
        <v>45804</v>
      </c>
      <c r="J2237" t="s">
        <v>40</v>
      </c>
      <c r="L2237" s="2">
        <f t="shared" si="171"/>
        <v>3466.1</v>
      </c>
      <c r="M2237" s="4">
        <f t="shared" si="172"/>
        <v>0.6</v>
      </c>
      <c r="N2237" s="1">
        <f t="shared" si="173"/>
        <v>45804</v>
      </c>
      <c r="O2237" s="3">
        <f>(Table13[[#This Row],[Units_Sold]]*Table13[[#This Row],[Unit_Price_Cleaned]]*(1-Table13[[#This Row],[Discount Cleaned]]))</f>
        <v>2772.88</v>
      </c>
      <c r="P2237" t="str">
        <f t="shared" si="174"/>
        <v>Profit</v>
      </c>
      <c r="Q2237" t="str" cm="1">
        <f t="array" ref="Q2237">IF(K2237="",INDEX($K$2:$K$2501,MATCH(MAX(COUNTIF($K$2:$K$2501,$K$2:$K$2501)),COUNTIF($K$2:$K$2501,$K$2:$K$2501),0)),K2237)</f>
        <v>B2B</v>
      </c>
    </row>
    <row r="2238" spans="1:17" x14ac:dyDescent="0.3">
      <c r="A2238">
        <v>3236</v>
      </c>
      <c r="B2238" t="s">
        <v>2256</v>
      </c>
      <c r="C2238" t="s">
        <v>20</v>
      </c>
      <c r="D2238" t="s">
        <v>122</v>
      </c>
      <c r="E2238">
        <v>2</v>
      </c>
      <c r="F2238">
        <v>3253.51</v>
      </c>
      <c r="G2238">
        <v>0.55000000000000004</v>
      </c>
      <c r="H2238" s="3">
        <f t="shared" si="170"/>
        <v>6507.02</v>
      </c>
      <c r="I2238" s="1">
        <v>45654</v>
      </c>
      <c r="J2238" t="s">
        <v>46</v>
      </c>
      <c r="K2238" t="s">
        <v>16</v>
      </c>
      <c r="L2238" s="2">
        <f t="shared" si="171"/>
        <v>3253.51</v>
      </c>
      <c r="M2238" s="4">
        <f t="shared" si="172"/>
        <v>0.55000000000000004</v>
      </c>
      <c r="N2238" s="1">
        <f t="shared" si="173"/>
        <v>45654</v>
      </c>
      <c r="O2238" s="3">
        <f>(Table13[[#This Row],[Units_Sold]]*Table13[[#This Row],[Unit_Price_Cleaned]]*(1-Table13[[#This Row],[Discount Cleaned]]))</f>
        <v>2928.1590000000001</v>
      </c>
      <c r="P2238" t="str">
        <f t="shared" si="174"/>
        <v>Profit</v>
      </c>
      <c r="Q2238" t="str" cm="1">
        <f t="array" ref="Q2238">IF(K2238="",INDEX($K$2:$K$2501,MATCH(MAX(COUNTIF($K$2:$K$2501,$K$2:$K$2501)),COUNTIF($K$2:$K$2501,$K$2:$K$2501),0)),K2238)</f>
        <v>B2C</v>
      </c>
    </row>
    <row r="2239" spans="1:17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 s="3">
        <f t="shared" si="170"/>
        <v>8043.5230909090906</v>
      </c>
      <c r="I2239" s="1">
        <v>45562</v>
      </c>
      <c r="J2239" t="s">
        <v>18</v>
      </c>
      <c r="L2239" s="2">
        <f t="shared" si="171"/>
        <v>2681.1743636363635</v>
      </c>
      <c r="M2239" s="4">
        <f t="shared" si="172"/>
        <v>0.6</v>
      </c>
      <c r="N2239" s="1">
        <f t="shared" si="173"/>
        <v>45562</v>
      </c>
      <c r="O2239" s="3">
        <f>(Table13[[#This Row],[Units_Sold]]*Table13[[#This Row],[Unit_Price_Cleaned]]*(1-Table13[[#This Row],[Discount Cleaned]]))</f>
        <v>3217.4092363636364</v>
      </c>
      <c r="P2239" t="str">
        <f t="shared" si="174"/>
        <v>Profit</v>
      </c>
      <c r="Q2239" t="str" cm="1">
        <f t="array" ref="Q2239">IF(K2239="",INDEX($K$2:$K$2501,MATCH(MAX(COUNTIF($K$2:$K$2501,$K$2:$K$2501)),COUNTIF($K$2:$K$2501,$K$2:$K$2501),0)),K2239)</f>
        <v>B2B</v>
      </c>
    </row>
    <row r="2240" spans="1:17" x14ac:dyDescent="0.3">
      <c r="A2240">
        <v>3238</v>
      </c>
      <c r="B2240" t="s">
        <v>2258</v>
      </c>
      <c r="C2240" t="s">
        <v>33</v>
      </c>
      <c r="D2240" t="s">
        <v>72</v>
      </c>
      <c r="E2240">
        <v>2</v>
      </c>
      <c r="G2240">
        <v>0.87</v>
      </c>
      <c r="H2240" s="3">
        <f t="shared" si="170"/>
        <v>5431.091698113205</v>
      </c>
      <c r="I2240" s="1">
        <v>45560</v>
      </c>
      <c r="J2240" t="s">
        <v>15</v>
      </c>
      <c r="L2240" s="2">
        <f t="shared" si="171"/>
        <v>2715.5458490566025</v>
      </c>
      <c r="M2240" s="4">
        <f t="shared" si="172"/>
        <v>0.87</v>
      </c>
      <c r="N2240" s="1">
        <f t="shared" si="173"/>
        <v>45560</v>
      </c>
      <c r="O2240" s="3">
        <f>(Table13[[#This Row],[Units_Sold]]*Table13[[#This Row],[Unit_Price_Cleaned]]*(1-Table13[[#This Row],[Discount Cleaned]]))</f>
        <v>706.04192075471667</v>
      </c>
      <c r="P2240" t="str">
        <f t="shared" si="174"/>
        <v>Profit</v>
      </c>
      <c r="Q2240" t="str" cm="1">
        <f t="array" ref="Q2240">IF(K2240="",INDEX($K$2:$K$2501,MATCH(MAX(COUNTIF($K$2:$K$2501,$K$2:$K$2501)),COUNTIF($K$2:$K$2501,$K$2:$K$2501),0)),K2240)</f>
        <v>B2B</v>
      </c>
    </row>
    <row r="2241" spans="1:17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 s="3">
        <f t="shared" si="170"/>
        <v>4585.71</v>
      </c>
      <c r="I2241" s="1">
        <v>45795</v>
      </c>
      <c r="J2241" t="s">
        <v>18</v>
      </c>
      <c r="K2241" t="s">
        <v>23</v>
      </c>
      <c r="L2241" s="2">
        <f t="shared" si="171"/>
        <v>4585.71</v>
      </c>
      <c r="M2241" s="4">
        <f t="shared" si="172"/>
        <v>0.6</v>
      </c>
      <c r="N2241" s="1">
        <f t="shared" si="173"/>
        <v>45795</v>
      </c>
      <c r="O2241" s="3">
        <f>(Table13[[#This Row],[Units_Sold]]*Table13[[#This Row],[Unit_Price_Cleaned]]*(1-Table13[[#This Row],[Discount Cleaned]]))</f>
        <v>1834.2840000000001</v>
      </c>
      <c r="P2241" t="str">
        <f t="shared" si="174"/>
        <v>Profit</v>
      </c>
      <c r="Q2241" t="str" cm="1">
        <f t="array" ref="Q2241">IF(K2241="",INDEX($K$2:$K$2501,MATCH(MAX(COUNTIF($K$2:$K$2501,$K$2:$K$2501)),COUNTIF($K$2:$K$2501,$K$2:$K$2501),0)),K2241)</f>
        <v>B2B</v>
      </c>
    </row>
    <row r="2242" spans="1:17" x14ac:dyDescent="0.3">
      <c r="A2242">
        <v>3240</v>
      </c>
      <c r="B2242" t="s">
        <v>2260</v>
      </c>
      <c r="C2242" t="s">
        <v>38</v>
      </c>
      <c r="D2242" t="s">
        <v>39</v>
      </c>
      <c r="E2242">
        <v>2</v>
      </c>
      <c r="H2242" s="3">
        <f t="shared" ref="H2242:H2305" si="175">(L2242*E2242)</f>
        <v>6016.7688888888888</v>
      </c>
      <c r="I2242" s="1">
        <v>45575</v>
      </c>
      <c r="J2242" t="s">
        <v>40</v>
      </c>
      <c r="K2242" t="s">
        <v>23</v>
      </c>
      <c r="L2242" s="2">
        <f t="shared" ref="L2242:L2305" si="176">IF(F2242="",AVERAGEIF($D$2:$D$2501,D2242,$F$2:$F$2501),F2242)</f>
        <v>3008.3844444444444</v>
      </c>
      <c r="M2242" s="4">
        <f t="shared" ref="M2242:M2305" si="177">IF(G2242="",MEDIAN($G$2,$G$2501),G2242)</f>
        <v>0.6</v>
      </c>
      <c r="N2242" s="1">
        <f t="shared" ref="N2242:N2305" si="178">IF(I2242="",MODE($I$32:$I$2501),I2242)</f>
        <v>45575</v>
      </c>
      <c r="O2242" s="3">
        <f>(Table13[[#This Row],[Units_Sold]]*Table13[[#This Row],[Unit_Price_Cleaned]]*(1-Table13[[#This Row],[Discount Cleaned]]))</f>
        <v>2406.7075555555557</v>
      </c>
      <c r="P2242" t="str">
        <f t="shared" ref="P2242:P2305" si="179">IF(O2242&gt;500,"Profit","Loss")</f>
        <v>Profit</v>
      </c>
      <c r="Q2242" t="str" cm="1">
        <f t="array" ref="Q2242">IF(K2242="",INDEX($K$2:$K$2501,MATCH(MAX(COUNTIF($K$2:$K$2501,$K$2:$K$2501)),COUNTIF($K$2:$K$2501,$K$2:$K$2501),0)),K2242)</f>
        <v>B2B</v>
      </c>
    </row>
    <row r="2243" spans="1:17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 s="3">
        <f t="shared" si="175"/>
        <v>0</v>
      </c>
      <c r="I2243" s="1">
        <v>45583</v>
      </c>
      <c r="J2243" t="s">
        <v>18</v>
      </c>
      <c r="K2243" t="s">
        <v>16</v>
      </c>
      <c r="L2243" s="2">
        <f t="shared" si="176"/>
        <v>3186.11</v>
      </c>
      <c r="M2243" s="4">
        <f t="shared" si="177"/>
        <v>0.74</v>
      </c>
      <c r="N2243" s="1">
        <f t="shared" si="178"/>
        <v>45583</v>
      </c>
      <c r="O2243" s="3">
        <f>(Table13[[#This Row],[Units_Sold]]*Table13[[#This Row],[Unit_Price_Cleaned]]*(1-Table13[[#This Row],[Discount Cleaned]]))</f>
        <v>0</v>
      </c>
      <c r="P2243" t="str">
        <f t="shared" si="179"/>
        <v>Loss</v>
      </c>
      <c r="Q2243" t="str" cm="1">
        <f t="array" ref="Q2243">IF(K2243="",INDEX($K$2:$K$2501,MATCH(MAX(COUNTIF($K$2:$K$2501,$K$2:$K$2501)),COUNTIF($K$2:$K$2501,$K$2:$K$2501),0)),K2243)</f>
        <v>B2C</v>
      </c>
    </row>
    <row r="2244" spans="1:17" x14ac:dyDescent="0.3">
      <c r="A2244">
        <v>3242</v>
      </c>
      <c r="B2244" t="s">
        <v>2262</v>
      </c>
      <c r="C2244" t="s">
        <v>25</v>
      </c>
      <c r="D2244" t="s">
        <v>26</v>
      </c>
      <c r="E2244">
        <v>2</v>
      </c>
      <c r="G2244">
        <v>0.16</v>
      </c>
      <c r="H2244" s="3">
        <f t="shared" si="175"/>
        <v>5777.7428571428572</v>
      </c>
      <c r="I2244" s="1">
        <v>45367</v>
      </c>
      <c r="J2244" t="s">
        <v>22</v>
      </c>
      <c r="K2244" t="s">
        <v>23</v>
      </c>
      <c r="L2244" s="2">
        <f t="shared" si="176"/>
        <v>2888.8714285714286</v>
      </c>
      <c r="M2244" s="4">
        <f t="shared" si="177"/>
        <v>0.16</v>
      </c>
      <c r="N2244" s="1">
        <f t="shared" si="178"/>
        <v>45367</v>
      </c>
      <c r="O2244" s="3">
        <f>(Table13[[#This Row],[Units_Sold]]*Table13[[#This Row],[Unit_Price_Cleaned]]*(1-Table13[[#This Row],[Discount Cleaned]]))</f>
        <v>4853.3040000000001</v>
      </c>
      <c r="P2244" t="str">
        <f t="shared" si="179"/>
        <v>Profit</v>
      </c>
      <c r="Q2244" t="str" cm="1">
        <f t="array" ref="Q2244">IF(K2244="",INDEX($K$2:$K$2501,MATCH(MAX(COUNTIF($K$2:$K$2501,$K$2:$K$2501)),COUNTIF($K$2:$K$2501,$K$2:$K$2501),0)),K2244)</f>
        <v>B2B</v>
      </c>
    </row>
    <row r="2245" spans="1:17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 s="3">
        <f t="shared" si="175"/>
        <v>11475.107272727271</v>
      </c>
      <c r="J2245" t="s">
        <v>15</v>
      </c>
      <c r="K2245" t="s">
        <v>23</v>
      </c>
      <c r="L2245" s="2">
        <f t="shared" si="176"/>
        <v>2868.7768181818178</v>
      </c>
      <c r="M2245" s="4">
        <f t="shared" si="177"/>
        <v>0.87</v>
      </c>
      <c r="N2245" s="1">
        <f t="shared" si="178"/>
        <v>45782</v>
      </c>
      <c r="O2245" s="3">
        <f>(Table13[[#This Row],[Units_Sold]]*Table13[[#This Row],[Unit_Price_Cleaned]]*(1-Table13[[#This Row],[Discount Cleaned]]))</f>
        <v>1491.7639454545454</v>
      </c>
      <c r="P2245" t="str">
        <f t="shared" si="179"/>
        <v>Profit</v>
      </c>
      <c r="Q2245" t="str" cm="1">
        <f t="array" ref="Q2245">IF(K2245="",INDEX($K$2:$K$2501,MATCH(MAX(COUNTIF($K$2:$K$2501,$K$2:$K$2501)),COUNTIF($K$2:$K$2501,$K$2:$K$2501),0)),K2245)</f>
        <v>B2B</v>
      </c>
    </row>
    <row r="2246" spans="1:17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 s="3">
        <f t="shared" si="175"/>
        <v>-5660.2651428571462</v>
      </c>
      <c r="I2246" s="1">
        <v>45714</v>
      </c>
      <c r="J2246" t="s">
        <v>18</v>
      </c>
      <c r="K2246" t="s">
        <v>23</v>
      </c>
      <c r="L2246" s="2">
        <f t="shared" si="176"/>
        <v>2830.1325714285731</v>
      </c>
      <c r="M2246" s="4">
        <f t="shared" si="177"/>
        <v>0.47</v>
      </c>
      <c r="N2246" s="1">
        <f t="shared" si="178"/>
        <v>45714</v>
      </c>
      <c r="O2246" s="3">
        <f>(Table13[[#This Row],[Units_Sold]]*Table13[[#This Row],[Unit_Price_Cleaned]]*(1-Table13[[#This Row],[Discount Cleaned]]))</f>
        <v>-2999.9405257142876</v>
      </c>
      <c r="P2246" t="str">
        <f t="shared" si="179"/>
        <v>Loss</v>
      </c>
      <c r="Q2246" t="str" cm="1">
        <f t="array" ref="Q2246">IF(K2246="",INDEX($K$2:$K$2501,MATCH(MAX(COUNTIF($K$2:$K$2501,$K$2:$K$2501)),COUNTIF($K$2:$K$2501,$K$2:$K$2501),0)),K2246)</f>
        <v>B2B</v>
      </c>
    </row>
    <row r="2247" spans="1:17" x14ac:dyDescent="0.3">
      <c r="A2247">
        <v>3245</v>
      </c>
      <c r="B2247" t="s">
        <v>2265</v>
      </c>
      <c r="C2247" t="s">
        <v>25</v>
      </c>
      <c r="D2247" t="s">
        <v>54</v>
      </c>
      <c r="E2247">
        <v>2</v>
      </c>
      <c r="H2247" s="3">
        <f t="shared" si="175"/>
        <v>5060.7673076923093</v>
      </c>
      <c r="I2247" s="1">
        <v>45282</v>
      </c>
      <c r="J2247" t="s">
        <v>56</v>
      </c>
      <c r="K2247" t="s">
        <v>23</v>
      </c>
      <c r="L2247" s="2">
        <f t="shared" si="176"/>
        <v>2530.3836538461546</v>
      </c>
      <c r="M2247" s="4">
        <f t="shared" si="177"/>
        <v>0.6</v>
      </c>
      <c r="N2247" s="1">
        <f t="shared" si="178"/>
        <v>45282</v>
      </c>
      <c r="O2247" s="3">
        <f>(Table13[[#This Row],[Units_Sold]]*Table13[[#This Row],[Unit_Price_Cleaned]]*(1-Table13[[#This Row],[Discount Cleaned]]))</f>
        <v>2024.3069230769238</v>
      </c>
      <c r="P2247" t="str">
        <f t="shared" si="179"/>
        <v>Profit</v>
      </c>
      <c r="Q2247" t="str" cm="1">
        <f t="array" ref="Q2247">IF(K2247="",INDEX($K$2:$K$2501,MATCH(MAX(COUNTIF($K$2:$K$2501,$K$2:$K$2501)),COUNTIF($K$2:$K$2501,$K$2:$K$2501),0)),K2247)</f>
        <v>B2B</v>
      </c>
    </row>
    <row r="2248" spans="1:17" x14ac:dyDescent="0.3">
      <c r="A2248">
        <v>3246</v>
      </c>
      <c r="B2248" t="s">
        <v>2266</v>
      </c>
      <c r="C2248" t="s">
        <v>13</v>
      </c>
      <c r="D2248" t="s">
        <v>36</v>
      </c>
      <c r="E2248">
        <v>2</v>
      </c>
      <c r="F2248">
        <v>4842.74</v>
      </c>
      <c r="H2248" s="3">
        <f t="shared" si="175"/>
        <v>9685.48</v>
      </c>
      <c r="J2248" t="s">
        <v>46</v>
      </c>
      <c r="L2248" s="2">
        <f t="shared" si="176"/>
        <v>4842.74</v>
      </c>
      <c r="M2248" s="4">
        <f t="shared" si="177"/>
        <v>0.6</v>
      </c>
      <c r="N2248" s="1">
        <f t="shared" si="178"/>
        <v>45782</v>
      </c>
      <c r="O2248" s="3">
        <f>(Table13[[#This Row],[Units_Sold]]*Table13[[#This Row],[Unit_Price_Cleaned]]*(1-Table13[[#This Row],[Discount Cleaned]]))</f>
        <v>3874.192</v>
      </c>
      <c r="P2248" t="str">
        <f t="shared" si="179"/>
        <v>Profit</v>
      </c>
      <c r="Q2248" t="str" cm="1">
        <f t="array" ref="Q2248">IF(K2248="",INDEX($K$2:$K$2501,MATCH(MAX(COUNTIF($K$2:$K$2501,$K$2:$K$2501)),COUNTIF($K$2:$K$2501,$K$2:$K$2501),0)),K2248)</f>
        <v>B2B</v>
      </c>
    </row>
    <row r="2249" spans="1:17" x14ac:dyDescent="0.3">
      <c r="A2249">
        <v>3247</v>
      </c>
      <c r="B2249" t="s">
        <v>2267</v>
      </c>
      <c r="C2249" t="s">
        <v>38</v>
      </c>
      <c r="D2249" t="s">
        <v>39</v>
      </c>
      <c r="E2249">
        <v>2</v>
      </c>
      <c r="H2249" s="3">
        <f t="shared" si="175"/>
        <v>6016.7688888888888</v>
      </c>
      <c r="I2249" s="1">
        <v>45631</v>
      </c>
      <c r="J2249" t="s">
        <v>15</v>
      </c>
      <c r="K2249" t="s">
        <v>23</v>
      </c>
      <c r="L2249" s="2">
        <f t="shared" si="176"/>
        <v>3008.3844444444444</v>
      </c>
      <c r="M2249" s="4">
        <f t="shared" si="177"/>
        <v>0.6</v>
      </c>
      <c r="N2249" s="1">
        <f t="shared" si="178"/>
        <v>45631</v>
      </c>
      <c r="O2249" s="3">
        <f>(Table13[[#This Row],[Units_Sold]]*Table13[[#This Row],[Unit_Price_Cleaned]]*(1-Table13[[#This Row],[Discount Cleaned]]))</f>
        <v>2406.7075555555557</v>
      </c>
      <c r="P2249" t="str">
        <f t="shared" si="179"/>
        <v>Profit</v>
      </c>
      <c r="Q2249" t="str" cm="1">
        <f t="array" ref="Q2249">IF(K2249="",INDEX($K$2:$K$2501,MATCH(MAX(COUNTIF($K$2:$K$2501,$K$2:$K$2501)),COUNTIF($K$2:$K$2501,$K$2:$K$2501),0)),K2249)</f>
        <v>B2B</v>
      </c>
    </row>
    <row r="2250" spans="1:17" x14ac:dyDescent="0.3">
      <c r="A2250">
        <v>3248</v>
      </c>
      <c r="B2250" t="s">
        <v>2268</v>
      </c>
      <c r="C2250" t="s">
        <v>38</v>
      </c>
      <c r="D2250" t="s">
        <v>39</v>
      </c>
      <c r="E2250">
        <v>2</v>
      </c>
      <c r="F2250">
        <v>2061.91</v>
      </c>
      <c r="H2250" s="3">
        <f t="shared" si="175"/>
        <v>4123.82</v>
      </c>
      <c r="I2250" s="1">
        <v>45800</v>
      </c>
      <c r="J2250" t="s">
        <v>18</v>
      </c>
      <c r="L2250" s="2">
        <f t="shared" si="176"/>
        <v>2061.91</v>
      </c>
      <c r="M2250" s="4">
        <f t="shared" si="177"/>
        <v>0.6</v>
      </c>
      <c r="N2250" s="1">
        <f t="shared" si="178"/>
        <v>45800</v>
      </c>
      <c r="O2250" s="3">
        <f>(Table13[[#This Row],[Units_Sold]]*Table13[[#This Row],[Unit_Price_Cleaned]]*(1-Table13[[#This Row],[Discount Cleaned]]))</f>
        <v>1649.528</v>
      </c>
      <c r="P2250" t="str">
        <f t="shared" si="179"/>
        <v>Profit</v>
      </c>
      <c r="Q2250" t="str" cm="1">
        <f t="array" ref="Q2250">IF(K2250="",INDEX($K$2:$K$2501,MATCH(MAX(COUNTIF($K$2:$K$2501,$K$2:$K$2501)),COUNTIF($K$2:$K$2501,$K$2:$K$2501),0)),K2250)</f>
        <v>B2B</v>
      </c>
    </row>
    <row r="2251" spans="1:17" x14ac:dyDescent="0.3">
      <c r="A2251">
        <v>3249</v>
      </c>
      <c r="B2251" t="s">
        <v>2269</v>
      </c>
      <c r="C2251" t="s">
        <v>33</v>
      </c>
      <c r="D2251" t="s">
        <v>34</v>
      </c>
      <c r="E2251">
        <v>2</v>
      </c>
      <c r="H2251" s="3">
        <f t="shared" si="175"/>
        <v>4974.07923076923</v>
      </c>
      <c r="J2251" t="s">
        <v>15</v>
      </c>
      <c r="L2251" s="2">
        <f t="shared" si="176"/>
        <v>2487.039615384615</v>
      </c>
      <c r="M2251" s="4">
        <f t="shared" si="177"/>
        <v>0.6</v>
      </c>
      <c r="N2251" s="1">
        <f t="shared" si="178"/>
        <v>45782</v>
      </c>
      <c r="O2251" s="3">
        <f>(Table13[[#This Row],[Units_Sold]]*Table13[[#This Row],[Unit_Price_Cleaned]]*(1-Table13[[#This Row],[Discount Cleaned]]))</f>
        <v>1989.631692307692</v>
      </c>
      <c r="P2251" t="str">
        <f t="shared" si="179"/>
        <v>Profit</v>
      </c>
      <c r="Q2251" t="str" cm="1">
        <f t="array" ref="Q2251">IF(K2251="",INDEX($K$2:$K$2501,MATCH(MAX(COUNTIF($K$2:$K$2501,$K$2:$K$2501)),COUNTIF($K$2:$K$2501,$K$2:$K$2501),0)),K2251)</f>
        <v>B2B</v>
      </c>
    </row>
    <row r="2252" spans="1:17" x14ac:dyDescent="0.3">
      <c r="A2252">
        <v>3250</v>
      </c>
      <c r="B2252" t="s">
        <v>2270</v>
      </c>
      <c r="C2252" t="s">
        <v>33</v>
      </c>
      <c r="D2252" t="s">
        <v>34</v>
      </c>
      <c r="E2252">
        <v>2</v>
      </c>
      <c r="H2252" s="3">
        <f t="shared" si="175"/>
        <v>4974.07923076923</v>
      </c>
      <c r="J2252" t="s">
        <v>40</v>
      </c>
      <c r="L2252" s="2">
        <f t="shared" si="176"/>
        <v>2487.039615384615</v>
      </c>
      <c r="M2252" s="4">
        <f t="shared" si="177"/>
        <v>0.6</v>
      </c>
      <c r="N2252" s="1">
        <f t="shared" si="178"/>
        <v>45782</v>
      </c>
      <c r="O2252" s="3">
        <f>(Table13[[#This Row],[Units_Sold]]*Table13[[#This Row],[Unit_Price_Cleaned]]*(1-Table13[[#This Row],[Discount Cleaned]]))</f>
        <v>1989.631692307692</v>
      </c>
      <c r="P2252" t="str">
        <f t="shared" si="179"/>
        <v>Profit</v>
      </c>
      <c r="Q2252" t="str" cm="1">
        <f t="array" ref="Q2252">IF(K2252="",INDEX($K$2:$K$2501,MATCH(MAX(COUNTIF($K$2:$K$2501,$K$2:$K$2501)),COUNTIF($K$2:$K$2501,$K$2:$K$2501),0)),K2252)</f>
        <v>B2B</v>
      </c>
    </row>
    <row r="2253" spans="1:17" x14ac:dyDescent="0.3">
      <c r="A2253">
        <v>3251</v>
      </c>
      <c r="B2253" t="s">
        <v>2271</v>
      </c>
      <c r="C2253" t="s">
        <v>38</v>
      </c>
      <c r="D2253" t="s">
        <v>59</v>
      </c>
      <c r="E2253">
        <v>2</v>
      </c>
      <c r="H2253" s="3">
        <f t="shared" si="175"/>
        <v>5608.5303846153838</v>
      </c>
      <c r="I2253" s="1">
        <v>45672</v>
      </c>
      <c r="J2253" t="s">
        <v>15</v>
      </c>
      <c r="K2253" t="s">
        <v>16</v>
      </c>
      <c r="L2253" s="2">
        <f t="shared" si="176"/>
        <v>2804.2651923076919</v>
      </c>
      <c r="M2253" s="4">
        <f t="shared" si="177"/>
        <v>0.6</v>
      </c>
      <c r="N2253" s="1">
        <f t="shared" si="178"/>
        <v>45672</v>
      </c>
      <c r="O2253" s="3">
        <f>(Table13[[#This Row],[Units_Sold]]*Table13[[#This Row],[Unit_Price_Cleaned]]*(1-Table13[[#This Row],[Discount Cleaned]]))</f>
        <v>2243.4121538461536</v>
      </c>
      <c r="P2253" t="str">
        <f t="shared" si="179"/>
        <v>Profit</v>
      </c>
      <c r="Q2253" t="str" cm="1">
        <f t="array" ref="Q2253">IF(K2253="",INDEX($K$2:$K$2501,MATCH(MAX(COUNTIF($K$2:$K$2501,$K$2:$K$2501)),COUNTIF($K$2:$K$2501,$K$2:$K$2501),0)),K2253)</f>
        <v>B2C</v>
      </c>
    </row>
    <row r="2254" spans="1:17" x14ac:dyDescent="0.3">
      <c r="A2254">
        <v>3252</v>
      </c>
      <c r="B2254" t="s">
        <v>2272</v>
      </c>
      <c r="C2254" t="s">
        <v>25</v>
      </c>
      <c r="D2254" t="s">
        <v>66</v>
      </c>
      <c r="E2254">
        <v>2</v>
      </c>
      <c r="H2254" s="3">
        <f t="shared" si="175"/>
        <v>5145.5528000000013</v>
      </c>
      <c r="I2254" s="1">
        <v>45700</v>
      </c>
      <c r="J2254" t="s">
        <v>18</v>
      </c>
      <c r="K2254" t="s">
        <v>23</v>
      </c>
      <c r="L2254" s="2">
        <f t="shared" si="176"/>
        <v>2572.7764000000006</v>
      </c>
      <c r="M2254" s="4">
        <f t="shared" si="177"/>
        <v>0.6</v>
      </c>
      <c r="N2254" s="1">
        <f t="shared" si="178"/>
        <v>45700</v>
      </c>
      <c r="O2254" s="3">
        <f>(Table13[[#This Row],[Units_Sold]]*Table13[[#This Row],[Unit_Price_Cleaned]]*(1-Table13[[#This Row],[Discount Cleaned]]))</f>
        <v>2058.2211200000006</v>
      </c>
      <c r="P2254" t="str">
        <f t="shared" si="179"/>
        <v>Profit</v>
      </c>
      <c r="Q2254" t="str" cm="1">
        <f t="array" ref="Q2254">IF(K2254="",INDEX($K$2:$K$2501,MATCH(MAX(COUNTIF($K$2:$K$2501,$K$2:$K$2501)),COUNTIF($K$2:$K$2501,$K$2:$K$2501),0)),K2254)</f>
        <v>B2B</v>
      </c>
    </row>
    <row r="2255" spans="1:17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 s="3">
        <f t="shared" si="175"/>
        <v>22149.75</v>
      </c>
      <c r="I2255" s="1">
        <v>45727</v>
      </c>
      <c r="J2255" t="s">
        <v>56</v>
      </c>
      <c r="L2255" s="2">
        <f t="shared" si="176"/>
        <v>4429.95</v>
      </c>
      <c r="M2255" s="4">
        <f t="shared" si="177"/>
        <v>0.35</v>
      </c>
      <c r="N2255" s="1">
        <f t="shared" si="178"/>
        <v>45727</v>
      </c>
      <c r="O2255" s="3">
        <f>(Table13[[#This Row],[Units_Sold]]*Table13[[#This Row],[Unit_Price_Cleaned]]*(1-Table13[[#This Row],[Discount Cleaned]]))</f>
        <v>14397.3375</v>
      </c>
      <c r="P2255" t="str">
        <f t="shared" si="179"/>
        <v>Profit</v>
      </c>
      <c r="Q2255" t="str" cm="1">
        <f t="array" ref="Q2255">IF(K2255="",INDEX($K$2:$K$2501,MATCH(MAX(COUNTIF($K$2:$K$2501,$K$2:$K$2501)),COUNTIF($K$2:$K$2501,$K$2:$K$2501),0)),K2255)</f>
        <v>B2B</v>
      </c>
    </row>
    <row r="2256" spans="1:17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 s="3">
        <f t="shared" si="175"/>
        <v>-4967.1688000000004</v>
      </c>
      <c r="I2256" s="1">
        <v>45815</v>
      </c>
      <c r="J2256" t="s">
        <v>46</v>
      </c>
      <c r="K2256" t="s">
        <v>16</v>
      </c>
      <c r="L2256" s="2">
        <f t="shared" si="176"/>
        <v>2483.5844000000002</v>
      </c>
      <c r="M2256" s="4">
        <f t="shared" si="177"/>
        <v>1.02</v>
      </c>
      <c r="N2256" s="1">
        <f t="shared" si="178"/>
        <v>45815</v>
      </c>
      <c r="O2256" s="3">
        <f>(Table13[[#This Row],[Units_Sold]]*Table13[[#This Row],[Unit_Price_Cleaned]]*(1-Table13[[#This Row],[Discount Cleaned]]))</f>
        <v>99.343376000000092</v>
      </c>
      <c r="P2256" t="str">
        <f t="shared" si="179"/>
        <v>Loss</v>
      </c>
      <c r="Q2256" t="str" cm="1">
        <f t="array" ref="Q2256">IF(K2256="",INDEX($K$2:$K$2501,MATCH(MAX(COUNTIF($K$2:$K$2501,$K$2:$K$2501)),COUNTIF($K$2:$K$2501,$K$2:$K$2501),0)),K2256)</f>
        <v>B2C</v>
      </c>
    </row>
    <row r="2257" spans="1:17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 s="3">
        <f t="shared" si="175"/>
        <v>23429.16</v>
      </c>
      <c r="I2257" s="1">
        <v>45630</v>
      </c>
      <c r="J2257" t="s">
        <v>22</v>
      </c>
      <c r="K2257" t="s">
        <v>16</v>
      </c>
      <c r="L2257" s="2">
        <f t="shared" si="176"/>
        <v>3904.86</v>
      </c>
      <c r="M2257" s="4">
        <f t="shared" si="177"/>
        <v>0.6</v>
      </c>
      <c r="N2257" s="1">
        <f t="shared" si="178"/>
        <v>45630</v>
      </c>
      <c r="O2257" s="3">
        <f>(Table13[[#This Row],[Units_Sold]]*Table13[[#This Row],[Unit_Price_Cleaned]]*(1-Table13[[#This Row],[Discount Cleaned]]))</f>
        <v>9371.6640000000007</v>
      </c>
      <c r="P2257" t="str">
        <f t="shared" si="179"/>
        <v>Profit</v>
      </c>
      <c r="Q2257" t="str" cm="1">
        <f t="array" ref="Q2257">IF(K2257="",INDEX($K$2:$K$2501,MATCH(MAX(COUNTIF($K$2:$K$2501,$K$2:$K$2501)),COUNTIF($K$2:$K$2501,$K$2:$K$2501),0)),K2257)</f>
        <v>B2C</v>
      </c>
    </row>
    <row r="2258" spans="1:17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 s="3">
        <f t="shared" si="175"/>
        <v>4974.07923076923</v>
      </c>
      <c r="I2258" s="1">
        <v>45860</v>
      </c>
      <c r="J2258" t="s">
        <v>22</v>
      </c>
      <c r="K2258" t="s">
        <v>23</v>
      </c>
      <c r="L2258" s="2">
        <f t="shared" si="176"/>
        <v>2487.039615384615</v>
      </c>
      <c r="M2258" s="4">
        <f t="shared" si="177"/>
        <v>0.6</v>
      </c>
      <c r="N2258" s="1">
        <f t="shared" si="178"/>
        <v>45860</v>
      </c>
      <c r="O2258" s="3">
        <f>(Table13[[#This Row],[Units_Sold]]*Table13[[#This Row],[Unit_Price_Cleaned]]*(1-Table13[[#This Row],[Discount Cleaned]]))</f>
        <v>1989.631692307692</v>
      </c>
      <c r="P2258" t="str">
        <f t="shared" si="179"/>
        <v>Profit</v>
      </c>
      <c r="Q2258" t="str" cm="1">
        <f t="array" ref="Q2258">IF(K2258="",INDEX($K$2:$K$2501,MATCH(MAX(COUNTIF($K$2:$K$2501,$K$2:$K$2501)),COUNTIF($K$2:$K$2501,$K$2:$K$2501),0)),K2258)</f>
        <v>B2B</v>
      </c>
    </row>
    <row r="2259" spans="1:17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 s="3">
        <f t="shared" si="175"/>
        <v>-5552.4404000000004</v>
      </c>
      <c r="I2259" s="1">
        <v>45734</v>
      </c>
      <c r="J2259" t="s">
        <v>56</v>
      </c>
      <c r="K2259" t="s">
        <v>23</v>
      </c>
      <c r="L2259" s="2">
        <f t="shared" si="176"/>
        <v>2776.2202000000002</v>
      </c>
      <c r="M2259" s="4">
        <f t="shared" si="177"/>
        <v>0.6</v>
      </c>
      <c r="N2259" s="1">
        <f t="shared" si="178"/>
        <v>45734</v>
      </c>
      <c r="O2259" s="3">
        <f>(Table13[[#This Row],[Units_Sold]]*Table13[[#This Row],[Unit_Price_Cleaned]]*(1-Table13[[#This Row],[Discount Cleaned]]))</f>
        <v>-2220.9761600000002</v>
      </c>
      <c r="P2259" t="str">
        <f t="shared" si="179"/>
        <v>Loss</v>
      </c>
      <c r="Q2259" t="str" cm="1">
        <f t="array" ref="Q2259">IF(K2259="",INDEX($K$2:$K$2501,MATCH(MAX(COUNTIF($K$2:$K$2501,$K$2:$K$2501)),COUNTIF($K$2:$K$2501,$K$2:$K$2501),0)),K2259)</f>
        <v>B2B</v>
      </c>
    </row>
    <row r="2260" spans="1:17" x14ac:dyDescent="0.3">
      <c r="A2260">
        <v>3258</v>
      </c>
      <c r="B2260" t="s">
        <v>2277</v>
      </c>
      <c r="C2260" t="s">
        <v>25</v>
      </c>
      <c r="D2260" t="s">
        <v>26</v>
      </c>
      <c r="E2260">
        <v>2</v>
      </c>
      <c r="H2260" s="3">
        <f t="shared" si="175"/>
        <v>5777.7428571428572</v>
      </c>
      <c r="I2260" s="1">
        <v>45722</v>
      </c>
      <c r="J2260" t="s">
        <v>18</v>
      </c>
      <c r="K2260" t="s">
        <v>23</v>
      </c>
      <c r="L2260" s="2">
        <f t="shared" si="176"/>
        <v>2888.8714285714286</v>
      </c>
      <c r="M2260" s="4">
        <f t="shared" si="177"/>
        <v>0.6</v>
      </c>
      <c r="N2260" s="1">
        <f t="shared" si="178"/>
        <v>45722</v>
      </c>
      <c r="O2260" s="3">
        <f>(Table13[[#This Row],[Units_Sold]]*Table13[[#This Row],[Unit_Price_Cleaned]]*(1-Table13[[#This Row],[Discount Cleaned]]))</f>
        <v>2311.0971428571429</v>
      </c>
      <c r="P2260" t="str">
        <f t="shared" si="179"/>
        <v>Profit</v>
      </c>
      <c r="Q2260" t="str" cm="1">
        <f t="array" ref="Q2260">IF(K2260="",INDEX($K$2:$K$2501,MATCH(MAX(COUNTIF($K$2:$K$2501,$K$2:$K$2501)),COUNTIF($K$2:$K$2501,$K$2:$K$2501),0)),K2260)</f>
        <v>B2B</v>
      </c>
    </row>
    <row r="2261" spans="1:17" x14ac:dyDescent="0.3">
      <c r="A2261">
        <v>3259</v>
      </c>
      <c r="B2261" t="s">
        <v>2278</v>
      </c>
      <c r="C2261" t="s">
        <v>25</v>
      </c>
      <c r="D2261" t="s">
        <v>86</v>
      </c>
      <c r="E2261">
        <v>2</v>
      </c>
      <c r="H2261" s="3">
        <f t="shared" si="175"/>
        <v>5003.0619999999999</v>
      </c>
      <c r="I2261" s="1">
        <v>45766</v>
      </c>
      <c r="J2261" t="s">
        <v>22</v>
      </c>
      <c r="K2261" t="s">
        <v>23</v>
      </c>
      <c r="L2261" s="2">
        <f t="shared" si="176"/>
        <v>2501.5309999999999</v>
      </c>
      <c r="M2261" s="4">
        <f t="shared" si="177"/>
        <v>0.6</v>
      </c>
      <c r="N2261" s="1">
        <f t="shared" si="178"/>
        <v>45766</v>
      </c>
      <c r="O2261" s="3">
        <f>(Table13[[#This Row],[Units_Sold]]*Table13[[#This Row],[Unit_Price_Cleaned]]*(1-Table13[[#This Row],[Discount Cleaned]]))</f>
        <v>2001.2248</v>
      </c>
      <c r="P2261" t="str">
        <f t="shared" si="179"/>
        <v>Profit</v>
      </c>
      <c r="Q2261" t="str" cm="1">
        <f t="array" ref="Q2261">IF(K2261="",INDEX($K$2:$K$2501,MATCH(MAX(COUNTIF($K$2:$K$2501,$K$2:$K$2501)),COUNTIF($K$2:$K$2501,$K$2:$K$2501),0)),K2261)</f>
        <v>B2B</v>
      </c>
    </row>
    <row r="2262" spans="1:17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 s="3">
        <f t="shared" si="175"/>
        <v>-1881.28</v>
      </c>
      <c r="I2262" s="1">
        <v>45667</v>
      </c>
      <c r="J2262" t="s">
        <v>22</v>
      </c>
      <c r="K2262" t="s">
        <v>16</v>
      </c>
      <c r="L2262" s="2">
        <f t="shared" si="176"/>
        <v>940.64</v>
      </c>
      <c r="M2262" s="4">
        <f t="shared" si="177"/>
        <v>0.67</v>
      </c>
      <c r="N2262" s="1">
        <f t="shared" si="178"/>
        <v>45667</v>
      </c>
      <c r="O2262" s="3">
        <f>(Table13[[#This Row],[Units_Sold]]*Table13[[#This Row],[Unit_Price_Cleaned]]*(1-Table13[[#This Row],[Discount Cleaned]]))</f>
        <v>-620.8223999999999</v>
      </c>
      <c r="P2262" t="str">
        <f t="shared" si="179"/>
        <v>Loss</v>
      </c>
      <c r="Q2262" t="str" cm="1">
        <f t="array" ref="Q2262">IF(K2262="",INDEX($K$2:$K$2501,MATCH(MAX(COUNTIF($K$2:$K$2501,$K$2:$K$2501)),COUNTIF($K$2:$K$2501,$K$2:$K$2501),0)),K2262)</f>
        <v>B2C</v>
      </c>
    </row>
    <row r="2263" spans="1:17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 s="3">
        <f t="shared" si="175"/>
        <v>-2725.8557142857148</v>
      </c>
      <c r="I2263" s="1">
        <v>45789</v>
      </c>
      <c r="J2263" t="s">
        <v>46</v>
      </c>
      <c r="K2263" t="s">
        <v>16</v>
      </c>
      <c r="L2263" s="2">
        <f t="shared" si="176"/>
        <v>2725.8557142857148</v>
      </c>
      <c r="M2263" s="4">
        <f t="shared" si="177"/>
        <v>0.6</v>
      </c>
      <c r="N2263" s="1">
        <f t="shared" si="178"/>
        <v>45789</v>
      </c>
      <c r="O2263" s="3">
        <f>(Table13[[#This Row],[Units_Sold]]*Table13[[#This Row],[Unit_Price_Cleaned]]*(1-Table13[[#This Row],[Discount Cleaned]]))</f>
        <v>-1090.3422857142859</v>
      </c>
      <c r="P2263" t="str">
        <f t="shared" si="179"/>
        <v>Loss</v>
      </c>
      <c r="Q2263" t="str" cm="1">
        <f t="array" ref="Q2263">IF(K2263="",INDEX($K$2:$K$2501,MATCH(MAX(COUNTIF($K$2:$K$2501,$K$2:$K$2501)),COUNTIF($K$2:$K$2501,$K$2:$K$2501),0)),K2263)</f>
        <v>B2C</v>
      </c>
    </row>
    <row r="2264" spans="1:17" x14ac:dyDescent="0.3">
      <c r="A2264">
        <v>3262</v>
      </c>
      <c r="B2264" t="s">
        <v>2281</v>
      </c>
      <c r="C2264" t="s">
        <v>29</v>
      </c>
      <c r="D2264" t="s">
        <v>141</v>
      </c>
      <c r="E2264">
        <v>2</v>
      </c>
      <c r="F2264">
        <v>3727.53</v>
      </c>
      <c r="H2264" s="3">
        <f t="shared" si="175"/>
        <v>7455.06</v>
      </c>
      <c r="J2264" t="s">
        <v>18</v>
      </c>
      <c r="L2264" s="2">
        <f t="shared" si="176"/>
        <v>3727.53</v>
      </c>
      <c r="M2264" s="4">
        <f t="shared" si="177"/>
        <v>0.6</v>
      </c>
      <c r="N2264" s="1">
        <f t="shared" si="178"/>
        <v>45782</v>
      </c>
      <c r="O2264" s="3">
        <f>(Table13[[#This Row],[Units_Sold]]*Table13[[#This Row],[Unit_Price_Cleaned]]*(1-Table13[[#This Row],[Discount Cleaned]]))</f>
        <v>2982.0240000000003</v>
      </c>
      <c r="P2264" t="str">
        <f t="shared" si="179"/>
        <v>Profit</v>
      </c>
      <c r="Q2264" t="str" cm="1">
        <f t="array" ref="Q2264">IF(K2264="",INDEX($K$2:$K$2501,MATCH(MAX(COUNTIF($K$2:$K$2501,$K$2:$K$2501)),COUNTIF($K$2:$K$2501,$K$2:$K$2501),0)),K2264)</f>
        <v>B2B</v>
      </c>
    </row>
    <row r="2265" spans="1:17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 s="3">
        <f t="shared" si="175"/>
        <v>18728.939999999999</v>
      </c>
      <c r="I2265" s="1">
        <v>45678</v>
      </c>
      <c r="J2265" t="s">
        <v>40</v>
      </c>
      <c r="K2265" t="s">
        <v>23</v>
      </c>
      <c r="L2265" s="2">
        <f t="shared" si="176"/>
        <v>3121.49</v>
      </c>
      <c r="M2265" s="4">
        <f t="shared" si="177"/>
        <v>0.6</v>
      </c>
      <c r="N2265" s="1">
        <f t="shared" si="178"/>
        <v>45678</v>
      </c>
      <c r="O2265" s="3">
        <f>(Table13[[#This Row],[Units_Sold]]*Table13[[#This Row],[Unit_Price_Cleaned]]*(1-Table13[[#This Row],[Discount Cleaned]]))</f>
        <v>7491.576</v>
      </c>
      <c r="P2265" t="str">
        <f t="shared" si="179"/>
        <v>Profit</v>
      </c>
      <c r="Q2265" t="str" cm="1">
        <f t="array" ref="Q2265">IF(K2265="",INDEX($K$2:$K$2501,MATCH(MAX(COUNTIF($K$2:$K$2501,$K$2:$K$2501)),COUNTIF($K$2:$K$2501,$K$2:$K$2501),0)),K2265)</f>
        <v>B2B</v>
      </c>
    </row>
    <row r="2266" spans="1:17" x14ac:dyDescent="0.3">
      <c r="A2266">
        <v>3264</v>
      </c>
      <c r="B2266" t="s">
        <v>2283</v>
      </c>
      <c r="C2266" t="s">
        <v>38</v>
      </c>
      <c r="D2266" t="s">
        <v>63</v>
      </c>
      <c r="E2266">
        <v>2</v>
      </c>
      <c r="F2266">
        <v>944.36</v>
      </c>
      <c r="G2266">
        <v>7.0000000000000007E-2</v>
      </c>
      <c r="H2266" s="3">
        <f t="shared" si="175"/>
        <v>1888.72</v>
      </c>
      <c r="I2266" s="1">
        <v>45831</v>
      </c>
      <c r="J2266" t="s">
        <v>56</v>
      </c>
      <c r="L2266" s="2">
        <f t="shared" si="176"/>
        <v>944.36</v>
      </c>
      <c r="M2266" s="4">
        <f t="shared" si="177"/>
        <v>7.0000000000000007E-2</v>
      </c>
      <c r="N2266" s="1">
        <f t="shared" si="178"/>
        <v>45831</v>
      </c>
      <c r="O2266" s="3">
        <f>(Table13[[#This Row],[Units_Sold]]*Table13[[#This Row],[Unit_Price_Cleaned]]*(1-Table13[[#This Row],[Discount Cleaned]]))</f>
        <v>1756.5095999999999</v>
      </c>
      <c r="P2266" t="str">
        <f t="shared" si="179"/>
        <v>Profit</v>
      </c>
      <c r="Q2266" t="str" cm="1">
        <f t="array" ref="Q2266">IF(K2266="",INDEX($K$2:$K$2501,MATCH(MAX(COUNTIF($K$2:$K$2501,$K$2:$K$2501)),COUNTIF($K$2:$K$2501,$K$2:$K$2501),0)),K2266)</f>
        <v>B2B</v>
      </c>
    </row>
    <row r="2267" spans="1:17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 s="3">
        <f t="shared" si="175"/>
        <v>-1882.93</v>
      </c>
      <c r="I2267" s="1">
        <v>45835</v>
      </c>
      <c r="J2267" t="s">
        <v>40</v>
      </c>
      <c r="K2267" t="s">
        <v>23</v>
      </c>
      <c r="L2267" s="2">
        <f t="shared" si="176"/>
        <v>1882.93</v>
      </c>
      <c r="M2267" s="4">
        <f t="shared" si="177"/>
        <v>0.6</v>
      </c>
      <c r="N2267" s="1">
        <f t="shared" si="178"/>
        <v>45835</v>
      </c>
      <c r="O2267" s="3">
        <f>(Table13[[#This Row],[Units_Sold]]*Table13[[#This Row],[Unit_Price_Cleaned]]*(1-Table13[[#This Row],[Discount Cleaned]]))</f>
        <v>-753.17200000000003</v>
      </c>
      <c r="P2267" t="str">
        <f t="shared" si="179"/>
        <v>Loss</v>
      </c>
      <c r="Q2267" t="str" cm="1">
        <f t="array" ref="Q2267">IF(K2267="",INDEX($K$2:$K$2501,MATCH(MAX(COUNTIF($K$2:$K$2501,$K$2:$K$2501)),COUNTIF($K$2:$K$2501,$K$2:$K$2501),0)),K2267)</f>
        <v>B2B</v>
      </c>
    </row>
    <row r="2268" spans="1:17" x14ac:dyDescent="0.3">
      <c r="A2268">
        <v>3266</v>
      </c>
      <c r="B2268" t="s">
        <v>2285</v>
      </c>
      <c r="C2268" t="s">
        <v>33</v>
      </c>
      <c r="D2268" t="s">
        <v>72</v>
      </c>
      <c r="E2268">
        <v>2</v>
      </c>
      <c r="F2268">
        <v>3349.58</v>
      </c>
      <c r="H2268" s="3">
        <f t="shared" si="175"/>
        <v>6699.16</v>
      </c>
      <c r="J2268" t="s">
        <v>22</v>
      </c>
      <c r="K2268" t="s">
        <v>23</v>
      </c>
      <c r="L2268" s="2">
        <f t="shared" si="176"/>
        <v>3349.58</v>
      </c>
      <c r="M2268" s="4">
        <f t="shared" si="177"/>
        <v>0.6</v>
      </c>
      <c r="N2268" s="1">
        <f t="shared" si="178"/>
        <v>45782</v>
      </c>
      <c r="O2268" s="3">
        <f>(Table13[[#This Row],[Units_Sold]]*Table13[[#This Row],[Unit_Price_Cleaned]]*(1-Table13[[#This Row],[Discount Cleaned]]))</f>
        <v>2679.6640000000002</v>
      </c>
      <c r="P2268" t="str">
        <f t="shared" si="179"/>
        <v>Profit</v>
      </c>
      <c r="Q2268" t="str" cm="1">
        <f t="array" ref="Q2268">IF(K2268="",INDEX($K$2:$K$2501,MATCH(MAX(COUNTIF($K$2:$K$2501,$K$2:$K$2501)),COUNTIF($K$2:$K$2501,$K$2:$K$2501),0)),K2268)</f>
        <v>B2B</v>
      </c>
    </row>
    <row r="2269" spans="1:17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 s="3">
        <f t="shared" si="175"/>
        <v>3965.8</v>
      </c>
      <c r="I2269" s="1">
        <v>45587</v>
      </c>
      <c r="J2269" t="s">
        <v>40</v>
      </c>
      <c r="K2269" t="s">
        <v>23</v>
      </c>
      <c r="L2269" s="2">
        <f t="shared" si="176"/>
        <v>3965.8</v>
      </c>
      <c r="M2269" s="4">
        <f t="shared" si="177"/>
        <v>0.48</v>
      </c>
      <c r="N2269" s="1">
        <f t="shared" si="178"/>
        <v>45587</v>
      </c>
      <c r="O2269" s="3">
        <f>(Table13[[#This Row],[Units_Sold]]*Table13[[#This Row],[Unit_Price_Cleaned]]*(1-Table13[[#This Row],[Discount Cleaned]]))</f>
        <v>2062.2160000000003</v>
      </c>
      <c r="P2269" t="str">
        <f t="shared" si="179"/>
        <v>Profit</v>
      </c>
      <c r="Q2269" t="str" cm="1">
        <f t="array" ref="Q2269">IF(K2269="",INDEX($K$2:$K$2501,MATCH(MAX(COUNTIF($K$2:$K$2501,$K$2:$K$2501)),COUNTIF($K$2:$K$2501,$K$2:$K$2501),0)),K2269)</f>
        <v>B2B</v>
      </c>
    </row>
    <row r="2270" spans="1:17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 s="3">
        <f t="shared" si="175"/>
        <v>-5119.3334615384629</v>
      </c>
      <c r="I2270" s="1">
        <v>45347</v>
      </c>
      <c r="J2270" t="s">
        <v>46</v>
      </c>
      <c r="K2270" t="s">
        <v>16</v>
      </c>
      <c r="L2270" s="2">
        <f t="shared" si="176"/>
        <v>2559.6667307692314</v>
      </c>
      <c r="M2270" s="4">
        <f t="shared" si="177"/>
        <v>0.6</v>
      </c>
      <c r="N2270" s="1">
        <f t="shared" si="178"/>
        <v>45347</v>
      </c>
      <c r="O2270" s="3">
        <f>(Table13[[#This Row],[Units_Sold]]*Table13[[#This Row],[Unit_Price_Cleaned]]*(1-Table13[[#This Row],[Discount Cleaned]]))</f>
        <v>-2047.7333846153851</v>
      </c>
      <c r="P2270" t="str">
        <f t="shared" si="179"/>
        <v>Loss</v>
      </c>
      <c r="Q2270" t="str" cm="1">
        <f t="array" ref="Q2270">IF(K2270="",INDEX($K$2:$K$2501,MATCH(MAX(COUNTIF($K$2:$K$2501,$K$2:$K$2501)),COUNTIF($K$2:$K$2501,$K$2:$K$2501),0)),K2270)</f>
        <v>B2C</v>
      </c>
    </row>
    <row r="2271" spans="1:17" x14ac:dyDescent="0.3">
      <c r="A2271">
        <v>3269</v>
      </c>
      <c r="B2271" t="s">
        <v>2288</v>
      </c>
      <c r="C2271" t="s">
        <v>33</v>
      </c>
      <c r="D2271" t="s">
        <v>34</v>
      </c>
      <c r="E2271">
        <v>2</v>
      </c>
      <c r="F2271">
        <v>2998.25</v>
      </c>
      <c r="G2271">
        <v>1.19</v>
      </c>
      <c r="H2271" s="3">
        <f t="shared" si="175"/>
        <v>5996.5</v>
      </c>
      <c r="I2271" s="1">
        <v>45380</v>
      </c>
      <c r="J2271" t="s">
        <v>18</v>
      </c>
      <c r="L2271" s="2">
        <f t="shared" si="176"/>
        <v>2998.25</v>
      </c>
      <c r="M2271" s="4">
        <f t="shared" si="177"/>
        <v>1.19</v>
      </c>
      <c r="N2271" s="1">
        <f t="shared" si="178"/>
        <v>45380</v>
      </c>
      <c r="O2271" s="3">
        <f>(Table13[[#This Row],[Units_Sold]]*Table13[[#This Row],[Unit_Price_Cleaned]]*(1-Table13[[#This Row],[Discount Cleaned]]))</f>
        <v>-1139.3349999999996</v>
      </c>
      <c r="P2271" t="str">
        <f t="shared" si="179"/>
        <v>Loss</v>
      </c>
      <c r="Q2271" t="str" cm="1">
        <f t="array" ref="Q2271">IF(K2271="",INDEX($K$2:$K$2501,MATCH(MAX(COUNTIF($K$2:$K$2501,$K$2:$K$2501)),COUNTIF($K$2:$K$2501,$K$2:$K$2501),0)),K2271)</f>
        <v>B2B</v>
      </c>
    </row>
    <row r="2272" spans="1:17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 s="3">
        <f t="shared" si="175"/>
        <v>9572.2199999999993</v>
      </c>
      <c r="J2272" t="s">
        <v>18</v>
      </c>
      <c r="L2272" s="2">
        <f t="shared" si="176"/>
        <v>3190.74</v>
      </c>
      <c r="M2272" s="4">
        <f t="shared" si="177"/>
        <v>0.96</v>
      </c>
      <c r="N2272" s="1">
        <f t="shared" si="178"/>
        <v>45782</v>
      </c>
      <c r="O2272" s="3">
        <f>(Table13[[#This Row],[Units_Sold]]*Table13[[#This Row],[Unit_Price_Cleaned]]*(1-Table13[[#This Row],[Discount Cleaned]]))</f>
        <v>382.88880000000029</v>
      </c>
      <c r="P2272" t="str">
        <f t="shared" si="179"/>
        <v>Loss</v>
      </c>
      <c r="Q2272" t="str" cm="1">
        <f t="array" ref="Q2272">IF(K2272="",INDEX($K$2:$K$2501,MATCH(MAX(COUNTIF($K$2:$K$2501,$K$2:$K$2501)),COUNTIF($K$2:$K$2501,$K$2:$K$2501),0)),K2272)</f>
        <v>B2B</v>
      </c>
    </row>
    <row r="2273" spans="1:17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 s="3">
        <f t="shared" si="175"/>
        <v>0</v>
      </c>
      <c r="I2273" s="1">
        <v>45662</v>
      </c>
      <c r="J2273" t="s">
        <v>18</v>
      </c>
      <c r="K2273" t="s">
        <v>16</v>
      </c>
      <c r="L2273" s="2">
        <f t="shared" si="176"/>
        <v>2672.26</v>
      </c>
      <c r="M2273" s="4">
        <f t="shared" si="177"/>
        <v>0.28999999999999998</v>
      </c>
      <c r="N2273" s="1">
        <f t="shared" si="178"/>
        <v>45662</v>
      </c>
      <c r="O2273" s="3">
        <f>(Table13[[#This Row],[Units_Sold]]*Table13[[#This Row],[Unit_Price_Cleaned]]*(1-Table13[[#This Row],[Discount Cleaned]]))</f>
        <v>0</v>
      </c>
      <c r="P2273" t="str">
        <f t="shared" si="179"/>
        <v>Loss</v>
      </c>
      <c r="Q2273" t="str" cm="1">
        <f t="array" ref="Q2273">IF(K2273="",INDEX($K$2:$K$2501,MATCH(MAX(COUNTIF($K$2:$K$2501,$K$2:$K$2501)),COUNTIF($K$2:$K$2501,$K$2:$K$2501),0)),K2273)</f>
        <v>B2C</v>
      </c>
    </row>
    <row r="2274" spans="1:17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 s="3">
        <f t="shared" si="175"/>
        <v>12709.349999999999</v>
      </c>
      <c r="I2274" s="1">
        <v>45531</v>
      </c>
      <c r="J2274" t="s">
        <v>22</v>
      </c>
      <c r="K2274" t="s">
        <v>16</v>
      </c>
      <c r="L2274" s="2">
        <f t="shared" si="176"/>
        <v>4236.45</v>
      </c>
      <c r="M2274" s="4">
        <f t="shared" si="177"/>
        <v>0.6</v>
      </c>
      <c r="N2274" s="1">
        <f t="shared" si="178"/>
        <v>45531</v>
      </c>
      <c r="O2274" s="3">
        <f>(Table13[[#This Row],[Units_Sold]]*Table13[[#This Row],[Unit_Price_Cleaned]]*(1-Table13[[#This Row],[Discount Cleaned]]))</f>
        <v>5083.74</v>
      </c>
      <c r="P2274" t="str">
        <f t="shared" si="179"/>
        <v>Profit</v>
      </c>
      <c r="Q2274" t="str" cm="1">
        <f t="array" ref="Q2274">IF(K2274="",INDEX($K$2:$K$2501,MATCH(MAX(COUNTIF($K$2:$K$2501,$K$2:$K$2501)),COUNTIF($K$2:$K$2501,$K$2:$K$2501),0)),K2274)</f>
        <v>B2C</v>
      </c>
    </row>
    <row r="2275" spans="1:17" x14ac:dyDescent="0.3">
      <c r="A2275">
        <v>3273</v>
      </c>
      <c r="B2275" t="s">
        <v>1301</v>
      </c>
      <c r="C2275" t="s">
        <v>25</v>
      </c>
      <c r="D2275" t="s">
        <v>86</v>
      </c>
      <c r="E2275">
        <v>2</v>
      </c>
      <c r="F2275">
        <v>4089.68</v>
      </c>
      <c r="H2275" s="3">
        <f t="shared" si="175"/>
        <v>8179.36</v>
      </c>
      <c r="I2275" s="1">
        <v>45516</v>
      </c>
      <c r="J2275" t="s">
        <v>40</v>
      </c>
      <c r="K2275" t="s">
        <v>23</v>
      </c>
      <c r="L2275" s="2">
        <f t="shared" si="176"/>
        <v>4089.68</v>
      </c>
      <c r="M2275" s="4">
        <f t="shared" si="177"/>
        <v>0.6</v>
      </c>
      <c r="N2275" s="1">
        <f t="shared" si="178"/>
        <v>45516</v>
      </c>
      <c r="O2275" s="3">
        <f>(Table13[[#This Row],[Units_Sold]]*Table13[[#This Row],[Unit_Price_Cleaned]]*(1-Table13[[#This Row],[Discount Cleaned]]))</f>
        <v>3271.7440000000001</v>
      </c>
      <c r="P2275" t="str">
        <f t="shared" si="179"/>
        <v>Profit</v>
      </c>
      <c r="Q2275" t="str" cm="1">
        <f t="array" ref="Q2275">IF(K2275="",INDEX($K$2:$K$2501,MATCH(MAX(COUNTIF($K$2:$K$2501,$K$2:$K$2501)),COUNTIF($K$2:$K$2501,$K$2:$K$2501),0)),K2275)</f>
        <v>B2B</v>
      </c>
    </row>
    <row r="2276" spans="1:17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 s="3">
        <f t="shared" si="175"/>
        <v>-8818.44</v>
      </c>
      <c r="I2276" s="1">
        <v>45534</v>
      </c>
      <c r="J2276" t="s">
        <v>15</v>
      </c>
      <c r="K2276" t="s">
        <v>16</v>
      </c>
      <c r="L2276" s="2">
        <f t="shared" si="176"/>
        <v>4409.22</v>
      </c>
      <c r="M2276" s="4">
        <f t="shared" si="177"/>
        <v>0.6</v>
      </c>
      <c r="N2276" s="1">
        <f t="shared" si="178"/>
        <v>45534</v>
      </c>
      <c r="O2276" s="3">
        <f>(Table13[[#This Row],[Units_Sold]]*Table13[[#This Row],[Unit_Price_Cleaned]]*(1-Table13[[#This Row],[Discount Cleaned]]))</f>
        <v>-3527.3760000000002</v>
      </c>
      <c r="P2276" t="str">
        <f t="shared" si="179"/>
        <v>Loss</v>
      </c>
      <c r="Q2276" t="str" cm="1">
        <f t="array" ref="Q2276">IF(K2276="",INDEX($K$2:$K$2501,MATCH(MAX(COUNTIF($K$2:$K$2501,$K$2:$K$2501)),COUNTIF($K$2:$K$2501,$K$2:$K$2501),0)),K2276)</f>
        <v>B2C</v>
      </c>
    </row>
    <row r="2277" spans="1:17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 s="3">
        <f t="shared" si="175"/>
        <v>16980.795428571437</v>
      </c>
      <c r="I2277" s="1">
        <v>45520</v>
      </c>
      <c r="J2277" t="s">
        <v>18</v>
      </c>
      <c r="K2277" t="s">
        <v>16</v>
      </c>
      <c r="L2277" s="2">
        <f t="shared" si="176"/>
        <v>2830.1325714285731</v>
      </c>
      <c r="M2277" s="4">
        <f t="shared" si="177"/>
        <v>0.6</v>
      </c>
      <c r="N2277" s="1">
        <f t="shared" si="178"/>
        <v>45520</v>
      </c>
      <c r="O2277" s="3">
        <f>(Table13[[#This Row],[Units_Sold]]*Table13[[#This Row],[Unit_Price_Cleaned]]*(1-Table13[[#This Row],[Discount Cleaned]]))</f>
        <v>6792.3181714285747</v>
      </c>
      <c r="P2277" t="str">
        <f t="shared" si="179"/>
        <v>Profit</v>
      </c>
      <c r="Q2277" t="str" cm="1">
        <f t="array" ref="Q2277">IF(K2277="",INDEX($K$2:$K$2501,MATCH(MAX(COUNTIF($K$2:$K$2501,$K$2:$K$2501)),COUNTIF($K$2:$K$2501,$K$2:$K$2501),0)),K2277)</f>
        <v>B2C</v>
      </c>
    </row>
    <row r="2278" spans="1:17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 s="3">
        <f t="shared" si="175"/>
        <v>17050.578367346945</v>
      </c>
      <c r="I2278" s="1">
        <v>45664</v>
      </c>
      <c r="J2278" t="s">
        <v>46</v>
      </c>
      <c r="K2278" t="s">
        <v>16</v>
      </c>
      <c r="L2278" s="2">
        <f t="shared" si="176"/>
        <v>2841.7630612244907</v>
      </c>
      <c r="M2278" s="4">
        <f t="shared" si="177"/>
        <v>0.6</v>
      </c>
      <c r="N2278" s="1">
        <f t="shared" si="178"/>
        <v>45664</v>
      </c>
      <c r="O2278" s="3">
        <f>(Table13[[#This Row],[Units_Sold]]*Table13[[#This Row],[Unit_Price_Cleaned]]*(1-Table13[[#This Row],[Discount Cleaned]]))</f>
        <v>6820.2313469387782</v>
      </c>
      <c r="P2278" t="str">
        <f t="shared" si="179"/>
        <v>Profit</v>
      </c>
      <c r="Q2278" t="str" cm="1">
        <f t="array" ref="Q2278">IF(K2278="",INDEX($K$2:$K$2501,MATCH(MAX(COUNTIF($K$2:$K$2501,$K$2:$K$2501)),COUNTIF($K$2:$K$2501,$K$2:$K$2501),0)),K2278)</f>
        <v>B2C</v>
      </c>
    </row>
    <row r="2279" spans="1:17" x14ac:dyDescent="0.3">
      <c r="A2279">
        <v>3277</v>
      </c>
      <c r="B2279" t="s">
        <v>2294</v>
      </c>
      <c r="C2279" t="s">
        <v>20</v>
      </c>
      <c r="D2279" t="s">
        <v>88</v>
      </c>
      <c r="E2279">
        <v>2</v>
      </c>
      <c r="F2279">
        <v>3583.06</v>
      </c>
      <c r="H2279" s="3">
        <f t="shared" si="175"/>
        <v>7166.12</v>
      </c>
      <c r="J2279" t="s">
        <v>18</v>
      </c>
      <c r="K2279" t="s">
        <v>16</v>
      </c>
      <c r="L2279" s="2">
        <f t="shared" si="176"/>
        <v>3583.06</v>
      </c>
      <c r="M2279" s="4">
        <f t="shared" si="177"/>
        <v>0.6</v>
      </c>
      <c r="N2279" s="1">
        <f t="shared" si="178"/>
        <v>45782</v>
      </c>
      <c r="O2279" s="3">
        <f>(Table13[[#This Row],[Units_Sold]]*Table13[[#This Row],[Unit_Price_Cleaned]]*(1-Table13[[#This Row],[Discount Cleaned]]))</f>
        <v>2866.4480000000003</v>
      </c>
      <c r="P2279" t="str">
        <f t="shared" si="179"/>
        <v>Profit</v>
      </c>
      <c r="Q2279" t="str" cm="1">
        <f t="array" ref="Q2279">IF(K2279="",INDEX($K$2:$K$2501,MATCH(MAX(COUNTIF($K$2:$K$2501,$K$2:$K$2501)),COUNTIF($K$2:$K$2501,$K$2:$K$2501),0)),K2279)</f>
        <v>B2C</v>
      </c>
    </row>
    <row r="2280" spans="1:17" x14ac:dyDescent="0.3">
      <c r="A2280">
        <v>3278</v>
      </c>
      <c r="B2280" t="s">
        <v>2295</v>
      </c>
      <c r="C2280" t="s">
        <v>29</v>
      </c>
      <c r="D2280" t="s">
        <v>30</v>
      </c>
      <c r="E2280">
        <v>2</v>
      </c>
      <c r="F2280">
        <v>3767.69</v>
      </c>
      <c r="G2280">
        <v>0.46</v>
      </c>
      <c r="H2280" s="3">
        <f t="shared" si="175"/>
        <v>7535.38</v>
      </c>
      <c r="I2280" s="1">
        <v>45556</v>
      </c>
      <c r="J2280" t="s">
        <v>40</v>
      </c>
      <c r="K2280" t="s">
        <v>16</v>
      </c>
      <c r="L2280" s="2">
        <f t="shared" si="176"/>
        <v>3767.69</v>
      </c>
      <c r="M2280" s="4">
        <f t="shared" si="177"/>
        <v>0.46</v>
      </c>
      <c r="N2280" s="1">
        <f t="shared" si="178"/>
        <v>45556</v>
      </c>
      <c r="O2280" s="3">
        <f>(Table13[[#This Row],[Units_Sold]]*Table13[[#This Row],[Unit_Price_Cleaned]]*(1-Table13[[#This Row],[Discount Cleaned]]))</f>
        <v>4069.1052000000004</v>
      </c>
      <c r="P2280" t="str">
        <f t="shared" si="179"/>
        <v>Profit</v>
      </c>
      <c r="Q2280" t="str" cm="1">
        <f t="array" ref="Q2280">IF(K2280="",INDEX($K$2:$K$2501,MATCH(MAX(COUNTIF($K$2:$K$2501,$K$2:$K$2501)),COUNTIF($K$2:$K$2501,$K$2:$K$2501),0)),K2280)</f>
        <v>B2C</v>
      </c>
    </row>
    <row r="2281" spans="1:17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 s="3">
        <f t="shared" si="175"/>
        <v>0</v>
      </c>
      <c r="I2281" s="1">
        <v>45553</v>
      </c>
      <c r="J2281" t="s">
        <v>40</v>
      </c>
      <c r="K2281" t="s">
        <v>16</v>
      </c>
      <c r="L2281" s="2">
        <f t="shared" si="176"/>
        <v>4643.96</v>
      </c>
      <c r="M2281" s="4">
        <f t="shared" si="177"/>
        <v>0.82</v>
      </c>
      <c r="N2281" s="1">
        <f t="shared" si="178"/>
        <v>45553</v>
      </c>
      <c r="O2281" s="3">
        <f>(Table13[[#This Row],[Units_Sold]]*Table13[[#This Row],[Unit_Price_Cleaned]]*(1-Table13[[#This Row],[Discount Cleaned]]))</f>
        <v>0</v>
      </c>
      <c r="P2281" t="str">
        <f t="shared" si="179"/>
        <v>Loss</v>
      </c>
      <c r="Q2281" t="str" cm="1">
        <f t="array" ref="Q2281">IF(K2281="",INDEX($K$2:$K$2501,MATCH(MAX(COUNTIF($K$2:$K$2501,$K$2:$K$2501)),COUNTIF($K$2:$K$2501,$K$2:$K$2501),0)),K2281)</f>
        <v>B2C</v>
      </c>
    </row>
    <row r="2282" spans="1:17" x14ac:dyDescent="0.3">
      <c r="A2282">
        <v>3280</v>
      </c>
      <c r="B2282" t="s">
        <v>2297</v>
      </c>
      <c r="C2282" t="s">
        <v>38</v>
      </c>
      <c r="D2282" t="s">
        <v>63</v>
      </c>
      <c r="E2282">
        <v>2</v>
      </c>
      <c r="H2282" s="3">
        <f t="shared" si="175"/>
        <v>5690.4839344262318</v>
      </c>
      <c r="I2282" s="1">
        <v>45211</v>
      </c>
      <c r="J2282" t="s">
        <v>56</v>
      </c>
      <c r="L2282" s="2">
        <f t="shared" si="176"/>
        <v>2845.2419672131159</v>
      </c>
      <c r="M2282" s="4">
        <f t="shared" si="177"/>
        <v>0.6</v>
      </c>
      <c r="N2282" s="1">
        <f t="shared" si="178"/>
        <v>45211</v>
      </c>
      <c r="O2282" s="3">
        <f>(Table13[[#This Row],[Units_Sold]]*Table13[[#This Row],[Unit_Price_Cleaned]]*(1-Table13[[#This Row],[Discount Cleaned]]))</f>
        <v>2276.193573770493</v>
      </c>
      <c r="P2282" t="str">
        <f t="shared" si="179"/>
        <v>Profit</v>
      </c>
      <c r="Q2282" t="str" cm="1">
        <f t="array" ref="Q2282">IF(K2282="",INDEX($K$2:$K$2501,MATCH(MAX(COUNTIF($K$2:$K$2501,$K$2:$K$2501)),COUNTIF($K$2:$K$2501,$K$2:$K$2501),0)),K2282)</f>
        <v>B2B</v>
      </c>
    </row>
    <row r="2283" spans="1:17" x14ac:dyDescent="0.3">
      <c r="A2283">
        <v>3281</v>
      </c>
      <c r="B2283" t="s">
        <v>2298</v>
      </c>
      <c r="C2283" t="s">
        <v>20</v>
      </c>
      <c r="D2283" t="s">
        <v>80</v>
      </c>
      <c r="E2283">
        <v>2</v>
      </c>
      <c r="G2283">
        <v>0.23</v>
      </c>
      <c r="H2283" s="3">
        <f t="shared" si="175"/>
        <v>4967.1688000000004</v>
      </c>
      <c r="I2283" s="1">
        <v>45387</v>
      </c>
      <c r="J2283" t="s">
        <v>40</v>
      </c>
      <c r="L2283" s="2">
        <f t="shared" si="176"/>
        <v>2483.5844000000002</v>
      </c>
      <c r="M2283" s="4">
        <f t="shared" si="177"/>
        <v>0.23</v>
      </c>
      <c r="N2283" s="1">
        <f t="shared" si="178"/>
        <v>45387</v>
      </c>
      <c r="O2283" s="3">
        <f>(Table13[[#This Row],[Units_Sold]]*Table13[[#This Row],[Unit_Price_Cleaned]]*(1-Table13[[#This Row],[Discount Cleaned]]))</f>
        <v>3824.7199760000003</v>
      </c>
      <c r="P2283" t="str">
        <f t="shared" si="179"/>
        <v>Profit</v>
      </c>
      <c r="Q2283" t="str" cm="1">
        <f t="array" ref="Q2283">IF(K2283="",INDEX($K$2:$K$2501,MATCH(MAX(COUNTIF($K$2:$K$2501,$K$2:$K$2501)),COUNTIF($K$2:$K$2501,$K$2:$K$2501),0)),K2283)</f>
        <v>B2B</v>
      </c>
    </row>
    <row r="2284" spans="1:17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 s="3">
        <f t="shared" si="175"/>
        <v>8811.92</v>
      </c>
      <c r="I2284" s="1">
        <v>45528</v>
      </c>
      <c r="J2284" t="s">
        <v>40</v>
      </c>
      <c r="K2284" t="s">
        <v>23</v>
      </c>
      <c r="L2284" s="2">
        <f t="shared" si="176"/>
        <v>4405.96</v>
      </c>
      <c r="M2284" s="4">
        <f t="shared" si="177"/>
        <v>0.28000000000000003</v>
      </c>
      <c r="N2284" s="1">
        <f t="shared" si="178"/>
        <v>45528</v>
      </c>
      <c r="O2284" s="3">
        <f>(Table13[[#This Row],[Units_Sold]]*Table13[[#This Row],[Unit_Price_Cleaned]]*(1-Table13[[#This Row],[Discount Cleaned]]))</f>
        <v>6344.5824000000002</v>
      </c>
      <c r="P2284" t="str">
        <f t="shared" si="179"/>
        <v>Profit</v>
      </c>
      <c r="Q2284" t="str" cm="1">
        <f t="array" ref="Q2284">IF(K2284="",INDEX($K$2:$K$2501,MATCH(MAX(COUNTIF($K$2:$K$2501,$K$2:$K$2501)),COUNTIF($K$2:$K$2501,$K$2:$K$2501),0)),K2284)</f>
        <v>B2B</v>
      </c>
    </row>
    <row r="2285" spans="1:17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 s="3">
        <f t="shared" si="175"/>
        <v>9025.1533333333336</v>
      </c>
      <c r="J2285" t="s">
        <v>22</v>
      </c>
      <c r="K2285" t="s">
        <v>16</v>
      </c>
      <c r="L2285" s="2">
        <f t="shared" si="176"/>
        <v>3008.3844444444444</v>
      </c>
      <c r="M2285" s="4">
        <f t="shared" si="177"/>
        <v>0.6</v>
      </c>
      <c r="N2285" s="1">
        <f t="shared" si="178"/>
        <v>45782</v>
      </c>
      <c r="O2285" s="3">
        <f>(Table13[[#This Row],[Units_Sold]]*Table13[[#This Row],[Unit_Price_Cleaned]]*(1-Table13[[#This Row],[Discount Cleaned]]))</f>
        <v>3610.0613333333336</v>
      </c>
      <c r="P2285" t="str">
        <f t="shared" si="179"/>
        <v>Profit</v>
      </c>
      <c r="Q2285" t="str" cm="1">
        <f t="array" ref="Q2285">IF(K2285="",INDEX($K$2:$K$2501,MATCH(MAX(COUNTIF($K$2:$K$2501,$K$2:$K$2501)),COUNTIF($K$2:$K$2501,$K$2:$K$2501),0)),K2285)</f>
        <v>B2C</v>
      </c>
    </row>
    <row r="2286" spans="1:17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 s="3">
        <f t="shared" si="175"/>
        <v>5119.3334615384629</v>
      </c>
      <c r="I2286" s="1">
        <v>45735</v>
      </c>
      <c r="J2286" t="s">
        <v>15</v>
      </c>
      <c r="K2286" t="s">
        <v>16</v>
      </c>
      <c r="L2286" s="2">
        <f t="shared" si="176"/>
        <v>2559.6667307692314</v>
      </c>
      <c r="M2286" s="4">
        <f t="shared" si="177"/>
        <v>0.6</v>
      </c>
      <c r="N2286" s="1">
        <f t="shared" si="178"/>
        <v>45735</v>
      </c>
      <c r="O2286" s="3">
        <f>(Table13[[#This Row],[Units_Sold]]*Table13[[#This Row],[Unit_Price_Cleaned]]*(1-Table13[[#This Row],[Discount Cleaned]]))</f>
        <v>2047.7333846153851</v>
      </c>
      <c r="P2286" t="str">
        <f t="shared" si="179"/>
        <v>Profit</v>
      </c>
      <c r="Q2286" t="str" cm="1">
        <f t="array" ref="Q2286">IF(K2286="",INDEX($K$2:$K$2501,MATCH(MAX(COUNTIF($K$2:$K$2501,$K$2:$K$2501)),COUNTIF($K$2:$K$2501,$K$2:$K$2501),0)),K2286)</f>
        <v>B2C</v>
      </c>
    </row>
    <row r="2287" spans="1:17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 s="3">
        <f t="shared" si="175"/>
        <v>0</v>
      </c>
      <c r="I2287" s="1">
        <v>45709</v>
      </c>
      <c r="J2287" t="s">
        <v>15</v>
      </c>
      <c r="L2287" s="2">
        <f t="shared" si="176"/>
        <v>4347.43</v>
      </c>
      <c r="M2287" s="4">
        <f t="shared" si="177"/>
        <v>0.6</v>
      </c>
      <c r="N2287" s="1">
        <f t="shared" si="178"/>
        <v>45709</v>
      </c>
      <c r="O2287" s="3">
        <f>(Table13[[#This Row],[Units_Sold]]*Table13[[#This Row],[Unit_Price_Cleaned]]*(1-Table13[[#This Row],[Discount Cleaned]]))</f>
        <v>0</v>
      </c>
      <c r="P2287" t="str">
        <f t="shared" si="179"/>
        <v>Loss</v>
      </c>
      <c r="Q2287" t="str" cm="1">
        <f t="array" ref="Q2287">IF(K2287="",INDEX($K$2:$K$2501,MATCH(MAX(COUNTIF($K$2:$K$2501,$K$2:$K$2501)),COUNTIF($K$2:$K$2501,$K$2:$K$2501),0)),K2287)</f>
        <v>B2B</v>
      </c>
    </row>
    <row r="2288" spans="1:17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 s="3">
        <f t="shared" si="175"/>
        <v>-5451.7114285714297</v>
      </c>
      <c r="I2288" s="1">
        <v>45852</v>
      </c>
      <c r="J2288" t="s">
        <v>56</v>
      </c>
      <c r="L2288" s="2">
        <f t="shared" si="176"/>
        <v>2725.8557142857148</v>
      </c>
      <c r="M2288" s="4">
        <f t="shared" si="177"/>
        <v>0.6</v>
      </c>
      <c r="N2288" s="1">
        <f t="shared" si="178"/>
        <v>45852</v>
      </c>
      <c r="O2288" s="3">
        <f>(Table13[[#This Row],[Units_Sold]]*Table13[[#This Row],[Unit_Price_Cleaned]]*(1-Table13[[#This Row],[Discount Cleaned]]))</f>
        <v>-2180.6845714285719</v>
      </c>
      <c r="P2288" t="str">
        <f t="shared" si="179"/>
        <v>Loss</v>
      </c>
      <c r="Q2288" t="str" cm="1">
        <f t="array" ref="Q2288">IF(K2288="",INDEX($K$2:$K$2501,MATCH(MAX(COUNTIF($K$2:$K$2501,$K$2:$K$2501)),COUNTIF($K$2:$K$2501,$K$2:$K$2501),0)),K2288)</f>
        <v>B2B</v>
      </c>
    </row>
    <row r="2289" spans="1:17" x14ac:dyDescent="0.3">
      <c r="A2289">
        <v>3287</v>
      </c>
      <c r="B2289" t="s">
        <v>218</v>
      </c>
      <c r="C2289" t="s">
        <v>20</v>
      </c>
      <c r="D2289" t="s">
        <v>122</v>
      </c>
      <c r="E2289">
        <v>2</v>
      </c>
      <c r="G2289">
        <v>0.21</v>
      </c>
      <c r="H2289" s="3">
        <f t="shared" si="175"/>
        <v>5400.2526086956505</v>
      </c>
      <c r="I2289" s="1">
        <v>45713</v>
      </c>
      <c r="J2289" t="s">
        <v>40</v>
      </c>
      <c r="K2289" t="s">
        <v>16</v>
      </c>
      <c r="L2289" s="2">
        <f t="shared" si="176"/>
        <v>2700.1263043478252</v>
      </c>
      <c r="M2289" s="4">
        <f t="shared" si="177"/>
        <v>0.21</v>
      </c>
      <c r="N2289" s="1">
        <f t="shared" si="178"/>
        <v>45713</v>
      </c>
      <c r="O2289" s="3">
        <f>(Table13[[#This Row],[Units_Sold]]*Table13[[#This Row],[Unit_Price_Cleaned]]*(1-Table13[[#This Row],[Discount Cleaned]]))</f>
        <v>4266.1995608695643</v>
      </c>
      <c r="P2289" t="str">
        <f t="shared" si="179"/>
        <v>Profit</v>
      </c>
      <c r="Q2289" t="str" cm="1">
        <f t="array" ref="Q2289">IF(K2289="",INDEX($K$2:$K$2501,MATCH(MAX(COUNTIF($K$2:$K$2501,$K$2:$K$2501)),COUNTIF($K$2:$K$2501,$K$2:$K$2501),0)),K2289)</f>
        <v>B2C</v>
      </c>
    </row>
    <row r="2290" spans="1:17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 s="3">
        <f t="shared" si="175"/>
        <v>12417.922</v>
      </c>
      <c r="J2290" t="s">
        <v>40</v>
      </c>
      <c r="K2290" t="s">
        <v>16</v>
      </c>
      <c r="L2290" s="2">
        <f t="shared" si="176"/>
        <v>2483.5844000000002</v>
      </c>
      <c r="M2290" s="4">
        <f t="shared" si="177"/>
        <v>0.6</v>
      </c>
      <c r="N2290" s="1">
        <f t="shared" si="178"/>
        <v>45782</v>
      </c>
      <c r="O2290" s="3">
        <f>(Table13[[#This Row],[Units_Sold]]*Table13[[#This Row],[Unit_Price_Cleaned]]*(1-Table13[[#This Row],[Discount Cleaned]]))</f>
        <v>4967.1688000000004</v>
      </c>
      <c r="P2290" t="str">
        <f t="shared" si="179"/>
        <v>Profit</v>
      </c>
      <c r="Q2290" t="str" cm="1">
        <f t="array" ref="Q2290">IF(K2290="",INDEX($K$2:$K$2501,MATCH(MAX(COUNTIF($K$2:$K$2501,$K$2:$K$2501)),COUNTIF($K$2:$K$2501,$K$2:$K$2501),0)),K2290)</f>
        <v>B2C</v>
      </c>
    </row>
    <row r="2291" spans="1:17" x14ac:dyDescent="0.3">
      <c r="A2291">
        <v>3289</v>
      </c>
      <c r="B2291" t="s">
        <v>2305</v>
      </c>
      <c r="C2291" t="s">
        <v>29</v>
      </c>
      <c r="D2291" t="s">
        <v>42</v>
      </c>
      <c r="E2291">
        <v>2</v>
      </c>
      <c r="G2291">
        <v>1.08</v>
      </c>
      <c r="H2291" s="3">
        <f t="shared" si="175"/>
        <v>5119.3334615384629</v>
      </c>
      <c r="J2291" t="s">
        <v>18</v>
      </c>
      <c r="K2291" t="s">
        <v>23</v>
      </c>
      <c r="L2291" s="2">
        <f t="shared" si="176"/>
        <v>2559.6667307692314</v>
      </c>
      <c r="M2291" s="4">
        <f t="shared" si="177"/>
        <v>1.08</v>
      </c>
      <c r="N2291" s="1">
        <f t="shared" si="178"/>
        <v>45782</v>
      </c>
      <c r="O2291" s="3">
        <f>(Table13[[#This Row],[Units_Sold]]*Table13[[#This Row],[Unit_Price_Cleaned]]*(1-Table13[[#This Row],[Discount Cleaned]]))</f>
        <v>-409.54667692307737</v>
      </c>
      <c r="P2291" t="str">
        <f t="shared" si="179"/>
        <v>Loss</v>
      </c>
      <c r="Q2291" t="str" cm="1">
        <f t="array" ref="Q2291">IF(K2291="",INDEX($K$2:$K$2501,MATCH(MAX(COUNTIF($K$2:$K$2501,$K$2:$K$2501)),COUNTIF($K$2:$K$2501,$K$2:$K$2501),0)),K2291)</f>
        <v>B2B</v>
      </c>
    </row>
    <row r="2292" spans="1:17" x14ac:dyDescent="0.3">
      <c r="A2292">
        <v>3290</v>
      </c>
      <c r="B2292" t="s">
        <v>1291</v>
      </c>
      <c r="C2292" t="s">
        <v>20</v>
      </c>
      <c r="D2292" t="s">
        <v>21</v>
      </c>
      <c r="E2292">
        <v>2</v>
      </c>
      <c r="H2292" s="3">
        <f t="shared" si="175"/>
        <v>5362.348727272727</v>
      </c>
      <c r="I2292" s="1">
        <v>45828</v>
      </c>
      <c r="J2292" t="s">
        <v>46</v>
      </c>
      <c r="K2292" t="s">
        <v>23</v>
      </c>
      <c r="L2292" s="2">
        <f t="shared" si="176"/>
        <v>2681.1743636363635</v>
      </c>
      <c r="M2292" s="4">
        <f t="shared" si="177"/>
        <v>0.6</v>
      </c>
      <c r="N2292" s="1">
        <f t="shared" si="178"/>
        <v>45828</v>
      </c>
      <c r="O2292" s="3">
        <f>(Table13[[#This Row],[Units_Sold]]*Table13[[#This Row],[Unit_Price_Cleaned]]*(1-Table13[[#This Row],[Discount Cleaned]]))</f>
        <v>2144.9394909090911</v>
      </c>
      <c r="P2292" t="str">
        <f t="shared" si="179"/>
        <v>Profit</v>
      </c>
      <c r="Q2292" t="str" cm="1">
        <f t="array" ref="Q2292">IF(K2292="",INDEX($K$2:$K$2501,MATCH(MAX(COUNTIF($K$2:$K$2501,$K$2:$K$2501)),COUNTIF($K$2:$K$2501,$K$2:$K$2501),0)),K2292)</f>
        <v>B2B</v>
      </c>
    </row>
    <row r="2293" spans="1:17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 s="3">
        <f t="shared" si="175"/>
        <v>7852.9171153846164</v>
      </c>
      <c r="I2293" s="1">
        <v>45625</v>
      </c>
      <c r="J2293" t="s">
        <v>15</v>
      </c>
      <c r="K2293" t="s">
        <v>16</v>
      </c>
      <c r="L2293" s="2">
        <f t="shared" si="176"/>
        <v>2617.6390384615388</v>
      </c>
      <c r="M2293" s="4">
        <f t="shared" si="177"/>
        <v>0.27</v>
      </c>
      <c r="N2293" s="1">
        <f t="shared" si="178"/>
        <v>45625</v>
      </c>
      <c r="O2293" s="3">
        <f>(Table13[[#This Row],[Units_Sold]]*Table13[[#This Row],[Unit_Price_Cleaned]]*(1-Table13[[#This Row],[Discount Cleaned]]))</f>
        <v>5732.6294942307695</v>
      </c>
      <c r="P2293" t="str">
        <f t="shared" si="179"/>
        <v>Profit</v>
      </c>
      <c r="Q2293" t="str" cm="1">
        <f t="array" ref="Q2293">IF(K2293="",INDEX($K$2:$K$2501,MATCH(MAX(COUNTIF($K$2:$K$2501,$K$2:$K$2501)),COUNTIF($K$2:$K$2501,$K$2:$K$2501),0)),K2293)</f>
        <v>B2C</v>
      </c>
    </row>
    <row r="2294" spans="1:17" x14ac:dyDescent="0.3">
      <c r="A2294">
        <v>3292</v>
      </c>
      <c r="B2294" t="s">
        <v>2307</v>
      </c>
      <c r="C2294" t="s">
        <v>33</v>
      </c>
      <c r="D2294" t="s">
        <v>44</v>
      </c>
      <c r="E2294">
        <v>2</v>
      </c>
      <c r="G2294">
        <v>0.5</v>
      </c>
      <c r="H2294" s="3">
        <f t="shared" si="175"/>
        <v>5683.5261224489814</v>
      </c>
      <c r="I2294" s="1">
        <v>45378</v>
      </c>
      <c r="J2294" t="s">
        <v>56</v>
      </c>
      <c r="K2294" t="s">
        <v>23</v>
      </c>
      <c r="L2294" s="2">
        <f t="shared" si="176"/>
        <v>2841.7630612244907</v>
      </c>
      <c r="M2294" s="4">
        <f t="shared" si="177"/>
        <v>0.5</v>
      </c>
      <c r="N2294" s="1">
        <f t="shared" si="178"/>
        <v>45378</v>
      </c>
      <c r="O2294" s="3">
        <f>(Table13[[#This Row],[Units_Sold]]*Table13[[#This Row],[Unit_Price_Cleaned]]*(1-Table13[[#This Row],[Discount Cleaned]]))</f>
        <v>2841.7630612244907</v>
      </c>
      <c r="P2294" t="str">
        <f t="shared" si="179"/>
        <v>Profit</v>
      </c>
      <c r="Q2294" t="str" cm="1">
        <f t="array" ref="Q2294">IF(K2294="",INDEX($K$2:$K$2501,MATCH(MAX(COUNTIF($K$2:$K$2501,$K$2:$K$2501)),COUNTIF($K$2:$K$2501,$K$2:$K$2501),0)),K2294)</f>
        <v>B2B</v>
      </c>
    </row>
    <row r="2295" spans="1:17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 s="3">
        <f t="shared" si="175"/>
        <v>11104.880800000001</v>
      </c>
      <c r="I2295" s="1">
        <v>45762</v>
      </c>
      <c r="J2295" t="s">
        <v>46</v>
      </c>
      <c r="L2295" s="2">
        <f t="shared" si="176"/>
        <v>2776.2202000000002</v>
      </c>
      <c r="M2295" s="4">
        <f t="shared" si="177"/>
        <v>0.98</v>
      </c>
      <c r="N2295" s="1">
        <f t="shared" si="178"/>
        <v>45762</v>
      </c>
      <c r="O2295" s="3">
        <f>(Table13[[#This Row],[Units_Sold]]*Table13[[#This Row],[Unit_Price_Cleaned]]*(1-Table13[[#This Row],[Discount Cleaned]]))</f>
        <v>222.09761600000022</v>
      </c>
      <c r="P2295" t="str">
        <f t="shared" si="179"/>
        <v>Loss</v>
      </c>
      <c r="Q2295" t="str" cm="1">
        <f t="array" ref="Q2295">IF(K2295="",INDEX($K$2:$K$2501,MATCH(MAX(COUNTIF($K$2:$K$2501,$K$2:$K$2501)),COUNTIF($K$2:$K$2501,$K$2:$K$2501),0)),K2295)</f>
        <v>B2B</v>
      </c>
    </row>
    <row r="2296" spans="1:17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 s="3">
        <f t="shared" si="175"/>
        <v>5267.6</v>
      </c>
      <c r="I2296" s="1">
        <v>45550</v>
      </c>
      <c r="J2296" t="s">
        <v>15</v>
      </c>
      <c r="K2296" t="s">
        <v>16</v>
      </c>
      <c r="L2296" s="2">
        <f t="shared" si="176"/>
        <v>1316.9</v>
      </c>
      <c r="M2296" s="4">
        <f t="shared" si="177"/>
        <v>0.11</v>
      </c>
      <c r="N2296" s="1">
        <f t="shared" si="178"/>
        <v>45550</v>
      </c>
      <c r="O2296" s="3">
        <f>(Table13[[#This Row],[Units_Sold]]*Table13[[#This Row],[Unit_Price_Cleaned]]*(1-Table13[[#This Row],[Discount Cleaned]]))</f>
        <v>4688.1640000000007</v>
      </c>
      <c r="P2296" t="str">
        <f t="shared" si="179"/>
        <v>Profit</v>
      </c>
      <c r="Q2296" t="str" cm="1">
        <f t="array" ref="Q2296">IF(K2296="",INDEX($K$2:$K$2501,MATCH(MAX(COUNTIF($K$2:$K$2501,$K$2:$K$2501)),COUNTIF($K$2:$K$2501,$K$2:$K$2501),0)),K2296)</f>
        <v>B2C</v>
      </c>
    </row>
    <row r="2297" spans="1:17" x14ac:dyDescent="0.3">
      <c r="A2297">
        <v>3295</v>
      </c>
      <c r="B2297" t="s">
        <v>2310</v>
      </c>
      <c r="C2297" t="s">
        <v>33</v>
      </c>
      <c r="D2297" t="s">
        <v>34</v>
      </c>
      <c r="E2297">
        <v>2</v>
      </c>
      <c r="H2297" s="3">
        <f t="shared" si="175"/>
        <v>4974.07923076923</v>
      </c>
      <c r="J2297" t="s">
        <v>56</v>
      </c>
      <c r="L2297" s="2">
        <f t="shared" si="176"/>
        <v>2487.039615384615</v>
      </c>
      <c r="M2297" s="4">
        <f t="shared" si="177"/>
        <v>0.6</v>
      </c>
      <c r="N2297" s="1">
        <f t="shared" si="178"/>
        <v>45782</v>
      </c>
      <c r="O2297" s="3">
        <f>(Table13[[#This Row],[Units_Sold]]*Table13[[#This Row],[Unit_Price_Cleaned]]*(1-Table13[[#This Row],[Discount Cleaned]]))</f>
        <v>1989.631692307692</v>
      </c>
      <c r="P2297" t="str">
        <f t="shared" si="179"/>
        <v>Profit</v>
      </c>
      <c r="Q2297" t="str" cm="1">
        <f t="array" ref="Q2297">IF(K2297="",INDEX($K$2:$K$2501,MATCH(MAX(COUNTIF($K$2:$K$2501,$K$2:$K$2501)),COUNTIF($K$2:$K$2501,$K$2:$K$2501),0)),K2297)</f>
        <v>B2B</v>
      </c>
    </row>
    <row r="2298" spans="1:17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 s="3">
        <f t="shared" si="175"/>
        <v>12435.198076923076</v>
      </c>
      <c r="J2298" t="s">
        <v>18</v>
      </c>
      <c r="K2298" t="s">
        <v>23</v>
      </c>
      <c r="L2298" s="2">
        <f t="shared" si="176"/>
        <v>2487.039615384615</v>
      </c>
      <c r="M2298" s="4">
        <f t="shared" si="177"/>
        <v>0.39</v>
      </c>
      <c r="N2298" s="1">
        <f t="shared" si="178"/>
        <v>45782</v>
      </c>
      <c r="O2298" s="3">
        <f>(Table13[[#This Row],[Units_Sold]]*Table13[[#This Row],[Unit_Price_Cleaned]]*(1-Table13[[#This Row],[Discount Cleaned]]))</f>
        <v>7585.4708269230759</v>
      </c>
      <c r="P2298" t="str">
        <f t="shared" si="179"/>
        <v>Profit</v>
      </c>
      <c r="Q2298" t="str" cm="1">
        <f t="array" ref="Q2298">IF(K2298="",INDEX($K$2:$K$2501,MATCH(MAX(COUNTIF($K$2:$K$2501,$K$2:$K$2501)),COUNTIF($K$2:$K$2501,$K$2:$K$2501),0)),K2298)</f>
        <v>B2B</v>
      </c>
    </row>
    <row r="2299" spans="1:17" x14ac:dyDescent="0.3">
      <c r="A2299">
        <v>3297</v>
      </c>
      <c r="B2299" t="s">
        <v>2312</v>
      </c>
      <c r="C2299" t="s">
        <v>25</v>
      </c>
      <c r="D2299" t="s">
        <v>66</v>
      </c>
      <c r="E2299">
        <v>2</v>
      </c>
      <c r="H2299" s="3">
        <f t="shared" si="175"/>
        <v>5145.5528000000013</v>
      </c>
      <c r="I2299" s="1">
        <v>45678</v>
      </c>
      <c r="J2299" t="s">
        <v>15</v>
      </c>
      <c r="K2299" t="s">
        <v>16</v>
      </c>
      <c r="L2299" s="2">
        <f t="shared" si="176"/>
        <v>2572.7764000000006</v>
      </c>
      <c r="M2299" s="4">
        <f t="shared" si="177"/>
        <v>0.6</v>
      </c>
      <c r="N2299" s="1">
        <f t="shared" si="178"/>
        <v>45678</v>
      </c>
      <c r="O2299" s="3">
        <f>(Table13[[#This Row],[Units_Sold]]*Table13[[#This Row],[Unit_Price_Cleaned]]*(1-Table13[[#This Row],[Discount Cleaned]]))</f>
        <v>2058.2211200000006</v>
      </c>
      <c r="P2299" t="str">
        <f t="shared" si="179"/>
        <v>Profit</v>
      </c>
      <c r="Q2299" t="str" cm="1">
        <f t="array" ref="Q2299">IF(K2299="",INDEX($K$2:$K$2501,MATCH(MAX(COUNTIF($K$2:$K$2501,$K$2:$K$2501)),COUNTIF($K$2:$K$2501,$K$2:$K$2501),0)),K2299)</f>
        <v>B2C</v>
      </c>
    </row>
    <row r="2300" spans="1:17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 s="3">
        <f t="shared" si="175"/>
        <v>2124.13</v>
      </c>
      <c r="I2300" s="1">
        <v>45507</v>
      </c>
      <c r="J2300" t="s">
        <v>56</v>
      </c>
      <c r="L2300" s="2">
        <f t="shared" si="176"/>
        <v>2124.13</v>
      </c>
      <c r="M2300" s="4">
        <f t="shared" si="177"/>
        <v>0.85</v>
      </c>
      <c r="N2300" s="1">
        <f t="shared" si="178"/>
        <v>45507</v>
      </c>
      <c r="O2300" s="3">
        <f>(Table13[[#This Row],[Units_Sold]]*Table13[[#This Row],[Unit_Price_Cleaned]]*(1-Table13[[#This Row],[Discount Cleaned]]))</f>
        <v>318.61950000000007</v>
      </c>
      <c r="P2300" t="str">
        <f t="shared" si="179"/>
        <v>Loss</v>
      </c>
      <c r="Q2300" t="str" cm="1">
        <f t="array" ref="Q2300">IF(K2300="",INDEX($K$2:$K$2501,MATCH(MAX(COUNTIF($K$2:$K$2501,$K$2:$K$2501)),COUNTIF($K$2:$K$2501,$K$2:$K$2501),0)),K2300)</f>
        <v>B2B</v>
      </c>
    </row>
    <row r="2301" spans="1:17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 s="3">
        <f t="shared" si="175"/>
        <v>-4090.34</v>
      </c>
      <c r="I2301" s="1">
        <v>45809</v>
      </c>
      <c r="J2301" t="s">
        <v>22</v>
      </c>
      <c r="K2301" t="s">
        <v>23</v>
      </c>
      <c r="L2301" s="2">
        <f t="shared" si="176"/>
        <v>4090.34</v>
      </c>
      <c r="M2301" s="4">
        <f t="shared" si="177"/>
        <v>0.99</v>
      </c>
      <c r="N2301" s="1">
        <f t="shared" si="178"/>
        <v>45809</v>
      </c>
      <c r="O2301" s="3">
        <f>(Table13[[#This Row],[Units_Sold]]*Table13[[#This Row],[Unit_Price_Cleaned]]*(1-Table13[[#This Row],[Discount Cleaned]]))</f>
        <v>-40.90340000000004</v>
      </c>
      <c r="P2301" t="str">
        <f t="shared" si="179"/>
        <v>Loss</v>
      </c>
      <c r="Q2301" t="str" cm="1">
        <f t="array" ref="Q2301">IF(K2301="",INDEX($K$2:$K$2501,MATCH(MAX(COUNTIF($K$2:$K$2501,$K$2:$K$2501)),COUNTIF($K$2:$K$2501,$K$2:$K$2501),0)),K2301)</f>
        <v>B2B</v>
      </c>
    </row>
    <row r="2302" spans="1:17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 s="3">
        <f t="shared" si="175"/>
        <v>12798.333653846157</v>
      </c>
      <c r="J2302" t="s">
        <v>40</v>
      </c>
      <c r="K2302" t="s">
        <v>16</v>
      </c>
      <c r="L2302" s="2">
        <f t="shared" si="176"/>
        <v>2559.6667307692314</v>
      </c>
      <c r="M2302" s="4">
        <f t="shared" si="177"/>
        <v>1.06</v>
      </c>
      <c r="N2302" s="1">
        <f t="shared" si="178"/>
        <v>45782</v>
      </c>
      <c r="O2302" s="3">
        <f>(Table13[[#This Row],[Units_Sold]]*Table13[[#This Row],[Unit_Price_Cleaned]]*(1-Table13[[#This Row],[Discount Cleaned]]))</f>
        <v>-767.90001923077011</v>
      </c>
      <c r="P2302" t="str">
        <f t="shared" si="179"/>
        <v>Loss</v>
      </c>
      <c r="Q2302" t="str" cm="1">
        <f t="array" ref="Q2302">IF(K2302="",INDEX($K$2:$K$2501,MATCH(MAX(COUNTIF($K$2:$K$2501,$K$2:$K$2501)),COUNTIF($K$2:$K$2501,$K$2:$K$2501),0)),K2302)</f>
        <v>B2C</v>
      </c>
    </row>
    <row r="2303" spans="1:17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 s="3">
        <f t="shared" si="175"/>
        <v>12952.2</v>
      </c>
      <c r="I2303" s="1">
        <v>45514</v>
      </c>
      <c r="J2303" t="s">
        <v>56</v>
      </c>
      <c r="L2303" s="2">
        <f t="shared" si="176"/>
        <v>2590.44</v>
      </c>
      <c r="M2303" s="4">
        <f t="shared" si="177"/>
        <v>0.6</v>
      </c>
      <c r="N2303" s="1">
        <f t="shared" si="178"/>
        <v>45514</v>
      </c>
      <c r="O2303" s="3">
        <f>(Table13[[#This Row],[Units_Sold]]*Table13[[#This Row],[Unit_Price_Cleaned]]*(1-Table13[[#This Row],[Discount Cleaned]]))</f>
        <v>5180.880000000001</v>
      </c>
      <c r="P2303" t="str">
        <f t="shared" si="179"/>
        <v>Profit</v>
      </c>
      <c r="Q2303" t="str" cm="1">
        <f t="array" ref="Q2303">IF(K2303="",INDEX($K$2:$K$2501,MATCH(MAX(COUNTIF($K$2:$K$2501,$K$2:$K$2501)),COUNTIF($K$2:$K$2501,$K$2:$K$2501),0)),K2303)</f>
        <v>B2B</v>
      </c>
    </row>
    <row r="2304" spans="1:17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 s="3">
        <f t="shared" si="175"/>
        <v>8355.2633898305085</v>
      </c>
      <c r="I2304" s="1">
        <v>45804</v>
      </c>
      <c r="J2304" t="s">
        <v>15</v>
      </c>
      <c r="K2304" t="s">
        <v>23</v>
      </c>
      <c r="L2304" s="2">
        <f t="shared" si="176"/>
        <v>2785.0877966101693</v>
      </c>
      <c r="M2304" s="4">
        <f t="shared" si="177"/>
        <v>0.6</v>
      </c>
      <c r="N2304" s="1">
        <f t="shared" si="178"/>
        <v>45804</v>
      </c>
      <c r="O2304" s="3">
        <f>(Table13[[#This Row],[Units_Sold]]*Table13[[#This Row],[Unit_Price_Cleaned]]*(1-Table13[[#This Row],[Discount Cleaned]]))</f>
        <v>3342.1053559322036</v>
      </c>
      <c r="P2304" t="str">
        <f t="shared" si="179"/>
        <v>Profit</v>
      </c>
      <c r="Q2304" t="str" cm="1">
        <f t="array" ref="Q2304">IF(K2304="",INDEX($K$2:$K$2501,MATCH(MAX(COUNTIF($K$2:$K$2501,$K$2:$K$2501)),COUNTIF($K$2:$K$2501,$K$2:$K$2501),0)),K2304)</f>
        <v>B2B</v>
      </c>
    </row>
    <row r="2305" spans="1:17" x14ac:dyDescent="0.3">
      <c r="A2305">
        <v>3303</v>
      </c>
      <c r="B2305" t="s">
        <v>2318</v>
      </c>
      <c r="C2305" t="s">
        <v>25</v>
      </c>
      <c r="D2305" t="s">
        <v>66</v>
      </c>
      <c r="E2305">
        <v>2</v>
      </c>
      <c r="H2305" s="3">
        <f t="shared" si="175"/>
        <v>5145.5528000000013</v>
      </c>
      <c r="I2305" s="1">
        <v>45622</v>
      </c>
      <c r="J2305" t="s">
        <v>56</v>
      </c>
      <c r="L2305" s="2">
        <f t="shared" si="176"/>
        <v>2572.7764000000006</v>
      </c>
      <c r="M2305" s="4">
        <f t="shared" si="177"/>
        <v>0.6</v>
      </c>
      <c r="N2305" s="1">
        <f t="shared" si="178"/>
        <v>45622</v>
      </c>
      <c r="O2305" s="3">
        <f>(Table13[[#This Row],[Units_Sold]]*Table13[[#This Row],[Unit_Price_Cleaned]]*(1-Table13[[#This Row],[Discount Cleaned]]))</f>
        <v>2058.2211200000006</v>
      </c>
      <c r="P2305" t="str">
        <f t="shared" si="179"/>
        <v>Profit</v>
      </c>
      <c r="Q2305" t="str" cm="1">
        <f t="array" ref="Q2305">IF(K2305="",INDEX($K$2:$K$2501,MATCH(MAX(COUNTIF($K$2:$K$2501,$K$2:$K$2501)),COUNTIF($K$2:$K$2501,$K$2:$K$2501),0)),K2305)</f>
        <v>B2B</v>
      </c>
    </row>
    <row r="2306" spans="1:17" x14ac:dyDescent="0.3">
      <c r="A2306">
        <v>3304</v>
      </c>
      <c r="B2306" t="s">
        <v>2319</v>
      </c>
      <c r="C2306" t="s">
        <v>29</v>
      </c>
      <c r="D2306" t="s">
        <v>120</v>
      </c>
      <c r="E2306">
        <v>2</v>
      </c>
      <c r="F2306">
        <v>4452.04</v>
      </c>
      <c r="H2306" s="3">
        <f t="shared" ref="H2306:H2369" si="180">(L2306*E2306)</f>
        <v>8904.08</v>
      </c>
      <c r="I2306" s="1">
        <v>45378</v>
      </c>
      <c r="J2306" t="s">
        <v>40</v>
      </c>
      <c r="K2306" t="s">
        <v>16</v>
      </c>
      <c r="L2306" s="2">
        <f t="shared" ref="L2306:L2369" si="181">IF(F2306="",AVERAGEIF($D$2:$D$2501,D2306,$F$2:$F$2501),F2306)</f>
        <v>4452.04</v>
      </c>
      <c r="M2306" s="4">
        <f t="shared" ref="M2306:M2369" si="182">IF(G2306="",MEDIAN($G$2,$G$2501),G2306)</f>
        <v>0.6</v>
      </c>
      <c r="N2306" s="1">
        <f t="shared" ref="N2306:N2369" si="183">IF(I2306="",MODE($I$32:$I$2501),I2306)</f>
        <v>45378</v>
      </c>
      <c r="O2306" s="3">
        <f>(Table13[[#This Row],[Units_Sold]]*Table13[[#This Row],[Unit_Price_Cleaned]]*(1-Table13[[#This Row],[Discount Cleaned]]))</f>
        <v>3561.6320000000001</v>
      </c>
      <c r="P2306" t="str">
        <f t="shared" ref="P2306:P2369" si="184">IF(O2306&gt;500,"Profit","Loss")</f>
        <v>Profit</v>
      </c>
      <c r="Q2306" t="str" cm="1">
        <f t="array" ref="Q2306">IF(K2306="",INDEX($K$2:$K$2501,MATCH(MAX(COUNTIF($K$2:$K$2501,$K$2:$K$2501)),COUNTIF($K$2:$K$2501,$K$2:$K$2501),0)),K2306)</f>
        <v>B2C</v>
      </c>
    </row>
    <row r="2307" spans="1:17" x14ac:dyDescent="0.3">
      <c r="A2307">
        <v>3305</v>
      </c>
      <c r="B2307" t="s">
        <v>2320</v>
      </c>
      <c r="C2307" t="s">
        <v>13</v>
      </c>
      <c r="D2307" t="s">
        <v>36</v>
      </c>
      <c r="E2307">
        <v>2</v>
      </c>
      <c r="H2307" s="3">
        <f t="shared" si="180"/>
        <v>5765.0093103448271</v>
      </c>
      <c r="I2307" s="1">
        <v>45623</v>
      </c>
      <c r="J2307" t="s">
        <v>22</v>
      </c>
      <c r="K2307" t="s">
        <v>16</v>
      </c>
      <c r="L2307" s="2">
        <f t="shared" si="181"/>
        <v>2882.5046551724135</v>
      </c>
      <c r="M2307" s="4">
        <f t="shared" si="182"/>
        <v>0.6</v>
      </c>
      <c r="N2307" s="1">
        <f t="shared" si="183"/>
        <v>45623</v>
      </c>
      <c r="O2307" s="3">
        <f>(Table13[[#This Row],[Units_Sold]]*Table13[[#This Row],[Unit_Price_Cleaned]]*(1-Table13[[#This Row],[Discount Cleaned]]))</f>
        <v>2306.0037241379309</v>
      </c>
      <c r="P2307" t="str">
        <f t="shared" si="184"/>
        <v>Profit</v>
      </c>
      <c r="Q2307" t="str" cm="1">
        <f t="array" ref="Q2307">IF(K2307="",INDEX($K$2:$K$2501,MATCH(MAX(COUNTIF($K$2:$K$2501,$K$2:$K$2501)),COUNTIF($K$2:$K$2501,$K$2:$K$2501),0)),K2307)</f>
        <v>B2C</v>
      </c>
    </row>
    <row r="2308" spans="1:17" x14ac:dyDescent="0.3">
      <c r="A2308">
        <v>3306</v>
      </c>
      <c r="B2308" t="s">
        <v>2321</v>
      </c>
      <c r="C2308" t="s">
        <v>33</v>
      </c>
      <c r="D2308" t="s">
        <v>44</v>
      </c>
      <c r="E2308">
        <v>2</v>
      </c>
      <c r="F2308">
        <v>4536.09</v>
      </c>
      <c r="H2308" s="3">
        <f t="shared" si="180"/>
        <v>9072.18</v>
      </c>
      <c r="J2308" t="s">
        <v>56</v>
      </c>
      <c r="L2308" s="2">
        <f t="shared" si="181"/>
        <v>4536.09</v>
      </c>
      <c r="M2308" s="4">
        <f t="shared" si="182"/>
        <v>0.6</v>
      </c>
      <c r="N2308" s="1">
        <f t="shared" si="183"/>
        <v>45782</v>
      </c>
      <c r="O2308" s="3">
        <f>(Table13[[#This Row],[Units_Sold]]*Table13[[#This Row],[Unit_Price_Cleaned]]*(1-Table13[[#This Row],[Discount Cleaned]]))</f>
        <v>3628.8720000000003</v>
      </c>
      <c r="P2308" t="str">
        <f t="shared" si="184"/>
        <v>Profit</v>
      </c>
      <c r="Q2308" t="str" cm="1">
        <f t="array" ref="Q2308">IF(K2308="",INDEX($K$2:$K$2501,MATCH(MAX(COUNTIF($K$2:$K$2501,$K$2:$K$2501)),COUNTIF($K$2:$K$2501,$K$2:$K$2501),0)),K2308)</f>
        <v>B2B</v>
      </c>
    </row>
    <row r="2309" spans="1:17" x14ac:dyDescent="0.3">
      <c r="A2309">
        <v>3307</v>
      </c>
      <c r="B2309" t="s">
        <v>2322</v>
      </c>
      <c r="C2309" t="s">
        <v>29</v>
      </c>
      <c r="D2309" t="s">
        <v>42</v>
      </c>
      <c r="E2309">
        <v>2</v>
      </c>
      <c r="F2309">
        <v>3896.07</v>
      </c>
      <c r="H2309" s="3">
        <f t="shared" si="180"/>
        <v>7792.14</v>
      </c>
      <c r="I2309" s="1">
        <v>45745</v>
      </c>
      <c r="J2309" t="s">
        <v>46</v>
      </c>
      <c r="K2309" t="s">
        <v>16</v>
      </c>
      <c r="L2309" s="2">
        <f t="shared" si="181"/>
        <v>3896.07</v>
      </c>
      <c r="M2309" s="4">
        <f t="shared" si="182"/>
        <v>0.6</v>
      </c>
      <c r="N2309" s="1">
        <f t="shared" si="183"/>
        <v>45745</v>
      </c>
      <c r="O2309" s="3">
        <f>(Table13[[#This Row],[Units_Sold]]*Table13[[#This Row],[Unit_Price_Cleaned]]*(1-Table13[[#This Row],[Discount Cleaned]]))</f>
        <v>3116.8560000000002</v>
      </c>
      <c r="P2309" t="str">
        <f t="shared" si="184"/>
        <v>Profit</v>
      </c>
      <c r="Q2309" t="str" cm="1">
        <f t="array" ref="Q2309">IF(K2309="",INDEX($K$2:$K$2501,MATCH(MAX(COUNTIF($K$2:$K$2501,$K$2:$K$2501)),COUNTIF($K$2:$K$2501,$K$2:$K$2501),0)),K2309)</f>
        <v>B2C</v>
      </c>
    </row>
    <row r="2310" spans="1:17" x14ac:dyDescent="0.3">
      <c r="A2310">
        <v>3308</v>
      </c>
      <c r="B2310" t="s">
        <v>2323</v>
      </c>
      <c r="C2310" t="s">
        <v>20</v>
      </c>
      <c r="D2310" t="s">
        <v>88</v>
      </c>
      <c r="E2310">
        <v>2</v>
      </c>
      <c r="H2310" s="3">
        <f t="shared" si="180"/>
        <v>5451.7114285714297</v>
      </c>
      <c r="I2310" s="1">
        <v>45304</v>
      </c>
      <c r="J2310" t="s">
        <v>18</v>
      </c>
      <c r="K2310" t="s">
        <v>16</v>
      </c>
      <c r="L2310" s="2">
        <f t="shared" si="181"/>
        <v>2725.8557142857148</v>
      </c>
      <c r="M2310" s="4">
        <f t="shared" si="182"/>
        <v>0.6</v>
      </c>
      <c r="N2310" s="1">
        <f t="shared" si="183"/>
        <v>45304</v>
      </c>
      <c r="O2310" s="3">
        <f>(Table13[[#This Row],[Units_Sold]]*Table13[[#This Row],[Unit_Price_Cleaned]]*(1-Table13[[#This Row],[Discount Cleaned]]))</f>
        <v>2180.6845714285719</v>
      </c>
      <c r="P2310" t="str">
        <f t="shared" si="184"/>
        <v>Profit</v>
      </c>
      <c r="Q2310" t="str" cm="1">
        <f t="array" ref="Q2310">IF(K2310="",INDEX($K$2:$K$2501,MATCH(MAX(COUNTIF($K$2:$K$2501,$K$2:$K$2501)),COUNTIF($K$2:$K$2501,$K$2:$K$2501),0)),K2310)</f>
        <v>B2C</v>
      </c>
    </row>
    <row r="2311" spans="1:17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 s="3">
        <f t="shared" si="180"/>
        <v>-7888.92</v>
      </c>
      <c r="I2311" s="1">
        <v>45201</v>
      </c>
      <c r="J2311" t="s">
        <v>18</v>
      </c>
      <c r="K2311" t="s">
        <v>16</v>
      </c>
      <c r="L2311" s="2">
        <f t="shared" si="181"/>
        <v>3944.46</v>
      </c>
      <c r="M2311" s="4">
        <f t="shared" si="182"/>
        <v>0.6</v>
      </c>
      <c r="N2311" s="1">
        <f t="shared" si="183"/>
        <v>45201</v>
      </c>
      <c r="O2311" s="3">
        <f>(Table13[[#This Row],[Units_Sold]]*Table13[[#This Row],[Unit_Price_Cleaned]]*(1-Table13[[#This Row],[Discount Cleaned]]))</f>
        <v>-3155.5680000000002</v>
      </c>
      <c r="P2311" t="str">
        <f t="shared" si="184"/>
        <v>Loss</v>
      </c>
      <c r="Q2311" t="str" cm="1">
        <f t="array" ref="Q2311">IF(K2311="",INDEX($K$2:$K$2501,MATCH(MAX(COUNTIF($K$2:$K$2501,$K$2:$K$2501)),COUNTIF($K$2:$K$2501,$K$2:$K$2501),0)),K2311)</f>
        <v>B2C</v>
      </c>
    </row>
    <row r="2312" spans="1:17" x14ac:dyDescent="0.3">
      <c r="A2312">
        <v>3310</v>
      </c>
      <c r="B2312" t="s">
        <v>2325</v>
      </c>
      <c r="C2312" t="s">
        <v>38</v>
      </c>
      <c r="D2312" t="s">
        <v>63</v>
      </c>
      <c r="E2312">
        <v>2</v>
      </c>
      <c r="H2312" s="3">
        <f t="shared" si="180"/>
        <v>5690.4839344262318</v>
      </c>
      <c r="I2312" s="1">
        <v>45163</v>
      </c>
      <c r="J2312" t="s">
        <v>46</v>
      </c>
      <c r="K2312" t="s">
        <v>16</v>
      </c>
      <c r="L2312" s="2">
        <f t="shared" si="181"/>
        <v>2845.2419672131159</v>
      </c>
      <c r="M2312" s="4">
        <f t="shared" si="182"/>
        <v>0.6</v>
      </c>
      <c r="N2312" s="1">
        <f t="shared" si="183"/>
        <v>45163</v>
      </c>
      <c r="O2312" s="3">
        <f>(Table13[[#This Row],[Units_Sold]]*Table13[[#This Row],[Unit_Price_Cleaned]]*(1-Table13[[#This Row],[Discount Cleaned]]))</f>
        <v>2276.193573770493</v>
      </c>
      <c r="P2312" t="str">
        <f t="shared" si="184"/>
        <v>Profit</v>
      </c>
      <c r="Q2312" t="str" cm="1">
        <f t="array" ref="Q2312">IF(K2312="",INDEX($K$2:$K$2501,MATCH(MAX(COUNTIF($K$2:$K$2501,$K$2:$K$2501)),COUNTIF($K$2:$K$2501,$K$2:$K$2501),0)),K2312)</f>
        <v>B2C</v>
      </c>
    </row>
    <row r="2313" spans="1:17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 s="3">
        <f t="shared" si="180"/>
        <v>-3108.69</v>
      </c>
      <c r="I2313" s="1">
        <v>45388</v>
      </c>
      <c r="J2313" t="s">
        <v>15</v>
      </c>
      <c r="L2313" s="2">
        <f t="shared" si="181"/>
        <v>3108.69</v>
      </c>
      <c r="M2313" s="4">
        <f t="shared" si="182"/>
        <v>0.6</v>
      </c>
      <c r="N2313" s="1">
        <f t="shared" si="183"/>
        <v>45388</v>
      </c>
      <c r="O2313" s="3">
        <f>(Table13[[#This Row],[Units_Sold]]*Table13[[#This Row],[Unit_Price_Cleaned]]*(1-Table13[[#This Row],[Discount Cleaned]]))</f>
        <v>-1243.4760000000001</v>
      </c>
      <c r="P2313" t="str">
        <f t="shared" si="184"/>
        <v>Loss</v>
      </c>
      <c r="Q2313" t="str" cm="1">
        <f t="array" ref="Q2313">IF(K2313="",INDEX($K$2:$K$2501,MATCH(MAX(COUNTIF($K$2:$K$2501,$K$2:$K$2501)),COUNTIF($K$2:$K$2501,$K$2:$K$2501),0)),K2313)</f>
        <v>B2B</v>
      </c>
    </row>
    <row r="2314" spans="1:17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 s="3">
        <f t="shared" si="180"/>
        <v>9757.6200000000008</v>
      </c>
      <c r="I2314" s="1">
        <v>45537</v>
      </c>
      <c r="J2314" t="s">
        <v>40</v>
      </c>
      <c r="L2314" s="2">
        <f t="shared" si="181"/>
        <v>4878.8100000000004</v>
      </c>
      <c r="M2314" s="4">
        <f t="shared" si="182"/>
        <v>0.6</v>
      </c>
      <c r="N2314" s="1">
        <f t="shared" si="183"/>
        <v>45537</v>
      </c>
      <c r="O2314" s="3">
        <f>(Table13[[#This Row],[Units_Sold]]*Table13[[#This Row],[Unit_Price_Cleaned]]*(1-Table13[[#This Row],[Discount Cleaned]]))</f>
        <v>3903.0480000000007</v>
      </c>
      <c r="P2314" t="str">
        <f t="shared" si="184"/>
        <v>Profit</v>
      </c>
      <c r="Q2314" t="str" cm="1">
        <f t="array" ref="Q2314">IF(K2314="",INDEX($K$2:$K$2501,MATCH(MAX(COUNTIF($K$2:$K$2501,$K$2:$K$2501)),COUNTIF($K$2:$K$2501,$K$2:$K$2501),0)),K2314)</f>
        <v>B2B</v>
      </c>
    </row>
    <row r="2315" spans="1:17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 s="3">
        <f t="shared" si="180"/>
        <v>14343.884090909089</v>
      </c>
      <c r="I2315" s="1">
        <v>45566</v>
      </c>
      <c r="J2315" t="s">
        <v>40</v>
      </c>
      <c r="L2315" s="2">
        <f t="shared" si="181"/>
        <v>2868.7768181818178</v>
      </c>
      <c r="M2315" s="4">
        <f t="shared" si="182"/>
        <v>1.03</v>
      </c>
      <c r="N2315" s="1">
        <f t="shared" si="183"/>
        <v>45566</v>
      </c>
      <c r="O2315" s="3">
        <f>(Table13[[#This Row],[Units_Sold]]*Table13[[#This Row],[Unit_Price_Cleaned]]*(1-Table13[[#This Row],[Discount Cleaned]]))</f>
        <v>-430.31652272727302</v>
      </c>
      <c r="P2315" t="str">
        <f t="shared" si="184"/>
        <v>Loss</v>
      </c>
      <c r="Q2315" t="str" cm="1">
        <f t="array" ref="Q2315">IF(K2315="",INDEX($K$2:$K$2501,MATCH(MAX(COUNTIF($K$2:$K$2501,$K$2:$K$2501)),COUNTIF($K$2:$K$2501,$K$2:$K$2501),0)),K2315)</f>
        <v>B2B</v>
      </c>
    </row>
    <row r="2316" spans="1:17" x14ac:dyDescent="0.3">
      <c r="A2316">
        <v>3314</v>
      </c>
      <c r="B2316" t="s">
        <v>2329</v>
      </c>
      <c r="C2316" t="s">
        <v>20</v>
      </c>
      <c r="D2316" t="s">
        <v>88</v>
      </c>
      <c r="E2316">
        <v>2</v>
      </c>
      <c r="F2316">
        <v>2537.59</v>
      </c>
      <c r="H2316" s="3">
        <f t="shared" si="180"/>
        <v>5075.18</v>
      </c>
      <c r="I2316" s="1">
        <v>45561</v>
      </c>
      <c r="J2316" t="s">
        <v>46</v>
      </c>
      <c r="K2316" t="s">
        <v>23</v>
      </c>
      <c r="L2316" s="2">
        <f t="shared" si="181"/>
        <v>2537.59</v>
      </c>
      <c r="M2316" s="4">
        <f t="shared" si="182"/>
        <v>0.6</v>
      </c>
      <c r="N2316" s="1">
        <f t="shared" si="183"/>
        <v>45561</v>
      </c>
      <c r="O2316" s="3">
        <f>(Table13[[#This Row],[Units_Sold]]*Table13[[#This Row],[Unit_Price_Cleaned]]*(1-Table13[[#This Row],[Discount Cleaned]]))</f>
        <v>2030.0720000000001</v>
      </c>
      <c r="P2316" t="str">
        <f t="shared" si="184"/>
        <v>Profit</v>
      </c>
      <c r="Q2316" t="str" cm="1">
        <f t="array" ref="Q2316">IF(K2316="",INDEX($K$2:$K$2501,MATCH(MAX(COUNTIF($K$2:$K$2501,$K$2:$K$2501)),COUNTIF($K$2:$K$2501,$K$2:$K$2501),0)),K2316)</f>
        <v>B2B</v>
      </c>
    </row>
    <row r="2317" spans="1:17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 s="3">
        <f t="shared" si="180"/>
        <v>11475.107272727271</v>
      </c>
      <c r="J2317" t="s">
        <v>56</v>
      </c>
      <c r="K2317" t="s">
        <v>16</v>
      </c>
      <c r="L2317" s="2">
        <f t="shared" si="181"/>
        <v>2868.7768181818178</v>
      </c>
      <c r="M2317" s="4">
        <f t="shared" si="182"/>
        <v>0.6</v>
      </c>
      <c r="N2317" s="1">
        <f t="shared" si="183"/>
        <v>45782</v>
      </c>
      <c r="O2317" s="3">
        <f>(Table13[[#This Row],[Units_Sold]]*Table13[[#This Row],[Unit_Price_Cleaned]]*(1-Table13[[#This Row],[Discount Cleaned]]))</f>
        <v>4590.0429090909083</v>
      </c>
      <c r="P2317" t="str">
        <f t="shared" si="184"/>
        <v>Profit</v>
      </c>
      <c r="Q2317" t="str" cm="1">
        <f t="array" ref="Q2317">IF(K2317="",INDEX($K$2:$K$2501,MATCH(MAX(COUNTIF($K$2:$K$2501,$K$2:$K$2501)),COUNTIF($K$2:$K$2501,$K$2:$K$2501),0)),K2317)</f>
        <v>B2C</v>
      </c>
    </row>
    <row r="2318" spans="1:17" x14ac:dyDescent="0.3">
      <c r="A2318">
        <v>3316</v>
      </c>
      <c r="B2318" t="s">
        <v>2331</v>
      </c>
      <c r="C2318" t="s">
        <v>13</v>
      </c>
      <c r="D2318" t="s">
        <v>14</v>
      </c>
      <c r="E2318">
        <v>2</v>
      </c>
      <c r="H2318" s="3">
        <f t="shared" si="180"/>
        <v>4762.5355172413792</v>
      </c>
      <c r="I2318" s="1">
        <v>45808</v>
      </c>
      <c r="J2318" t="s">
        <v>22</v>
      </c>
      <c r="K2318" t="s">
        <v>16</v>
      </c>
      <c r="L2318" s="2">
        <f t="shared" si="181"/>
        <v>2381.2677586206896</v>
      </c>
      <c r="M2318" s="4">
        <f t="shared" si="182"/>
        <v>0.6</v>
      </c>
      <c r="N2318" s="1">
        <f t="shared" si="183"/>
        <v>45808</v>
      </c>
      <c r="O2318" s="3">
        <f>(Table13[[#This Row],[Units_Sold]]*Table13[[#This Row],[Unit_Price_Cleaned]]*(1-Table13[[#This Row],[Discount Cleaned]]))</f>
        <v>1905.0142068965517</v>
      </c>
      <c r="P2318" t="str">
        <f t="shared" si="184"/>
        <v>Profit</v>
      </c>
      <c r="Q2318" t="str" cm="1">
        <f t="array" ref="Q2318">IF(K2318="",INDEX($K$2:$K$2501,MATCH(MAX(COUNTIF($K$2:$K$2501,$K$2:$K$2501)),COUNTIF($K$2:$K$2501,$K$2:$K$2501),0)),K2318)</f>
        <v>B2C</v>
      </c>
    </row>
    <row r="2319" spans="1:17" x14ac:dyDescent="0.3">
      <c r="A2319">
        <v>3317</v>
      </c>
      <c r="B2319" t="s">
        <v>2332</v>
      </c>
      <c r="C2319" t="s">
        <v>20</v>
      </c>
      <c r="D2319" t="s">
        <v>122</v>
      </c>
      <c r="E2319">
        <v>2</v>
      </c>
      <c r="F2319">
        <v>2140.2199999999998</v>
      </c>
      <c r="H2319" s="3">
        <f t="shared" si="180"/>
        <v>4280.4399999999996</v>
      </c>
      <c r="I2319" s="1">
        <v>45598</v>
      </c>
      <c r="J2319" t="s">
        <v>18</v>
      </c>
      <c r="K2319" t="s">
        <v>23</v>
      </c>
      <c r="L2319" s="2">
        <f t="shared" si="181"/>
        <v>2140.2199999999998</v>
      </c>
      <c r="M2319" s="4">
        <f t="shared" si="182"/>
        <v>0.6</v>
      </c>
      <c r="N2319" s="1">
        <f t="shared" si="183"/>
        <v>45598</v>
      </c>
      <c r="O2319" s="3">
        <f>(Table13[[#This Row],[Units_Sold]]*Table13[[#This Row],[Unit_Price_Cleaned]]*(1-Table13[[#This Row],[Discount Cleaned]]))</f>
        <v>1712.1759999999999</v>
      </c>
      <c r="P2319" t="str">
        <f t="shared" si="184"/>
        <v>Profit</v>
      </c>
      <c r="Q2319" t="str" cm="1">
        <f t="array" ref="Q2319">IF(K2319="",INDEX($K$2:$K$2501,MATCH(MAX(COUNTIF($K$2:$K$2501,$K$2:$K$2501)),COUNTIF($K$2:$K$2501,$K$2:$K$2501),0)),K2319)</f>
        <v>B2B</v>
      </c>
    </row>
    <row r="2320" spans="1:17" x14ac:dyDescent="0.3">
      <c r="A2320">
        <v>3318</v>
      </c>
      <c r="B2320" t="s">
        <v>2333</v>
      </c>
      <c r="C2320" t="s">
        <v>29</v>
      </c>
      <c r="D2320" t="s">
        <v>120</v>
      </c>
      <c r="E2320">
        <v>2</v>
      </c>
      <c r="F2320">
        <v>2912.6</v>
      </c>
      <c r="H2320" s="3">
        <f t="shared" si="180"/>
        <v>5825.2</v>
      </c>
      <c r="I2320" s="1">
        <v>45745</v>
      </c>
      <c r="J2320" t="s">
        <v>15</v>
      </c>
      <c r="L2320" s="2">
        <f t="shared" si="181"/>
        <v>2912.6</v>
      </c>
      <c r="M2320" s="4">
        <f t="shared" si="182"/>
        <v>0.6</v>
      </c>
      <c r="N2320" s="1">
        <f t="shared" si="183"/>
        <v>45745</v>
      </c>
      <c r="O2320" s="3">
        <f>(Table13[[#This Row],[Units_Sold]]*Table13[[#This Row],[Unit_Price_Cleaned]]*(1-Table13[[#This Row],[Discount Cleaned]]))</f>
        <v>2330.08</v>
      </c>
      <c r="P2320" t="str">
        <f t="shared" si="184"/>
        <v>Profit</v>
      </c>
      <c r="Q2320" t="str" cm="1">
        <f t="array" ref="Q2320">IF(K2320="",INDEX($K$2:$K$2501,MATCH(MAX(COUNTIF($K$2:$K$2501,$K$2:$K$2501)),COUNTIF($K$2:$K$2501,$K$2:$K$2501),0)),K2320)</f>
        <v>B2B</v>
      </c>
    </row>
    <row r="2321" spans="1:17" x14ac:dyDescent="0.3">
      <c r="A2321">
        <v>3319</v>
      </c>
      <c r="B2321" t="s">
        <v>2334</v>
      </c>
      <c r="C2321" t="s">
        <v>25</v>
      </c>
      <c r="D2321" t="s">
        <v>26</v>
      </c>
      <c r="E2321">
        <v>2</v>
      </c>
      <c r="H2321" s="3">
        <f t="shared" si="180"/>
        <v>5777.7428571428572</v>
      </c>
      <c r="I2321" s="1">
        <v>45284</v>
      </c>
      <c r="J2321" t="s">
        <v>18</v>
      </c>
      <c r="L2321" s="2">
        <f t="shared" si="181"/>
        <v>2888.8714285714286</v>
      </c>
      <c r="M2321" s="4">
        <f t="shared" si="182"/>
        <v>0.6</v>
      </c>
      <c r="N2321" s="1">
        <f t="shared" si="183"/>
        <v>45284</v>
      </c>
      <c r="O2321" s="3">
        <f>(Table13[[#This Row],[Units_Sold]]*Table13[[#This Row],[Unit_Price_Cleaned]]*(1-Table13[[#This Row],[Discount Cleaned]]))</f>
        <v>2311.0971428571429</v>
      </c>
      <c r="P2321" t="str">
        <f t="shared" si="184"/>
        <v>Profit</v>
      </c>
      <c r="Q2321" t="str" cm="1">
        <f t="array" ref="Q2321">IF(K2321="",INDEX($K$2:$K$2501,MATCH(MAX(COUNTIF($K$2:$K$2501,$K$2:$K$2501)),COUNTIF($K$2:$K$2501,$K$2:$K$2501),0)),K2321)</f>
        <v>B2B</v>
      </c>
    </row>
    <row r="2322" spans="1:17" x14ac:dyDescent="0.3">
      <c r="A2322">
        <v>3320</v>
      </c>
      <c r="B2322" t="s">
        <v>2335</v>
      </c>
      <c r="C2322" t="s">
        <v>25</v>
      </c>
      <c r="D2322" t="s">
        <v>66</v>
      </c>
      <c r="E2322">
        <v>2</v>
      </c>
      <c r="H2322" s="3">
        <f t="shared" si="180"/>
        <v>5145.5528000000013</v>
      </c>
      <c r="I2322" s="1">
        <v>45579</v>
      </c>
      <c r="J2322" t="s">
        <v>46</v>
      </c>
      <c r="L2322" s="2">
        <f t="shared" si="181"/>
        <v>2572.7764000000006</v>
      </c>
      <c r="M2322" s="4">
        <f t="shared" si="182"/>
        <v>0.6</v>
      </c>
      <c r="N2322" s="1">
        <f t="shared" si="183"/>
        <v>45579</v>
      </c>
      <c r="O2322" s="3">
        <f>(Table13[[#This Row],[Units_Sold]]*Table13[[#This Row],[Unit_Price_Cleaned]]*(1-Table13[[#This Row],[Discount Cleaned]]))</f>
        <v>2058.2211200000006</v>
      </c>
      <c r="P2322" t="str">
        <f t="shared" si="184"/>
        <v>Profit</v>
      </c>
      <c r="Q2322" t="str" cm="1">
        <f t="array" ref="Q2322">IF(K2322="",INDEX($K$2:$K$2501,MATCH(MAX(COUNTIF($K$2:$K$2501,$K$2:$K$2501)),COUNTIF($K$2:$K$2501,$K$2:$K$2501),0)),K2322)</f>
        <v>B2B</v>
      </c>
    </row>
    <row r="2323" spans="1:17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 s="3">
        <f t="shared" si="180"/>
        <v>9022.7999999999993</v>
      </c>
      <c r="I2323" s="1">
        <v>45254</v>
      </c>
      <c r="J2323" t="s">
        <v>56</v>
      </c>
      <c r="L2323" s="2">
        <f t="shared" si="181"/>
        <v>1804.56</v>
      </c>
      <c r="M2323" s="4">
        <f t="shared" si="182"/>
        <v>0.6</v>
      </c>
      <c r="N2323" s="1">
        <f t="shared" si="183"/>
        <v>45254</v>
      </c>
      <c r="O2323" s="3">
        <f>(Table13[[#This Row],[Units_Sold]]*Table13[[#This Row],[Unit_Price_Cleaned]]*(1-Table13[[#This Row],[Discount Cleaned]]))</f>
        <v>3609.12</v>
      </c>
      <c r="P2323" t="str">
        <f t="shared" si="184"/>
        <v>Profit</v>
      </c>
      <c r="Q2323" t="str" cm="1">
        <f t="array" ref="Q2323">IF(K2323="",INDEX($K$2:$K$2501,MATCH(MAX(COUNTIF($K$2:$K$2501,$K$2:$K$2501)),COUNTIF($K$2:$K$2501,$K$2:$K$2501),0)),K2323)</f>
        <v>B2B</v>
      </c>
    </row>
    <row r="2324" spans="1:17" x14ac:dyDescent="0.3">
      <c r="A2324">
        <v>3322</v>
      </c>
      <c r="B2324" t="s">
        <v>2337</v>
      </c>
      <c r="C2324" t="s">
        <v>33</v>
      </c>
      <c r="D2324" t="s">
        <v>44</v>
      </c>
      <c r="E2324">
        <v>2</v>
      </c>
      <c r="F2324">
        <v>4480.24</v>
      </c>
      <c r="H2324" s="3">
        <f t="shared" si="180"/>
        <v>8960.48</v>
      </c>
      <c r="I2324" s="1">
        <v>45544</v>
      </c>
      <c r="J2324" t="s">
        <v>15</v>
      </c>
      <c r="K2324" t="s">
        <v>16</v>
      </c>
      <c r="L2324" s="2">
        <f t="shared" si="181"/>
        <v>4480.24</v>
      </c>
      <c r="M2324" s="4">
        <f t="shared" si="182"/>
        <v>0.6</v>
      </c>
      <c r="N2324" s="1">
        <f t="shared" si="183"/>
        <v>45544</v>
      </c>
      <c r="O2324" s="3">
        <f>(Table13[[#This Row],[Units_Sold]]*Table13[[#This Row],[Unit_Price_Cleaned]]*(1-Table13[[#This Row],[Discount Cleaned]]))</f>
        <v>3584.192</v>
      </c>
      <c r="P2324" t="str">
        <f t="shared" si="184"/>
        <v>Profit</v>
      </c>
      <c r="Q2324" t="str" cm="1">
        <f t="array" ref="Q2324">IF(K2324="",INDEX($K$2:$K$2501,MATCH(MAX(COUNTIF($K$2:$K$2501,$K$2:$K$2501)),COUNTIF($K$2:$K$2501,$K$2:$K$2501),0)),K2324)</f>
        <v>B2C</v>
      </c>
    </row>
    <row r="2325" spans="1:17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 s="3">
        <f t="shared" si="180"/>
        <v>12028.349999999999</v>
      </c>
      <c r="J2325" t="s">
        <v>56</v>
      </c>
      <c r="L2325" s="2">
        <f t="shared" si="181"/>
        <v>4009.45</v>
      </c>
      <c r="M2325" s="4">
        <f t="shared" si="182"/>
        <v>0.6</v>
      </c>
      <c r="N2325" s="1">
        <f t="shared" si="183"/>
        <v>45782</v>
      </c>
      <c r="O2325" s="3">
        <f>(Table13[[#This Row],[Units_Sold]]*Table13[[#This Row],[Unit_Price_Cleaned]]*(1-Table13[[#This Row],[Discount Cleaned]]))</f>
        <v>4811.3399999999992</v>
      </c>
      <c r="P2325" t="str">
        <f t="shared" si="184"/>
        <v>Profit</v>
      </c>
      <c r="Q2325" t="str" cm="1">
        <f t="array" ref="Q2325">IF(K2325="",INDEX($K$2:$K$2501,MATCH(MAX(COUNTIF($K$2:$K$2501,$K$2:$K$2501)),COUNTIF($K$2:$K$2501,$K$2:$K$2501),0)),K2325)</f>
        <v>B2B</v>
      </c>
    </row>
    <row r="2326" spans="1:17" x14ac:dyDescent="0.3">
      <c r="A2326">
        <v>3324</v>
      </c>
      <c r="B2326" t="s">
        <v>2339</v>
      </c>
      <c r="C2326" t="s">
        <v>38</v>
      </c>
      <c r="D2326" t="s">
        <v>39</v>
      </c>
      <c r="E2326">
        <v>2</v>
      </c>
      <c r="G2326">
        <v>0.51</v>
      </c>
      <c r="H2326" s="3">
        <f t="shared" si="180"/>
        <v>6016.7688888888888</v>
      </c>
      <c r="J2326" t="s">
        <v>18</v>
      </c>
      <c r="K2326" t="s">
        <v>16</v>
      </c>
      <c r="L2326" s="2">
        <f t="shared" si="181"/>
        <v>3008.3844444444444</v>
      </c>
      <c r="M2326" s="4">
        <f t="shared" si="182"/>
        <v>0.51</v>
      </c>
      <c r="N2326" s="1">
        <f t="shared" si="183"/>
        <v>45782</v>
      </c>
      <c r="O2326" s="3">
        <f>(Table13[[#This Row],[Units_Sold]]*Table13[[#This Row],[Unit_Price_Cleaned]]*(1-Table13[[#This Row],[Discount Cleaned]]))</f>
        <v>2948.2167555555557</v>
      </c>
      <c r="P2326" t="str">
        <f t="shared" si="184"/>
        <v>Profit</v>
      </c>
      <c r="Q2326" t="str" cm="1">
        <f t="array" ref="Q2326">IF(K2326="",INDEX($K$2:$K$2501,MATCH(MAX(COUNTIF($K$2:$K$2501,$K$2:$K$2501)),COUNTIF($K$2:$K$2501,$K$2:$K$2501),0)),K2326)</f>
        <v>B2C</v>
      </c>
    </row>
    <row r="2327" spans="1:17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 s="3">
        <f t="shared" si="180"/>
        <v>16825.591153846151</v>
      </c>
      <c r="I2327" s="1">
        <v>45833</v>
      </c>
      <c r="J2327" t="s">
        <v>40</v>
      </c>
      <c r="L2327" s="2">
        <f t="shared" si="181"/>
        <v>2804.2651923076919</v>
      </c>
      <c r="M2327" s="4">
        <f t="shared" si="182"/>
        <v>0.61</v>
      </c>
      <c r="N2327" s="1">
        <f t="shared" si="183"/>
        <v>45833</v>
      </c>
      <c r="O2327" s="3">
        <f>(Table13[[#This Row],[Units_Sold]]*Table13[[#This Row],[Unit_Price_Cleaned]]*(1-Table13[[#This Row],[Discount Cleaned]]))</f>
        <v>6561.9805499999993</v>
      </c>
      <c r="P2327" t="str">
        <f t="shared" si="184"/>
        <v>Profit</v>
      </c>
      <c r="Q2327" t="str" cm="1">
        <f t="array" ref="Q2327">IF(K2327="",INDEX($K$2:$K$2501,MATCH(MAX(COUNTIF($K$2:$K$2501,$K$2:$K$2501)),COUNTIF($K$2:$K$2501,$K$2:$K$2501),0)),K2327)</f>
        <v>B2B</v>
      </c>
    </row>
    <row r="2328" spans="1:17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 s="3">
        <f t="shared" si="180"/>
        <v>-6095.36</v>
      </c>
      <c r="I2328" s="1">
        <v>45526</v>
      </c>
      <c r="J2328" t="s">
        <v>40</v>
      </c>
      <c r="K2328" t="s">
        <v>16</v>
      </c>
      <c r="L2328" s="2">
        <f t="shared" si="181"/>
        <v>3047.68</v>
      </c>
      <c r="M2328" s="4">
        <f t="shared" si="182"/>
        <v>0.6</v>
      </c>
      <c r="N2328" s="1">
        <f t="shared" si="183"/>
        <v>45526</v>
      </c>
      <c r="O2328" s="3">
        <f>(Table13[[#This Row],[Units_Sold]]*Table13[[#This Row],[Unit_Price_Cleaned]]*(1-Table13[[#This Row],[Discount Cleaned]]))</f>
        <v>-2438.1439999999998</v>
      </c>
      <c r="P2328" t="str">
        <f t="shared" si="184"/>
        <v>Loss</v>
      </c>
      <c r="Q2328" t="str" cm="1">
        <f t="array" ref="Q2328">IF(K2328="",INDEX($K$2:$K$2501,MATCH(MAX(COUNTIF($K$2:$K$2501,$K$2:$K$2501)),COUNTIF($K$2:$K$2501,$K$2:$K$2501),0)),K2328)</f>
        <v>B2C</v>
      </c>
    </row>
    <row r="2329" spans="1:17" x14ac:dyDescent="0.3">
      <c r="A2329">
        <v>3327</v>
      </c>
      <c r="B2329" t="s">
        <v>2342</v>
      </c>
      <c r="C2329" t="s">
        <v>13</v>
      </c>
      <c r="D2329" t="s">
        <v>49</v>
      </c>
      <c r="E2329">
        <v>2</v>
      </c>
      <c r="G2329">
        <v>0.96</v>
      </c>
      <c r="H2329" s="3">
        <f t="shared" si="180"/>
        <v>5570.1755932203387</v>
      </c>
      <c r="J2329" t="s">
        <v>40</v>
      </c>
      <c r="L2329" s="2">
        <f t="shared" si="181"/>
        <v>2785.0877966101693</v>
      </c>
      <c r="M2329" s="4">
        <f t="shared" si="182"/>
        <v>0.96</v>
      </c>
      <c r="N2329" s="1">
        <f t="shared" si="183"/>
        <v>45782</v>
      </c>
      <c r="O2329" s="3">
        <f>(Table13[[#This Row],[Units_Sold]]*Table13[[#This Row],[Unit_Price_Cleaned]]*(1-Table13[[#This Row],[Discount Cleaned]]))</f>
        <v>222.80702372881373</v>
      </c>
      <c r="P2329" t="str">
        <f t="shared" si="184"/>
        <v>Loss</v>
      </c>
      <c r="Q2329" t="str" cm="1">
        <f t="array" ref="Q2329">IF(K2329="",INDEX($K$2:$K$2501,MATCH(MAX(COUNTIF($K$2:$K$2501,$K$2:$K$2501)),COUNTIF($K$2:$K$2501,$K$2:$K$2501),0)),K2329)</f>
        <v>B2B</v>
      </c>
    </row>
    <row r="2330" spans="1:17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 s="3">
        <f t="shared" si="180"/>
        <v>4390.32</v>
      </c>
      <c r="I2330" s="1">
        <v>45733</v>
      </c>
      <c r="J2330" t="s">
        <v>40</v>
      </c>
      <c r="L2330" s="2">
        <f t="shared" si="181"/>
        <v>4390.32</v>
      </c>
      <c r="M2330" s="4">
        <f t="shared" si="182"/>
        <v>0.6</v>
      </c>
      <c r="N2330" s="1">
        <f t="shared" si="183"/>
        <v>45733</v>
      </c>
      <c r="O2330" s="3">
        <f>(Table13[[#This Row],[Units_Sold]]*Table13[[#This Row],[Unit_Price_Cleaned]]*(1-Table13[[#This Row],[Discount Cleaned]]))</f>
        <v>1756.1279999999999</v>
      </c>
      <c r="P2330" t="str">
        <f t="shared" si="184"/>
        <v>Profit</v>
      </c>
      <c r="Q2330" t="str" cm="1">
        <f t="array" ref="Q2330">IF(K2330="",INDEX($K$2:$K$2501,MATCH(MAX(COUNTIF($K$2:$K$2501,$K$2:$K$2501)),COUNTIF($K$2:$K$2501,$K$2:$K$2501),0)),K2330)</f>
        <v>B2B</v>
      </c>
    </row>
    <row r="2331" spans="1:17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 s="3">
        <f t="shared" si="180"/>
        <v>0</v>
      </c>
      <c r="I2331" s="1">
        <v>45440</v>
      </c>
      <c r="J2331" t="s">
        <v>15</v>
      </c>
      <c r="K2331" t="s">
        <v>16</v>
      </c>
      <c r="L2331" s="2">
        <f t="shared" si="181"/>
        <v>2681.1743636363635</v>
      </c>
      <c r="M2331" s="4">
        <f t="shared" si="182"/>
        <v>0.6</v>
      </c>
      <c r="N2331" s="1">
        <f t="shared" si="183"/>
        <v>45440</v>
      </c>
      <c r="O2331" s="3">
        <f>(Table13[[#This Row],[Units_Sold]]*Table13[[#This Row],[Unit_Price_Cleaned]]*(1-Table13[[#This Row],[Discount Cleaned]]))</f>
        <v>0</v>
      </c>
      <c r="P2331" t="str">
        <f t="shared" si="184"/>
        <v>Loss</v>
      </c>
      <c r="Q2331" t="str" cm="1">
        <f t="array" ref="Q2331">IF(K2331="",INDEX($K$2:$K$2501,MATCH(MAX(COUNTIF($K$2:$K$2501,$K$2:$K$2501)),COUNTIF($K$2:$K$2501,$K$2:$K$2501),0)),K2331)</f>
        <v>B2C</v>
      </c>
    </row>
    <row r="2332" spans="1:17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 s="3">
        <f t="shared" si="180"/>
        <v>13307.699999999999</v>
      </c>
      <c r="I2332" s="1">
        <v>45826</v>
      </c>
      <c r="J2332" t="s">
        <v>56</v>
      </c>
      <c r="L2332" s="2">
        <f t="shared" si="181"/>
        <v>2217.9499999999998</v>
      </c>
      <c r="M2332" s="4">
        <f t="shared" si="182"/>
        <v>0.6</v>
      </c>
      <c r="N2332" s="1">
        <f t="shared" si="183"/>
        <v>45826</v>
      </c>
      <c r="O2332" s="3">
        <f>(Table13[[#This Row],[Units_Sold]]*Table13[[#This Row],[Unit_Price_Cleaned]]*(1-Table13[[#This Row],[Discount Cleaned]]))</f>
        <v>5323.08</v>
      </c>
      <c r="P2332" t="str">
        <f t="shared" si="184"/>
        <v>Profit</v>
      </c>
      <c r="Q2332" t="str" cm="1">
        <f t="array" ref="Q2332">IF(K2332="",INDEX($K$2:$K$2501,MATCH(MAX(COUNTIF($K$2:$K$2501,$K$2:$K$2501)),COUNTIF($K$2:$K$2501,$K$2:$K$2501),0)),K2332)</f>
        <v>B2B</v>
      </c>
    </row>
    <row r="2333" spans="1:17" x14ac:dyDescent="0.3">
      <c r="A2333">
        <v>1012</v>
      </c>
      <c r="B2333" t="s">
        <v>2346</v>
      </c>
      <c r="C2333" t="s">
        <v>20</v>
      </c>
      <c r="D2333" t="s">
        <v>88</v>
      </c>
      <c r="E2333">
        <v>2</v>
      </c>
      <c r="F2333">
        <v>1364.73</v>
      </c>
      <c r="G2333">
        <v>0.71</v>
      </c>
      <c r="H2333" s="3">
        <f t="shared" si="180"/>
        <v>2729.46</v>
      </c>
      <c r="I2333" s="1">
        <v>45726</v>
      </c>
      <c r="J2333" t="s">
        <v>22</v>
      </c>
      <c r="L2333" s="2">
        <f t="shared" si="181"/>
        <v>1364.73</v>
      </c>
      <c r="M2333" s="4">
        <f t="shared" si="182"/>
        <v>0.71</v>
      </c>
      <c r="N2333" s="1">
        <f t="shared" si="183"/>
        <v>45726</v>
      </c>
      <c r="O2333" s="3">
        <f>(Table13[[#This Row],[Units_Sold]]*Table13[[#This Row],[Unit_Price_Cleaned]]*(1-Table13[[#This Row],[Discount Cleaned]]))</f>
        <v>791.54340000000013</v>
      </c>
      <c r="P2333" t="str">
        <f t="shared" si="184"/>
        <v>Profit</v>
      </c>
      <c r="Q2333" t="str" cm="1">
        <f t="array" ref="Q2333">IF(K2333="",INDEX($K$2:$K$2501,MATCH(MAX(COUNTIF($K$2:$K$2501,$K$2:$K$2501)),COUNTIF($K$2:$K$2501,$K$2:$K$2501),0)),K2333)</f>
        <v>B2B</v>
      </c>
    </row>
    <row r="2334" spans="1:17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 s="3">
        <f t="shared" si="180"/>
        <v>6485.2</v>
      </c>
      <c r="J2334" t="s">
        <v>56</v>
      </c>
      <c r="L2334" s="2">
        <f t="shared" si="181"/>
        <v>1297.04</v>
      </c>
      <c r="M2334" s="4">
        <f t="shared" si="182"/>
        <v>0.3</v>
      </c>
      <c r="N2334" s="1">
        <f t="shared" si="183"/>
        <v>45782</v>
      </c>
      <c r="O2334" s="3">
        <f>(Table13[[#This Row],[Units_Sold]]*Table13[[#This Row],[Unit_Price_Cleaned]]*(1-Table13[[#This Row],[Discount Cleaned]]))</f>
        <v>4539.6399999999994</v>
      </c>
      <c r="P2334" t="str">
        <f t="shared" si="184"/>
        <v>Profit</v>
      </c>
      <c r="Q2334" t="str" cm="1">
        <f t="array" ref="Q2334">IF(K2334="",INDEX($K$2:$K$2501,MATCH(MAX(COUNTIF($K$2:$K$2501,$K$2:$K$2501)),COUNTIF($K$2:$K$2501,$K$2:$K$2501),0)),K2334)</f>
        <v>B2B</v>
      </c>
    </row>
    <row r="2335" spans="1:17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 s="3">
        <f t="shared" si="180"/>
        <v>-5400.2526086956505</v>
      </c>
      <c r="I2335" s="1">
        <v>45150</v>
      </c>
      <c r="J2335" t="s">
        <v>22</v>
      </c>
      <c r="K2335" t="s">
        <v>16</v>
      </c>
      <c r="L2335" s="2">
        <f t="shared" si="181"/>
        <v>2700.1263043478252</v>
      </c>
      <c r="M2335" s="4">
        <f t="shared" si="182"/>
        <v>0.6</v>
      </c>
      <c r="N2335" s="1">
        <f t="shared" si="183"/>
        <v>45150</v>
      </c>
      <c r="O2335" s="3">
        <f>(Table13[[#This Row],[Units_Sold]]*Table13[[#This Row],[Unit_Price_Cleaned]]*(1-Table13[[#This Row],[Discount Cleaned]]))</f>
        <v>-2160.1010434782602</v>
      </c>
      <c r="P2335" t="str">
        <f t="shared" si="184"/>
        <v>Loss</v>
      </c>
      <c r="Q2335" t="str" cm="1">
        <f t="array" ref="Q2335">IF(K2335="",INDEX($K$2:$K$2501,MATCH(MAX(COUNTIF($K$2:$K$2501,$K$2:$K$2501)),COUNTIF($K$2:$K$2501,$K$2:$K$2501),0)),K2335)</f>
        <v>B2C</v>
      </c>
    </row>
    <row r="2336" spans="1:17" x14ac:dyDescent="0.3">
      <c r="A2336">
        <v>3334</v>
      </c>
      <c r="B2336" t="s">
        <v>2349</v>
      </c>
      <c r="C2336" t="s">
        <v>13</v>
      </c>
      <c r="D2336" t="s">
        <v>36</v>
      </c>
      <c r="E2336">
        <v>2</v>
      </c>
      <c r="H2336" s="3">
        <f t="shared" si="180"/>
        <v>5765.0093103448271</v>
      </c>
      <c r="I2336" s="1">
        <v>45822</v>
      </c>
      <c r="J2336" t="s">
        <v>56</v>
      </c>
      <c r="K2336" t="s">
        <v>23</v>
      </c>
      <c r="L2336" s="2">
        <f t="shared" si="181"/>
        <v>2882.5046551724135</v>
      </c>
      <c r="M2336" s="4">
        <f t="shared" si="182"/>
        <v>0.6</v>
      </c>
      <c r="N2336" s="1">
        <f t="shared" si="183"/>
        <v>45822</v>
      </c>
      <c r="O2336" s="3">
        <f>(Table13[[#This Row],[Units_Sold]]*Table13[[#This Row],[Unit_Price_Cleaned]]*(1-Table13[[#This Row],[Discount Cleaned]]))</f>
        <v>2306.0037241379309</v>
      </c>
      <c r="P2336" t="str">
        <f t="shared" si="184"/>
        <v>Profit</v>
      </c>
      <c r="Q2336" t="str" cm="1">
        <f t="array" ref="Q2336">IF(K2336="",INDEX($K$2:$K$2501,MATCH(MAX(COUNTIF($K$2:$K$2501,$K$2:$K$2501)),COUNTIF($K$2:$K$2501,$K$2:$K$2501),0)),K2336)</f>
        <v>B2B</v>
      </c>
    </row>
    <row r="2337" spans="1:17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 s="3">
        <f t="shared" si="180"/>
        <v>21449.55</v>
      </c>
      <c r="I2337" s="1">
        <v>45584</v>
      </c>
      <c r="J2337" t="s">
        <v>46</v>
      </c>
      <c r="L2337" s="2">
        <f t="shared" si="181"/>
        <v>4289.91</v>
      </c>
      <c r="M2337" s="4">
        <f t="shared" si="182"/>
        <v>1.23</v>
      </c>
      <c r="N2337" s="1">
        <f t="shared" si="183"/>
        <v>45584</v>
      </c>
      <c r="O2337" s="3">
        <f>(Table13[[#This Row],[Units_Sold]]*Table13[[#This Row],[Unit_Price_Cleaned]]*(1-Table13[[#This Row],[Discount Cleaned]]))</f>
        <v>-4933.3964999999998</v>
      </c>
      <c r="P2337" t="str">
        <f t="shared" si="184"/>
        <v>Loss</v>
      </c>
      <c r="Q2337" t="str" cm="1">
        <f t="array" ref="Q2337">IF(K2337="",INDEX($K$2:$K$2501,MATCH(MAX(COUNTIF($K$2:$K$2501,$K$2:$K$2501)),COUNTIF($K$2:$K$2501,$K$2:$K$2501),0)),K2337)</f>
        <v>B2B</v>
      </c>
    </row>
    <row r="2338" spans="1:17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 s="3">
        <f t="shared" si="180"/>
        <v>5451.7114285714297</v>
      </c>
      <c r="I2338" s="1">
        <v>45826</v>
      </c>
      <c r="J2338" t="s">
        <v>18</v>
      </c>
      <c r="L2338" s="2">
        <f t="shared" si="181"/>
        <v>2725.8557142857148</v>
      </c>
      <c r="M2338" s="4">
        <f t="shared" si="182"/>
        <v>0.6</v>
      </c>
      <c r="N2338" s="1">
        <f t="shared" si="183"/>
        <v>45826</v>
      </c>
      <c r="O2338" s="3">
        <f>(Table13[[#This Row],[Units_Sold]]*Table13[[#This Row],[Unit_Price_Cleaned]]*(1-Table13[[#This Row],[Discount Cleaned]]))</f>
        <v>2180.6845714285719</v>
      </c>
      <c r="P2338" t="str">
        <f t="shared" si="184"/>
        <v>Profit</v>
      </c>
      <c r="Q2338" t="str" cm="1">
        <f t="array" ref="Q2338">IF(K2338="",INDEX($K$2:$K$2501,MATCH(MAX(COUNTIF($K$2:$K$2501,$K$2:$K$2501)),COUNTIF($K$2:$K$2501,$K$2:$K$2501),0)),K2338)</f>
        <v>B2B</v>
      </c>
    </row>
    <row r="2339" spans="1:17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 s="3">
        <f t="shared" si="180"/>
        <v>2847.86</v>
      </c>
      <c r="I2339" s="1">
        <v>45360</v>
      </c>
      <c r="J2339" t="s">
        <v>15</v>
      </c>
      <c r="K2339" t="s">
        <v>16</v>
      </c>
      <c r="L2339" s="2">
        <f t="shared" si="181"/>
        <v>2847.86</v>
      </c>
      <c r="M2339" s="4">
        <f t="shared" si="182"/>
        <v>0.7</v>
      </c>
      <c r="N2339" s="1">
        <f t="shared" si="183"/>
        <v>45360</v>
      </c>
      <c r="O2339" s="3">
        <f>(Table13[[#This Row],[Units_Sold]]*Table13[[#This Row],[Unit_Price_Cleaned]]*(1-Table13[[#This Row],[Discount Cleaned]]))</f>
        <v>854.35800000000017</v>
      </c>
      <c r="P2339" t="str">
        <f t="shared" si="184"/>
        <v>Profit</v>
      </c>
      <c r="Q2339" t="str" cm="1">
        <f t="array" ref="Q2339">IF(K2339="",INDEX($K$2:$K$2501,MATCH(MAX(COUNTIF($K$2:$K$2501,$K$2:$K$2501)),COUNTIF($K$2:$K$2501,$K$2:$K$2501),0)),K2339)</f>
        <v>B2C</v>
      </c>
    </row>
    <row r="2340" spans="1:17" x14ac:dyDescent="0.3">
      <c r="A2340">
        <v>3338</v>
      </c>
      <c r="B2340" t="s">
        <v>2353</v>
      </c>
      <c r="C2340" t="s">
        <v>38</v>
      </c>
      <c r="D2340" t="s">
        <v>63</v>
      </c>
      <c r="E2340">
        <v>2</v>
      </c>
      <c r="G2340">
        <v>0.06</v>
      </c>
      <c r="H2340" s="3">
        <f t="shared" si="180"/>
        <v>5690.4839344262318</v>
      </c>
      <c r="I2340" s="1">
        <v>45856</v>
      </c>
      <c r="J2340" t="s">
        <v>46</v>
      </c>
      <c r="K2340" t="s">
        <v>16</v>
      </c>
      <c r="L2340" s="2">
        <f t="shared" si="181"/>
        <v>2845.2419672131159</v>
      </c>
      <c r="M2340" s="4">
        <f t="shared" si="182"/>
        <v>0.06</v>
      </c>
      <c r="N2340" s="1">
        <f t="shared" si="183"/>
        <v>45856</v>
      </c>
      <c r="O2340" s="3">
        <f>(Table13[[#This Row],[Units_Sold]]*Table13[[#This Row],[Unit_Price_Cleaned]]*(1-Table13[[#This Row],[Discount Cleaned]]))</f>
        <v>5349.0548983606577</v>
      </c>
      <c r="P2340" t="str">
        <f t="shared" si="184"/>
        <v>Profit</v>
      </c>
      <c r="Q2340" t="str" cm="1">
        <f t="array" ref="Q2340">IF(K2340="",INDEX($K$2:$K$2501,MATCH(MAX(COUNTIF($K$2:$K$2501,$K$2:$K$2501)),COUNTIF($K$2:$K$2501,$K$2:$K$2501),0)),K2340)</f>
        <v>B2C</v>
      </c>
    </row>
    <row r="2341" spans="1:17" x14ac:dyDescent="0.3">
      <c r="A2341">
        <v>3339</v>
      </c>
      <c r="B2341" t="s">
        <v>2354</v>
      </c>
      <c r="C2341" t="s">
        <v>29</v>
      </c>
      <c r="D2341" t="s">
        <v>120</v>
      </c>
      <c r="E2341">
        <v>2</v>
      </c>
      <c r="H2341" s="3">
        <f t="shared" si="180"/>
        <v>5660.2651428571462</v>
      </c>
      <c r="I2341" s="1">
        <v>45367</v>
      </c>
      <c r="J2341" t="s">
        <v>15</v>
      </c>
      <c r="K2341" t="s">
        <v>16</v>
      </c>
      <c r="L2341" s="2">
        <f t="shared" si="181"/>
        <v>2830.1325714285731</v>
      </c>
      <c r="M2341" s="4">
        <f t="shared" si="182"/>
        <v>0.6</v>
      </c>
      <c r="N2341" s="1">
        <f t="shared" si="183"/>
        <v>45367</v>
      </c>
      <c r="O2341" s="3">
        <f>(Table13[[#This Row],[Units_Sold]]*Table13[[#This Row],[Unit_Price_Cleaned]]*(1-Table13[[#This Row],[Discount Cleaned]]))</f>
        <v>2264.1060571428584</v>
      </c>
      <c r="P2341" t="str">
        <f t="shared" si="184"/>
        <v>Profit</v>
      </c>
      <c r="Q2341" t="str" cm="1">
        <f t="array" ref="Q2341">IF(K2341="",INDEX($K$2:$K$2501,MATCH(MAX(COUNTIF($K$2:$K$2501,$K$2:$K$2501)),COUNTIF($K$2:$K$2501,$K$2:$K$2501),0)),K2341)</f>
        <v>B2C</v>
      </c>
    </row>
    <row r="2342" spans="1:17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 s="3">
        <f t="shared" si="180"/>
        <v>23545.68</v>
      </c>
      <c r="I2342" s="1">
        <v>45532</v>
      </c>
      <c r="J2342" t="s">
        <v>40</v>
      </c>
      <c r="L2342" s="2">
        <f t="shared" si="181"/>
        <v>3924.28</v>
      </c>
      <c r="M2342" s="4">
        <f t="shared" si="182"/>
        <v>0.15</v>
      </c>
      <c r="N2342" s="1">
        <f t="shared" si="183"/>
        <v>45532</v>
      </c>
      <c r="O2342" s="3">
        <f>(Table13[[#This Row],[Units_Sold]]*Table13[[#This Row],[Unit_Price_Cleaned]]*(1-Table13[[#This Row],[Discount Cleaned]]))</f>
        <v>20013.828000000001</v>
      </c>
      <c r="P2342" t="str">
        <f t="shared" si="184"/>
        <v>Profit</v>
      </c>
      <c r="Q2342" t="str" cm="1">
        <f t="array" ref="Q2342">IF(K2342="",INDEX($K$2:$K$2501,MATCH(MAX(COUNTIF($K$2:$K$2501,$K$2:$K$2501)),COUNTIF($K$2:$K$2501,$K$2:$K$2501),0)),K2342)</f>
        <v>B2B</v>
      </c>
    </row>
    <row r="2343" spans="1:17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 s="3">
        <f t="shared" si="180"/>
        <v>4160.18</v>
      </c>
      <c r="J2343" t="s">
        <v>56</v>
      </c>
      <c r="L2343" s="2">
        <f t="shared" si="181"/>
        <v>2080.09</v>
      </c>
      <c r="M2343" s="4">
        <f t="shared" si="182"/>
        <v>0.6</v>
      </c>
      <c r="N2343" s="1">
        <f t="shared" si="183"/>
        <v>45782</v>
      </c>
      <c r="O2343" s="3">
        <f>(Table13[[#This Row],[Units_Sold]]*Table13[[#This Row],[Unit_Price_Cleaned]]*(1-Table13[[#This Row],[Discount Cleaned]]))</f>
        <v>1664.0720000000001</v>
      </c>
      <c r="P2343" t="str">
        <f t="shared" si="184"/>
        <v>Profit</v>
      </c>
      <c r="Q2343" t="str" cm="1">
        <f t="array" ref="Q2343">IF(K2343="",INDEX($K$2:$K$2501,MATCH(MAX(COUNTIF($K$2:$K$2501,$K$2:$K$2501)),COUNTIF($K$2:$K$2501,$K$2:$K$2501),0)),K2343)</f>
        <v>B2B</v>
      </c>
    </row>
    <row r="2344" spans="1:17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 s="3">
        <f t="shared" si="180"/>
        <v>4219.66</v>
      </c>
      <c r="J2344" t="s">
        <v>46</v>
      </c>
      <c r="K2344" t="s">
        <v>23</v>
      </c>
      <c r="L2344" s="2">
        <f t="shared" si="181"/>
        <v>2109.83</v>
      </c>
      <c r="M2344" s="4">
        <f t="shared" si="182"/>
        <v>0.6</v>
      </c>
      <c r="N2344" s="1">
        <f t="shared" si="183"/>
        <v>45782</v>
      </c>
      <c r="O2344" s="3">
        <f>(Table13[[#This Row],[Units_Sold]]*Table13[[#This Row],[Unit_Price_Cleaned]]*(1-Table13[[#This Row],[Discount Cleaned]]))</f>
        <v>1687.864</v>
      </c>
      <c r="P2344" t="str">
        <f t="shared" si="184"/>
        <v>Profit</v>
      </c>
      <c r="Q2344" t="str" cm="1">
        <f t="array" ref="Q2344">IF(K2344="",INDEX($K$2:$K$2501,MATCH(MAX(COUNTIF($K$2:$K$2501,$K$2:$K$2501)),COUNTIF($K$2:$K$2501,$K$2:$K$2501),0)),K2344)</f>
        <v>B2B</v>
      </c>
    </row>
    <row r="2345" spans="1:17" x14ac:dyDescent="0.3">
      <c r="A2345">
        <v>3343</v>
      </c>
      <c r="B2345" t="s">
        <v>2358</v>
      </c>
      <c r="C2345" t="s">
        <v>33</v>
      </c>
      <c r="D2345" t="s">
        <v>82</v>
      </c>
      <c r="E2345">
        <v>2</v>
      </c>
      <c r="F2345">
        <v>3677.95</v>
      </c>
      <c r="G2345">
        <v>0.42</v>
      </c>
      <c r="H2345" s="3">
        <f t="shared" si="180"/>
        <v>7355.9</v>
      </c>
      <c r="I2345" s="1">
        <v>45713</v>
      </c>
      <c r="J2345" t="s">
        <v>22</v>
      </c>
      <c r="K2345" t="s">
        <v>16</v>
      </c>
      <c r="L2345" s="2">
        <f t="shared" si="181"/>
        <v>3677.95</v>
      </c>
      <c r="M2345" s="4">
        <f t="shared" si="182"/>
        <v>0.42</v>
      </c>
      <c r="N2345" s="1">
        <f t="shared" si="183"/>
        <v>45713</v>
      </c>
      <c r="O2345" s="3">
        <f>(Table13[[#This Row],[Units_Sold]]*Table13[[#This Row],[Unit_Price_Cleaned]]*(1-Table13[[#This Row],[Discount Cleaned]]))</f>
        <v>4266.4220000000005</v>
      </c>
      <c r="P2345" t="str">
        <f t="shared" si="184"/>
        <v>Profit</v>
      </c>
      <c r="Q2345" t="str" cm="1">
        <f t="array" ref="Q2345">IF(K2345="",INDEX($K$2:$K$2501,MATCH(MAX(COUNTIF($K$2:$K$2501,$K$2:$K$2501)),COUNTIF($K$2:$K$2501,$K$2:$K$2501),0)),K2345)</f>
        <v>B2C</v>
      </c>
    </row>
    <row r="2346" spans="1:17" x14ac:dyDescent="0.3">
      <c r="A2346">
        <v>3344</v>
      </c>
      <c r="B2346" t="s">
        <v>2359</v>
      </c>
      <c r="C2346" t="s">
        <v>20</v>
      </c>
      <c r="D2346" t="s">
        <v>21</v>
      </c>
      <c r="E2346">
        <v>2</v>
      </c>
      <c r="H2346" s="3">
        <f t="shared" si="180"/>
        <v>5362.348727272727</v>
      </c>
      <c r="I2346" s="1">
        <v>45811</v>
      </c>
      <c r="J2346" t="s">
        <v>18</v>
      </c>
      <c r="K2346" t="s">
        <v>23</v>
      </c>
      <c r="L2346" s="2">
        <f t="shared" si="181"/>
        <v>2681.1743636363635</v>
      </c>
      <c r="M2346" s="4">
        <f t="shared" si="182"/>
        <v>0.6</v>
      </c>
      <c r="N2346" s="1">
        <f t="shared" si="183"/>
        <v>45811</v>
      </c>
      <c r="O2346" s="3">
        <f>(Table13[[#This Row],[Units_Sold]]*Table13[[#This Row],[Unit_Price_Cleaned]]*(1-Table13[[#This Row],[Discount Cleaned]]))</f>
        <v>2144.9394909090911</v>
      </c>
      <c r="P2346" t="str">
        <f t="shared" si="184"/>
        <v>Profit</v>
      </c>
      <c r="Q2346" t="str" cm="1">
        <f t="array" ref="Q2346">IF(K2346="",INDEX($K$2:$K$2501,MATCH(MAX(COUNTIF($K$2:$K$2501,$K$2:$K$2501)),COUNTIF($K$2:$K$2501,$K$2:$K$2501),0)),K2346)</f>
        <v>B2B</v>
      </c>
    </row>
    <row r="2347" spans="1:17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 s="3">
        <f t="shared" si="180"/>
        <v>0</v>
      </c>
      <c r="I2347" s="1">
        <v>45679</v>
      </c>
      <c r="J2347" t="s">
        <v>40</v>
      </c>
      <c r="L2347" s="2">
        <f t="shared" si="181"/>
        <v>2845.2419672131159</v>
      </c>
      <c r="M2347" s="4">
        <f t="shared" si="182"/>
        <v>0.6</v>
      </c>
      <c r="N2347" s="1">
        <f t="shared" si="183"/>
        <v>45679</v>
      </c>
      <c r="O2347" s="3">
        <f>(Table13[[#This Row],[Units_Sold]]*Table13[[#This Row],[Unit_Price_Cleaned]]*(1-Table13[[#This Row],[Discount Cleaned]]))</f>
        <v>0</v>
      </c>
      <c r="P2347" t="str">
        <f t="shared" si="184"/>
        <v>Loss</v>
      </c>
      <c r="Q2347" t="str" cm="1">
        <f t="array" ref="Q2347">IF(K2347="",INDEX($K$2:$K$2501,MATCH(MAX(COUNTIF($K$2:$K$2501,$K$2:$K$2501)),COUNTIF($K$2:$K$2501,$K$2:$K$2501),0)),K2347)</f>
        <v>B2B</v>
      </c>
    </row>
    <row r="2348" spans="1:17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 s="3">
        <f t="shared" si="180"/>
        <v>2532.46</v>
      </c>
      <c r="I2348" s="1">
        <v>45651</v>
      </c>
      <c r="J2348" t="s">
        <v>18</v>
      </c>
      <c r="K2348" t="s">
        <v>23</v>
      </c>
      <c r="L2348" s="2">
        <f t="shared" si="181"/>
        <v>1266.23</v>
      </c>
      <c r="M2348" s="4">
        <f t="shared" si="182"/>
        <v>0.81</v>
      </c>
      <c r="N2348" s="1">
        <f t="shared" si="183"/>
        <v>45651</v>
      </c>
      <c r="O2348" s="3">
        <f>(Table13[[#This Row],[Units_Sold]]*Table13[[#This Row],[Unit_Price_Cleaned]]*(1-Table13[[#This Row],[Discount Cleaned]]))</f>
        <v>481.16739999999987</v>
      </c>
      <c r="P2348" t="str">
        <f t="shared" si="184"/>
        <v>Loss</v>
      </c>
      <c r="Q2348" t="str" cm="1">
        <f t="array" ref="Q2348">IF(K2348="",INDEX($K$2:$K$2501,MATCH(MAX(COUNTIF($K$2:$K$2501,$K$2:$K$2501)),COUNTIF($K$2:$K$2501,$K$2:$K$2501),0)),K2348)</f>
        <v>B2B</v>
      </c>
    </row>
    <row r="2349" spans="1:17" x14ac:dyDescent="0.3">
      <c r="A2349">
        <v>3347</v>
      </c>
      <c r="B2349" t="s">
        <v>2362</v>
      </c>
      <c r="C2349" t="s">
        <v>20</v>
      </c>
      <c r="D2349" t="s">
        <v>88</v>
      </c>
      <c r="E2349">
        <v>2</v>
      </c>
      <c r="F2349">
        <v>3873.27</v>
      </c>
      <c r="H2349" s="3">
        <f t="shared" si="180"/>
        <v>7746.54</v>
      </c>
      <c r="I2349" s="1">
        <v>45656</v>
      </c>
      <c r="J2349" t="s">
        <v>22</v>
      </c>
      <c r="L2349" s="2">
        <f t="shared" si="181"/>
        <v>3873.27</v>
      </c>
      <c r="M2349" s="4">
        <f t="shared" si="182"/>
        <v>0.6</v>
      </c>
      <c r="N2349" s="1">
        <f t="shared" si="183"/>
        <v>45656</v>
      </c>
      <c r="O2349" s="3">
        <f>(Table13[[#This Row],[Units_Sold]]*Table13[[#This Row],[Unit_Price_Cleaned]]*(1-Table13[[#This Row],[Discount Cleaned]]))</f>
        <v>3098.616</v>
      </c>
      <c r="P2349" t="str">
        <f t="shared" si="184"/>
        <v>Profit</v>
      </c>
      <c r="Q2349" t="str" cm="1">
        <f t="array" ref="Q2349">IF(K2349="",INDEX($K$2:$K$2501,MATCH(MAX(COUNTIF($K$2:$K$2501,$K$2:$K$2501)),COUNTIF($K$2:$K$2501,$K$2:$K$2501),0)),K2349)</f>
        <v>B2B</v>
      </c>
    </row>
    <row r="2350" spans="1:17" x14ac:dyDescent="0.3">
      <c r="A2350">
        <v>3348</v>
      </c>
      <c r="B2350" t="s">
        <v>2363</v>
      </c>
      <c r="C2350" t="s">
        <v>20</v>
      </c>
      <c r="D2350" t="s">
        <v>122</v>
      </c>
      <c r="E2350">
        <v>2</v>
      </c>
      <c r="G2350">
        <v>0.98</v>
      </c>
      <c r="H2350" s="3">
        <f t="shared" si="180"/>
        <v>5400.2526086956505</v>
      </c>
      <c r="I2350" s="1">
        <v>45592</v>
      </c>
      <c r="J2350" t="s">
        <v>56</v>
      </c>
      <c r="K2350" t="s">
        <v>23</v>
      </c>
      <c r="L2350" s="2">
        <f t="shared" si="181"/>
        <v>2700.1263043478252</v>
      </c>
      <c r="M2350" s="4">
        <f t="shared" si="182"/>
        <v>0.98</v>
      </c>
      <c r="N2350" s="1">
        <f t="shared" si="183"/>
        <v>45592</v>
      </c>
      <c r="O2350" s="3">
        <f>(Table13[[#This Row],[Units_Sold]]*Table13[[#This Row],[Unit_Price_Cleaned]]*(1-Table13[[#This Row],[Discount Cleaned]]))</f>
        <v>108.0050521739131</v>
      </c>
      <c r="P2350" t="str">
        <f t="shared" si="184"/>
        <v>Loss</v>
      </c>
      <c r="Q2350" t="str" cm="1">
        <f t="array" ref="Q2350">IF(K2350="",INDEX($K$2:$K$2501,MATCH(MAX(COUNTIF($K$2:$K$2501,$K$2:$K$2501)),COUNTIF($K$2:$K$2501,$K$2:$K$2501),0)),K2350)</f>
        <v>B2B</v>
      </c>
    </row>
    <row r="2351" spans="1:17" x14ac:dyDescent="0.3">
      <c r="A2351">
        <v>3349</v>
      </c>
      <c r="B2351" t="s">
        <v>2364</v>
      </c>
      <c r="C2351" t="s">
        <v>20</v>
      </c>
      <c r="D2351" t="s">
        <v>80</v>
      </c>
      <c r="E2351">
        <v>2</v>
      </c>
      <c r="F2351">
        <v>1866.28</v>
      </c>
      <c r="H2351" s="3">
        <f t="shared" si="180"/>
        <v>3732.56</v>
      </c>
      <c r="I2351" s="1">
        <v>45840</v>
      </c>
      <c r="J2351" t="s">
        <v>46</v>
      </c>
      <c r="L2351" s="2">
        <f t="shared" si="181"/>
        <v>1866.28</v>
      </c>
      <c r="M2351" s="4">
        <f t="shared" si="182"/>
        <v>0.6</v>
      </c>
      <c r="N2351" s="1">
        <f t="shared" si="183"/>
        <v>45840</v>
      </c>
      <c r="O2351" s="3">
        <f>(Table13[[#This Row],[Units_Sold]]*Table13[[#This Row],[Unit_Price_Cleaned]]*(1-Table13[[#This Row],[Discount Cleaned]]))</f>
        <v>1493.0240000000001</v>
      </c>
      <c r="P2351" t="str">
        <f t="shared" si="184"/>
        <v>Profit</v>
      </c>
      <c r="Q2351" t="str" cm="1">
        <f t="array" ref="Q2351">IF(K2351="",INDEX($K$2:$K$2501,MATCH(MAX(COUNTIF($K$2:$K$2501,$K$2:$K$2501)),COUNTIF($K$2:$K$2501,$K$2:$K$2501),0)),K2351)</f>
        <v>B2B</v>
      </c>
    </row>
    <row r="2352" spans="1:17" x14ac:dyDescent="0.3">
      <c r="A2352">
        <v>3350</v>
      </c>
      <c r="B2352" t="s">
        <v>2365</v>
      </c>
      <c r="C2352" t="s">
        <v>25</v>
      </c>
      <c r="D2352" t="s">
        <v>66</v>
      </c>
      <c r="E2352">
        <v>2</v>
      </c>
      <c r="H2352" s="3">
        <f t="shared" si="180"/>
        <v>5145.5528000000013</v>
      </c>
      <c r="I2352" s="1">
        <v>45337</v>
      </c>
      <c r="J2352" t="s">
        <v>22</v>
      </c>
      <c r="K2352" t="s">
        <v>16</v>
      </c>
      <c r="L2352" s="2">
        <f t="shared" si="181"/>
        <v>2572.7764000000006</v>
      </c>
      <c r="M2352" s="4">
        <f t="shared" si="182"/>
        <v>0.6</v>
      </c>
      <c r="N2352" s="1">
        <f t="shared" si="183"/>
        <v>45337</v>
      </c>
      <c r="O2352" s="3">
        <f>(Table13[[#This Row],[Units_Sold]]*Table13[[#This Row],[Unit_Price_Cleaned]]*(1-Table13[[#This Row],[Discount Cleaned]]))</f>
        <v>2058.2211200000006</v>
      </c>
      <c r="P2352" t="str">
        <f t="shared" si="184"/>
        <v>Profit</v>
      </c>
      <c r="Q2352" t="str" cm="1">
        <f t="array" ref="Q2352">IF(K2352="",INDEX($K$2:$K$2501,MATCH(MAX(COUNTIF($K$2:$K$2501,$K$2:$K$2501)),COUNTIF($K$2:$K$2501,$K$2:$K$2501),0)),K2352)</f>
        <v>B2C</v>
      </c>
    </row>
    <row r="2353" spans="1:17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 s="3">
        <f t="shared" si="180"/>
        <v>0</v>
      </c>
      <c r="I2353" s="1">
        <v>45620</v>
      </c>
      <c r="J2353" t="s">
        <v>46</v>
      </c>
      <c r="K2353" t="s">
        <v>16</v>
      </c>
      <c r="L2353" s="2">
        <f t="shared" si="181"/>
        <v>2882.5046551724135</v>
      </c>
      <c r="M2353" s="4">
        <f t="shared" si="182"/>
        <v>0.56999999999999995</v>
      </c>
      <c r="N2353" s="1">
        <f t="shared" si="183"/>
        <v>45620</v>
      </c>
      <c r="O2353" s="3">
        <f>(Table13[[#This Row],[Units_Sold]]*Table13[[#This Row],[Unit_Price_Cleaned]]*(1-Table13[[#This Row],[Discount Cleaned]]))</f>
        <v>0</v>
      </c>
      <c r="P2353" t="str">
        <f t="shared" si="184"/>
        <v>Loss</v>
      </c>
      <c r="Q2353" t="str" cm="1">
        <f t="array" ref="Q2353">IF(K2353="",INDEX($K$2:$K$2501,MATCH(MAX(COUNTIF($K$2:$K$2501,$K$2:$K$2501)),COUNTIF($K$2:$K$2501,$K$2:$K$2501),0)),K2353)</f>
        <v>B2C</v>
      </c>
    </row>
    <row r="2354" spans="1:17" x14ac:dyDescent="0.3">
      <c r="A2354">
        <v>3352</v>
      </c>
      <c r="B2354" t="s">
        <v>2367</v>
      </c>
      <c r="C2354" t="s">
        <v>29</v>
      </c>
      <c r="D2354" t="s">
        <v>30</v>
      </c>
      <c r="E2354">
        <v>2</v>
      </c>
      <c r="F2354">
        <v>2559.35</v>
      </c>
      <c r="H2354" s="3">
        <f t="shared" si="180"/>
        <v>5118.7</v>
      </c>
      <c r="I2354" s="1">
        <v>45207</v>
      </c>
      <c r="J2354" t="s">
        <v>18</v>
      </c>
      <c r="L2354" s="2">
        <f t="shared" si="181"/>
        <v>2559.35</v>
      </c>
      <c r="M2354" s="4">
        <f t="shared" si="182"/>
        <v>0.6</v>
      </c>
      <c r="N2354" s="1">
        <f t="shared" si="183"/>
        <v>45207</v>
      </c>
      <c r="O2354" s="3">
        <f>(Table13[[#This Row],[Units_Sold]]*Table13[[#This Row],[Unit_Price_Cleaned]]*(1-Table13[[#This Row],[Discount Cleaned]]))</f>
        <v>2047.48</v>
      </c>
      <c r="P2354" t="str">
        <f t="shared" si="184"/>
        <v>Profit</v>
      </c>
      <c r="Q2354" t="str" cm="1">
        <f t="array" ref="Q2354">IF(K2354="",INDEX($K$2:$K$2501,MATCH(MAX(COUNTIF($K$2:$K$2501,$K$2:$K$2501)),COUNTIF($K$2:$K$2501,$K$2:$K$2501),0)),K2354)</f>
        <v>B2B</v>
      </c>
    </row>
    <row r="2355" spans="1:17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 s="3">
        <f t="shared" si="180"/>
        <v>0</v>
      </c>
      <c r="I2355" s="1">
        <v>45617</v>
      </c>
      <c r="J2355" t="s">
        <v>22</v>
      </c>
      <c r="L2355" s="2">
        <f t="shared" si="181"/>
        <v>2700.1263043478252</v>
      </c>
      <c r="M2355" s="4">
        <f t="shared" si="182"/>
        <v>0.6</v>
      </c>
      <c r="N2355" s="1">
        <f t="shared" si="183"/>
        <v>45617</v>
      </c>
      <c r="O2355" s="3">
        <f>(Table13[[#This Row],[Units_Sold]]*Table13[[#This Row],[Unit_Price_Cleaned]]*(1-Table13[[#This Row],[Discount Cleaned]]))</f>
        <v>0</v>
      </c>
      <c r="P2355" t="str">
        <f t="shared" si="184"/>
        <v>Loss</v>
      </c>
      <c r="Q2355" t="str" cm="1">
        <f t="array" ref="Q2355">IF(K2355="",INDEX($K$2:$K$2501,MATCH(MAX(COUNTIF($K$2:$K$2501,$K$2:$K$2501)),COUNTIF($K$2:$K$2501,$K$2:$K$2501),0)),K2355)</f>
        <v>B2B</v>
      </c>
    </row>
    <row r="2356" spans="1:17" x14ac:dyDescent="0.3">
      <c r="A2356">
        <v>3354</v>
      </c>
      <c r="B2356" t="s">
        <v>2368</v>
      </c>
      <c r="C2356" t="s">
        <v>20</v>
      </c>
      <c r="D2356" t="s">
        <v>122</v>
      </c>
      <c r="E2356">
        <v>2</v>
      </c>
      <c r="G2356">
        <v>0.74</v>
      </c>
      <c r="H2356" s="3">
        <f t="shared" si="180"/>
        <v>5400.2526086956505</v>
      </c>
      <c r="I2356" s="1">
        <v>45764</v>
      </c>
      <c r="J2356" t="s">
        <v>22</v>
      </c>
      <c r="L2356" s="2">
        <f t="shared" si="181"/>
        <v>2700.1263043478252</v>
      </c>
      <c r="M2356" s="4">
        <f t="shared" si="182"/>
        <v>0.74</v>
      </c>
      <c r="N2356" s="1">
        <f t="shared" si="183"/>
        <v>45764</v>
      </c>
      <c r="O2356" s="3">
        <f>(Table13[[#This Row],[Units_Sold]]*Table13[[#This Row],[Unit_Price_Cleaned]]*(1-Table13[[#This Row],[Discount Cleaned]]))</f>
        <v>1404.0656782608692</v>
      </c>
      <c r="P2356" t="str">
        <f t="shared" si="184"/>
        <v>Profit</v>
      </c>
      <c r="Q2356" t="str" cm="1">
        <f t="array" ref="Q2356">IF(K2356="",INDEX($K$2:$K$2501,MATCH(MAX(COUNTIF($K$2:$K$2501,$K$2:$K$2501)),COUNTIF($K$2:$K$2501,$K$2:$K$2501),0)),K2356)</f>
        <v>B2B</v>
      </c>
    </row>
    <row r="2357" spans="1:17" x14ac:dyDescent="0.3">
      <c r="A2357">
        <v>3355</v>
      </c>
      <c r="B2357" t="s">
        <v>2369</v>
      </c>
      <c r="C2357" t="s">
        <v>29</v>
      </c>
      <c r="D2357" t="s">
        <v>30</v>
      </c>
      <c r="E2357">
        <v>2</v>
      </c>
      <c r="F2357">
        <v>3111.18</v>
      </c>
      <c r="G2357">
        <v>0.03</v>
      </c>
      <c r="H2357" s="3">
        <f t="shared" si="180"/>
        <v>6222.36</v>
      </c>
      <c r="J2357" t="s">
        <v>18</v>
      </c>
      <c r="L2357" s="2">
        <f t="shared" si="181"/>
        <v>3111.18</v>
      </c>
      <c r="M2357" s="4">
        <f t="shared" si="182"/>
        <v>0.03</v>
      </c>
      <c r="N2357" s="1">
        <f t="shared" si="183"/>
        <v>45782</v>
      </c>
      <c r="O2357" s="3">
        <f>(Table13[[#This Row],[Units_Sold]]*Table13[[#This Row],[Unit_Price_Cleaned]]*(1-Table13[[#This Row],[Discount Cleaned]]))</f>
        <v>6035.6891999999998</v>
      </c>
      <c r="P2357" t="str">
        <f t="shared" si="184"/>
        <v>Profit</v>
      </c>
      <c r="Q2357" t="str" cm="1">
        <f t="array" ref="Q2357">IF(K2357="",INDEX($K$2:$K$2501,MATCH(MAX(COUNTIF($K$2:$K$2501,$K$2:$K$2501)),COUNTIF($K$2:$K$2501,$K$2:$K$2501),0)),K2357)</f>
        <v>B2B</v>
      </c>
    </row>
    <row r="2358" spans="1:17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 s="3">
        <f t="shared" si="180"/>
        <v>966.41</v>
      </c>
      <c r="I2358" s="1">
        <v>45499</v>
      </c>
      <c r="J2358" t="s">
        <v>40</v>
      </c>
      <c r="K2358" t="s">
        <v>16</v>
      </c>
      <c r="L2358" s="2">
        <f t="shared" si="181"/>
        <v>966.41</v>
      </c>
      <c r="M2358" s="4">
        <f t="shared" si="182"/>
        <v>0.6</v>
      </c>
      <c r="N2358" s="1">
        <f t="shared" si="183"/>
        <v>45499</v>
      </c>
      <c r="O2358" s="3">
        <f>(Table13[[#This Row],[Units_Sold]]*Table13[[#This Row],[Unit_Price_Cleaned]]*(1-Table13[[#This Row],[Discount Cleaned]]))</f>
        <v>386.56400000000002</v>
      </c>
      <c r="P2358" t="str">
        <f t="shared" si="184"/>
        <v>Loss</v>
      </c>
      <c r="Q2358" t="str" cm="1">
        <f t="array" ref="Q2358">IF(K2358="",INDEX($K$2:$K$2501,MATCH(MAX(COUNTIF($K$2:$K$2501,$K$2:$K$2501)),COUNTIF($K$2:$K$2501,$K$2:$K$2501),0)),K2358)</f>
        <v>B2C</v>
      </c>
    </row>
    <row r="2359" spans="1:17" x14ac:dyDescent="0.3">
      <c r="A2359">
        <v>3357</v>
      </c>
      <c r="B2359" t="s">
        <v>2371</v>
      </c>
      <c r="C2359" t="s">
        <v>38</v>
      </c>
      <c r="D2359" t="s">
        <v>59</v>
      </c>
      <c r="E2359">
        <v>2</v>
      </c>
      <c r="F2359">
        <v>4909.58</v>
      </c>
      <c r="H2359" s="3">
        <f t="shared" si="180"/>
        <v>9819.16</v>
      </c>
      <c r="I2359" s="1">
        <v>45213</v>
      </c>
      <c r="J2359" t="s">
        <v>46</v>
      </c>
      <c r="L2359" s="2">
        <f t="shared" si="181"/>
        <v>4909.58</v>
      </c>
      <c r="M2359" s="4">
        <f t="shared" si="182"/>
        <v>0.6</v>
      </c>
      <c r="N2359" s="1">
        <f t="shared" si="183"/>
        <v>45213</v>
      </c>
      <c r="O2359" s="3">
        <f>(Table13[[#This Row],[Units_Sold]]*Table13[[#This Row],[Unit_Price_Cleaned]]*(1-Table13[[#This Row],[Discount Cleaned]]))</f>
        <v>3927.6640000000002</v>
      </c>
      <c r="P2359" t="str">
        <f t="shared" si="184"/>
        <v>Profit</v>
      </c>
      <c r="Q2359" t="str" cm="1">
        <f t="array" ref="Q2359">IF(K2359="",INDEX($K$2:$K$2501,MATCH(MAX(COUNTIF($K$2:$K$2501,$K$2:$K$2501)),COUNTIF($K$2:$K$2501,$K$2:$K$2501),0)),K2359)</f>
        <v>B2B</v>
      </c>
    </row>
    <row r="2360" spans="1:17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 s="3">
        <f t="shared" si="180"/>
        <v>-5690.4839344262318</v>
      </c>
      <c r="I2360" s="1">
        <v>45618</v>
      </c>
      <c r="J2360" t="s">
        <v>15</v>
      </c>
      <c r="K2360" t="s">
        <v>16</v>
      </c>
      <c r="L2360" s="2">
        <f t="shared" si="181"/>
        <v>2845.2419672131159</v>
      </c>
      <c r="M2360" s="4">
        <f t="shared" si="182"/>
        <v>0.6</v>
      </c>
      <c r="N2360" s="1">
        <f t="shared" si="183"/>
        <v>45618</v>
      </c>
      <c r="O2360" s="3">
        <f>(Table13[[#This Row],[Units_Sold]]*Table13[[#This Row],[Unit_Price_Cleaned]]*(1-Table13[[#This Row],[Discount Cleaned]]))</f>
        <v>-2276.193573770493</v>
      </c>
      <c r="P2360" t="str">
        <f t="shared" si="184"/>
        <v>Loss</v>
      </c>
      <c r="Q2360" t="str" cm="1">
        <f t="array" ref="Q2360">IF(K2360="",INDEX($K$2:$K$2501,MATCH(MAX(COUNTIF($K$2:$K$2501,$K$2:$K$2501)),COUNTIF($K$2:$K$2501,$K$2:$K$2501),0)),K2360)</f>
        <v>B2C</v>
      </c>
    </row>
    <row r="2361" spans="1:17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 s="3">
        <f t="shared" si="180"/>
        <v>-2760.88</v>
      </c>
      <c r="J2361" t="s">
        <v>22</v>
      </c>
      <c r="K2361" t="s">
        <v>23</v>
      </c>
      <c r="L2361" s="2">
        <f t="shared" si="181"/>
        <v>1380.44</v>
      </c>
      <c r="M2361" s="4">
        <f t="shared" si="182"/>
        <v>0.6</v>
      </c>
      <c r="N2361" s="1">
        <f t="shared" si="183"/>
        <v>45782</v>
      </c>
      <c r="O2361" s="3">
        <f>(Table13[[#This Row],[Units_Sold]]*Table13[[#This Row],[Unit_Price_Cleaned]]*(1-Table13[[#This Row],[Discount Cleaned]]))</f>
        <v>-1104.3520000000001</v>
      </c>
      <c r="P2361" t="str">
        <f t="shared" si="184"/>
        <v>Loss</v>
      </c>
      <c r="Q2361" t="str" cm="1">
        <f t="array" ref="Q2361">IF(K2361="",INDEX($K$2:$K$2501,MATCH(MAX(COUNTIF($K$2:$K$2501,$K$2:$K$2501)),COUNTIF($K$2:$K$2501,$K$2:$K$2501),0)),K2361)</f>
        <v>B2B</v>
      </c>
    </row>
    <row r="2362" spans="1:17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 s="3">
        <f t="shared" si="180"/>
        <v>11906.338793103449</v>
      </c>
      <c r="I2362" s="1">
        <v>45699</v>
      </c>
      <c r="J2362" t="s">
        <v>56</v>
      </c>
      <c r="K2362" t="s">
        <v>23</v>
      </c>
      <c r="L2362" s="2">
        <f t="shared" si="181"/>
        <v>2381.2677586206896</v>
      </c>
      <c r="M2362" s="4">
        <f t="shared" si="182"/>
        <v>0.6</v>
      </c>
      <c r="N2362" s="1">
        <f t="shared" si="183"/>
        <v>45699</v>
      </c>
      <c r="O2362" s="3">
        <f>(Table13[[#This Row],[Units_Sold]]*Table13[[#This Row],[Unit_Price_Cleaned]]*(1-Table13[[#This Row],[Discount Cleaned]]))</f>
        <v>4762.5355172413792</v>
      </c>
      <c r="P2362" t="str">
        <f t="shared" si="184"/>
        <v>Profit</v>
      </c>
      <c r="Q2362" t="str" cm="1">
        <f t="array" ref="Q2362">IF(K2362="",INDEX($K$2:$K$2501,MATCH(MAX(COUNTIF($K$2:$K$2501,$K$2:$K$2501)),COUNTIF($K$2:$K$2501,$K$2:$K$2501),0)),K2362)</f>
        <v>B2B</v>
      </c>
    </row>
    <row r="2363" spans="1:17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 s="3">
        <f t="shared" si="180"/>
        <v>4925.58</v>
      </c>
      <c r="J2363" t="s">
        <v>40</v>
      </c>
      <c r="L2363" s="2">
        <f t="shared" si="181"/>
        <v>2462.79</v>
      </c>
      <c r="M2363" s="4">
        <f t="shared" si="182"/>
        <v>0.6</v>
      </c>
      <c r="N2363" s="1">
        <f t="shared" si="183"/>
        <v>45782</v>
      </c>
      <c r="O2363" s="3">
        <f>(Table13[[#This Row],[Units_Sold]]*Table13[[#This Row],[Unit_Price_Cleaned]]*(1-Table13[[#This Row],[Discount Cleaned]]))</f>
        <v>1970.232</v>
      </c>
      <c r="P2363" t="str">
        <f t="shared" si="184"/>
        <v>Profit</v>
      </c>
      <c r="Q2363" t="str" cm="1">
        <f t="array" ref="Q2363">IF(K2363="",INDEX($K$2:$K$2501,MATCH(MAX(COUNTIF($K$2:$K$2501,$K$2:$K$2501)),COUNTIF($K$2:$K$2501,$K$2:$K$2501),0)),K2363)</f>
        <v>B2B</v>
      </c>
    </row>
    <row r="2364" spans="1:17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 s="3">
        <f t="shared" si="180"/>
        <v>5235.2780769230776</v>
      </c>
      <c r="I2364" s="1">
        <v>45802</v>
      </c>
      <c r="J2364" t="s">
        <v>56</v>
      </c>
      <c r="L2364" s="2">
        <f t="shared" si="181"/>
        <v>2617.6390384615388</v>
      </c>
      <c r="M2364" s="4">
        <f t="shared" si="182"/>
        <v>0.6</v>
      </c>
      <c r="N2364" s="1">
        <f t="shared" si="183"/>
        <v>45802</v>
      </c>
      <c r="O2364" s="3">
        <f>(Table13[[#This Row],[Units_Sold]]*Table13[[#This Row],[Unit_Price_Cleaned]]*(1-Table13[[#This Row],[Discount Cleaned]]))</f>
        <v>2094.111230769231</v>
      </c>
      <c r="P2364" t="str">
        <f t="shared" si="184"/>
        <v>Profit</v>
      </c>
      <c r="Q2364" t="str" cm="1">
        <f t="array" ref="Q2364">IF(K2364="",INDEX($K$2:$K$2501,MATCH(MAX(COUNTIF($K$2:$K$2501,$K$2:$K$2501)),COUNTIF($K$2:$K$2501,$K$2:$K$2501),0)),K2364)</f>
        <v>B2B</v>
      </c>
    </row>
    <row r="2365" spans="1:17" x14ac:dyDescent="0.3">
      <c r="A2365">
        <v>3363</v>
      </c>
      <c r="B2365" t="s">
        <v>2377</v>
      </c>
      <c r="C2365" t="s">
        <v>20</v>
      </c>
      <c r="D2365" t="s">
        <v>21</v>
      </c>
      <c r="E2365">
        <v>2</v>
      </c>
      <c r="F2365">
        <v>3754.24</v>
      </c>
      <c r="H2365" s="3">
        <f t="shared" si="180"/>
        <v>7508.48</v>
      </c>
      <c r="J2365" t="s">
        <v>15</v>
      </c>
      <c r="K2365" t="s">
        <v>23</v>
      </c>
      <c r="L2365" s="2">
        <f t="shared" si="181"/>
        <v>3754.24</v>
      </c>
      <c r="M2365" s="4">
        <f t="shared" si="182"/>
        <v>0.6</v>
      </c>
      <c r="N2365" s="1">
        <f t="shared" si="183"/>
        <v>45782</v>
      </c>
      <c r="O2365" s="3">
        <f>(Table13[[#This Row],[Units_Sold]]*Table13[[#This Row],[Unit_Price_Cleaned]]*(1-Table13[[#This Row],[Discount Cleaned]]))</f>
        <v>3003.3919999999998</v>
      </c>
      <c r="P2365" t="str">
        <f t="shared" si="184"/>
        <v>Profit</v>
      </c>
      <c r="Q2365" t="str" cm="1">
        <f t="array" ref="Q2365">IF(K2365="",INDEX($K$2:$K$2501,MATCH(MAX(COUNTIF($K$2:$K$2501,$K$2:$K$2501)),COUNTIF($K$2:$K$2501,$K$2:$K$2501),0)),K2365)</f>
        <v>B2B</v>
      </c>
    </row>
    <row r="2366" spans="1:17" x14ac:dyDescent="0.3">
      <c r="A2366">
        <v>3364</v>
      </c>
      <c r="B2366" t="s">
        <v>2378</v>
      </c>
      <c r="C2366" t="s">
        <v>20</v>
      </c>
      <c r="D2366" t="s">
        <v>122</v>
      </c>
      <c r="E2366">
        <v>2</v>
      </c>
      <c r="H2366" s="3">
        <f t="shared" si="180"/>
        <v>5400.2526086956505</v>
      </c>
      <c r="I2366" s="1">
        <v>45846</v>
      </c>
      <c r="J2366" t="s">
        <v>18</v>
      </c>
      <c r="L2366" s="2">
        <f t="shared" si="181"/>
        <v>2700.1263043478252</v>
      </c>
      <c r="M2366" s="4">
        <f t="shared" si="182"/>
        <v>0.6</v>
      </c>
      <c r="N2366" s="1">
        <f t="shared" si="183"/>
        <v>45846</v>
      </c>
      <c r="O2366" s="3">
        <f>(Table13[[#This Row],[Units_Sold]]*Table13[[#This Row],[Unit_Price_Cleaned]]*(1-Table13[[#This Row],[Discount Cleaned]]))</f>
        <v>2160.1010434782602</v>
      </c>
      <c r="P2366" t="str">
        <f t="shared" si="184"/>
        <v>Profit</v>
      </c>
      <c r="Q2366" t="str" cm="1">
        <f t="array" ref="Q2366">IF(K2366="",INDEX($K$2:$K$2501,MATCH(MAX(COUNTIF($K$2:$K$2501,$K$2:$K$2501)),COUNTIF($K$2:$K$2501,$K$2:$K$2501),0)),K2366)</f>
        <v>B2B</v>
      </c>
    </row>
    <row r="2367" spans="1:17" x14ac:dyDescent="0.3">
      <c r="A2367">
        <v>3365</v>
      </c>
      <c r="B2367" t="s">
        <v>2379</v>
      </c>
      <c r="C2367" t="s">
        <v>25</v>
      </c>
      <c r="D2367" t="s">
        <v>26</v>
      </c>
      <c r="E2367">
        <v>2</v>
      </c>
      <c r="F2367">
        <v>2414.9299999999998</v>
      </c>
      <c r="H2367" s="3">
        <f t="shared" si="180"/>
        <v>4829.8599999999997</v>
      </c>
      <c r="I2367" s="1">
        <v>45771</v>
      </c>
      <c r="J2367" t="s">
        <v>40</v>
      </c>
      <c r="L2367" s="2">
        <f t="shared" si="181"/>
        <v>2414.9299999999998</v>
      </c>
      <c r="M2367" s="4">
        <f t="shared" si="182"/>
        <v>0.6</v>
      </c>
      <c r="N2367" s="1">
        <f t="shared" si="183"/>
        <v>45771</v>
      </c>
      <c r="O2367" s="3">
        <f>(Table13[[#This Row],[Units_Sold]]*Table13[[#This Row],[Unit_Price_Cleaned]]*(1-Table13[[#This Row],[Discount Cleaned]]))</f>
        <v>1931.944</v>
      </c>
      <c r="P2367" t="str">
        <f t="shared" si="184"/>
        <v>Profit</v>
      </c>
      <c r="Q2367" t="str" cm="1">
        <f t="array" ref="Q2367">IF(K2367="",INDEX($K$2:$K$2501,MATCH(MAX(COUNTIF($K$2:$K$2501,$K$2:$K$2501)),COUNTIF($K$2:$K$2501,$K$2:$K$2501),0)),K2367)</f>
        <v>B2B</v>
      </c>
    </row>
    <row r="2368" spans="1:17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 s="3">
        <f t="shared" si="180"/>
        <v>3182.6499999999996</v>
      </c>
      <c r="I2368" s="1">
        <v>45748</v>
      </c>
      <c r="J2368" t="s">
        <v>22</v>
      </c>
      <c r="K2368" t="s">
        <v>23</v>
      </c>
      <c r="L2368" s="2">
        <f t="shared" si="181"/>
        <v>636.53</v>
      </c>
      <c r="M2368" s="4">
        <f t="shared" si="182"/>
        <v>0.6</v>
      </c>
      <c r="N2368" s="1">
        <f t="shared" si="183"/>
        <v>45748</v>
      </c>
      <c r="O2368" s="3">
        <f>(Table13[[#This Row],[Units_Sold]]*Table13[[#This Row],[Unit_Price_Cleaned]]*(1-Table13[[#This Row],[Discount Cleaned]]))</f>
        <v>1273.06</v>
      </c>
      <c r="P2368" t="str">
        <f t="shared" si="184"/>
        <v>Profit</v>
      </c>
      <c r="Q2368" t="str" cm="1">
        <f t="array" ref="Q2368">IF(K2368="",INDEX($K$2:$K$2501,MATCH(MAX(COUNTIF($K$2:$K$2501,$K$2:$K$2501)),COUNTIF($K$2:$K$2501,$K$2:$K$2501),0)),K2368)</f>
        <v>B2B</v>
      </c>
    </row>
    <row r="2369" spans="1:17" x14ac:dyDescent="0.3">
      <c r="A2369">
        <v>3367</v>
      </c>
      <c r="B2369" t="s">
        <v>2380</v>
      </c>
      <c r="C2369" t="s">
        <v>29</v>
      </c>
      <c r="D2369" t="s">
        <v>120</v>
      </c>
      <c r="E2369">
        <v>2</v>
      </c>
      <c r="F2369">
        <v>4206.91</v>
      </c>
      <c r="H2369" s="3">
        <f t="shared" si="180"/>
        <v>8413.82</v>
      </c>
      <c r="I2369" s="1">
        <v>45493</v>
      </c>
      <c r="J2369" t="s">
        <v>40</v>
      </c>
      <c r="K2369" t="s">
        <v>16</v>
      </c>
      <c r="L2369" s="2">
        <f t="shared" si="181"/>
        <v>4206.91</v>
      </c>
      <c r="M2369" s="4">
        <f t="shared" si="182"/>
        <v>0.6</v>
      </c>
      <c r="N2369" s="1">
        <f t="shared" si="183"/>
        <v>45493</v>
      </c>
      <c r="O2369" s="3">
        <f>(Table13[[#This Row],[Units_Sold]]*Table13[[#This Row],[Unit_Price_Cleaned]]*(1-Table13[[#This Row],[Discount Cleaned]]))</f>
        <v>3365.5280000000002</v>
      </c>
      <c r="P2369" t="str">
        <f t="shared" si="184"/>
        <v>Profit</v>
      </c>
      <c r="Q2369" t="str" cm="1">
        <f t="array" ref="Q2369">IF(K2369="",INDEX($K$2:$K$2501,MATCH(MAX(COUNTIF($K$2:$K$2501,$K$2:$K$2501)),COUNTIF($K$2:$K$2501,$K$2:$K$2501),0)),K2369)</f>
        <v>B2C</v>
      </c>
    </row>
    <row r="2370" spans="1:17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 s="3">
        <f t="shared" ref="H2370:H2433" si="185">(L2370*E2370)</f>
        <v>10238.666923076926</v>
      </c>
      <c r="J2370" t="s">
        <v>18</v>
      </c>
      <c r="L2370" s="2">
        <f t="shared" ref="L2370:L2433" si="186">IF(F2370="",AVERAGEIF($D$2:$D$2501,D2370,$F$2:$F$2501),F2370)</f>
        <v>2559.6667307692314</v>
      </c>
      <c r="M2370" s="4">
        <f t="shared" ref="M2370:M2433" si="187">IF(G2370="",MEDIAN($G$2,$G$2501),G2370)</f>
        <v>0.6</v>
      </c>
      <c r="N2370" s="1">
        <f t="shared" ref="N2370:N2433" si="188">IF(I2370="",MODE($I$32:$I$2501),I2370)</f>
        <v>45782</v>
      </c>
      <c r="O2370" s="3">
        <f>(Table13[[#This Row],[Units_Sold]]*Table13[[#This Row],[Unit_Price_Cleaned]]*(1-Table13[[#This Row],[Discount Cleaned]]))</f>
        <v>4095.4667692307703</v>
      </c>
      <c r="P2370" t="str">
        <f t="shared" ref="P2370:P2433" si="189">IF(O2370&gt;500,"Profit","Loss")</f>
        <v>Profit</v>
      </c>
      <c r="Q2370" t="str" cm="1">
        <f t="array" ref="Q2370">IF(K2370="",INDEX($K$2:$K$2501,MATCH(MAX(COUNTIF($K$2:$K$2501,$K$2:$K$2501)),COUNTIF($K$2:$K$2501,$K$2:$K$2501),0)),K2370)</f>
        <v>B2B</v>
      </c>
    </row>
    <row r="2371" spans="1:17" x14ac:dyDescent="0.3">
      <c r="A2371">
        <v>3369</v>
      </c>
      <c r="B2371" t="s">
        <v>2382</v>
      </c>
      <c r="C2371" t="s">
        <v>13</v>
      </c>
      <c r="D2371" t="s">
        <v>36</v>
      </c>
      <c r="E2371">
        <v>2</v>
      </c>
      <c r="H2371" s="3">
        <f t="shared" si="185"/>
        <v>5765.0093103448271</v>
      </c>
      <c r="I2371" s="1">
        <v>45678</v>
      </c>
      <c r="J2371" t="s">
        <v>40</v>
      </c>
      <c r="K2371" t="s">
        <v>23</v>
      </c>
      <c r="L2371" s="2">
        <f t="shared" si="186"/>
        <v>2882.5046551724135</v>
      </c>
      <c r="M2371" s="4">
        <f t="shared" si="187"/>
        <v>0.6</v>
      </c>
      <c r="N2371" s="1">
        <f t="shared" si="188"/>
        <v>45678</v>
      </c>
      <c r="O2371" s="3">
        <f>(Table13[[#This Row],[Units_Sold]]*Table13[[#This Row],[Unit_Price_Cleaned]]*(1-Table13[[#This Row],[Discount Cleaned]]))</f>
        <v>2306.0037241379309</v>
      </c>
      <c r="P2371" t="str">
        <f t="shared" si="189"/>
        <v>Profit</v>
      </c>
      <c r="Q2371" t="str" cm="1">
        <f t="array" ref="Q2371">IF(K2371="",INDEX($K$2:$K$2501,MATCH(MAX(COUNTIF($K$2:$K$2501,$K$2:$K$2501)),COUNTIF($K$2:$K$2501,$K$2:$K$2501),0)),K2371)</f>
        <v>B2B</v>
      </c>
    </row>
    <row r="2372" spans="1:17" x14ac:dyDescent="0.3">
      <c r="A2372">
        <v>3370</v>
      </c>
      <c r="B2372" t="s">
        <v>2383</v>
      </c>
      <c r="C2372" t="s">
        <v>20</v>
      </c>
      <c r="D2372" t="s">
        <v>88</v>
      </c>
      <c r="E2372">
        <v>2</v>
      </c>
      <c r="H2372" s="3">
        <f t="shared" si="185"/>
        <v>5451.7114285714297</v>
      </c>
      <c r="I2372" s="1">
        <v>45347</v>
      </c>
      <c r="J2372" t="s">
        <v>40</v>
      </c>
      <c r="K2372" t="s">
        <v>23</v>
      </c>
      <c r="L2372" s="2">
        <f t="shared" si="186"/>
        <v>2725.8557142857148</v>
      </c>
      <c r="M2372" s="4">
        <f t="shared" si="187"/>
        <v>0.6</v>
      </c>
      <c r="N2372" s="1">
        <f t="shared" si="188"/>
        <v>45347</v>
      </c>
      <c r="O2372" s="3">
        <f>(Table13[[#This Row],[Units_Sold]]*Table13[[#This Row],[Unit_Price_Cleaned]]*(1-Table13[[#This Row],[Discount Cleaned]]))</f>
        <v>2180.6845714285719</v>
      </c>
      <c r="P2372" t="str">
        <f t="shared" si="189"/>
        <v>Profit</v>
      </c>
      <c r="Q2372" t="str" cm="1">
        <f t="array" ref="Q2372">IF(K2372="",INDEX($K$2:$K$2501,MATCH(MAX(COUNTIF($K$2:$K$2501,$K$2:$K$2501)),COUNTIF($K$2:$K$2501,$K$2:$K$2501),0)),K2372)</f>
        <v>B2B</v>
      </c>
    </row>
    <row r="2373" spans="1:17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 s="3">
        <f t="shared" si="185"/>
        <v>13925.438983050846</v>
      </c>
      <c r="I2373" s="1">
        <v>45630</v>
      </c>
      <c r="J2373" t="s">
        <v>15</v>
      </c>
      <c r="L2373" s="2">
        <f t="shared" si="186"/>
        <v>2785.0877966101693</v>
      </c>
      <c r="M2373" s="4">
        <f t="shared" si="187"/>
        <v>0.6</v>
      </c>
      <c r="N2373" s="1">
        <f t="shared" si="188"/>
        <v>45630</v>
      </c>
      <c r="O2373" s="3">
        <f>(Table13[[#This Row],[Units_Sold]]*Table13[[#This Row],[Unit_Price_Cleaned]]*(1-Table13[[#This Row],[Discount Cleaned]]))</f>
        <v>5570.1755932203387</v>
      </c>
      <c r="P2373" t="str">
        <f t="shared" si="189"/>
        <v>Profit</v>
      </c>
      <c r="Q2373" t="str" cm="1">
        <f t="array" ref="Q2373">IF(K2373="",INDEX($K$2:$K$2501,MATCH(MAX(COUNTIF($K$2:$K$2501,$K$2:$K$2501)),COUNTIF($K$2:$K$2501,$K$2:$K$2501),0)),K2373)</f>
        <v>B2B</v>
      </c>
    </row>
    <row r="2374" spans="1:17" x14ac:dyDescent="0.3">
      <c r="A2374">
        <v>3372</v>
      </c>
      <c r="B2374" t="s">
        <v>2385</v>
      </c>
      <c r="C2374" t="s">
        <v>13</v>
      </c>
      <c r="D2374" t="s">
        <v>14</v>
      </c>
      <c r="E2374">
        <v>2</v>
      </c>
      <c r="F2374">
        <v>2291.31</v>
      </c>
      <c r="H2374" s="3">
        <f t="shared" si="185"/>
        <v>4582.62</v>
      </c>
      <c r="I2374" s="1">
        <v>45157</v>
      </c>
      <c r="J2374" t="s">
        <v>56</v>
      </c>
      <c r="K2374" t="s">
        <v>23</v>
      </c>
      <c r="L2374" s="2">
        <f t="shared" si="186"/>
        <v>2291.31</v>
      </c>
      <c r="M2374" s="4">
        <f t="shared" si="187"/>
        <v>0.6</v>
      </c>
      <c r="N2374" s="1">
        <f t="shared" si="188"/>
        <v>45157</v>
      </c>
      <c r="O2374" s="3">
        <f>(Table13[[#This Row],[Units_Sold]]*Table13[[#This Row],[Unit_Price_Cleaned]]*(1-Table13[[#This Row],[Discount Cleaned]]))</f>
        <v>1833.048</v>
      </c>
      <c r="P2374" t="str">
        <f t="shared" si="189"/>
        <v>Profit</v>
      </c>
      <c r="Q2374" t="str" cm="1">
        <f t="array" ref="Q2374">IF(K2374="",INDEX($K$2:$K$2501,MATCH(MAX(COUNTIF($K$2:$K$2501,$K$2:$K$2501)),COUNTIF($K$2:$K$2501,$K$2:$K$2501),0)),K2374)</f>
        <v>B2B</v>
      </c>
    </row>
    <row r="2375" spans="1:17" x14ac:dyDescent="0.3">
      <c r="A2375">
        <v>3373</v>
      </c>
      <c r="B2375" t="s">
        <v>2386</v>
      </c>
      <c r="C2375" t="s">
        <v>25</v>
      </c>
      <c r="D2375" t="s">
        <v>66</v>
      </c>
      <c r="E2375">
        <v>2</v>
      </c>
      <c r="F2375">
        <v>3507.48</v>
      </c>
      <c r="H2375" s="3">
        <f t="shared" si="185"/>
        <v>7014.96</v>
      </c>
      <c r="I2375" s="1">
        <v>45642</v>
      </c>
      <c r="J2375" t="s">
        <v>22</v>
      </c>
      <c r="L2375" s="2">
        <f t="shared" si="186"/>
        <v>3507.48</v>
      </c>
      <c r="M2375" s="4">
        <f t="shared" si="187"/>
        <v>0.6</v>
      </c>
      <c r="N2375" s="1">
        <f t="shared" si="188"/>
        <v>45642</v>
      </c>
      <c r="O2375" s="3">
        <f>(Table13[[#This Row],[Units_Sold]]*Table13[[#This Row],[Unit_Price_Cleaned]]*(1-Table13[[#This Row],[Discount Cleaned]]))</f>
        <v>2805.9840000000004</v>
      </c>
      <c r="P2375" t="str">
        <f t="shared" si="189"/>
        <v>Profit</v>
      </c>
      <c r="Q2375" t="str" cm="1">
        <f t="array" ref="Q2375">IF(K2375="",INDEX($K$2:$K$2501,MATCH(MAX(COUNTIF($K$2:$K$2501,$K$2:$K$2501)),COUNTIF($K$2:$K$2501,$K$2:$K$2501),0)),K2375)</f>
        <v>B2B</v>
      </c>
    </row>
    <row r="2376" spans="1:17" x14ac:dyDescent="0.3">
      <c r="A2376">
        <v>3374</v>
      </c>
      <c r="B2376" t="s">
        <v>2387</v>
      </c>
      <c r="C2376" t="s">
        <v>38</v>
      </c>
      <c r="D2376" t="s">
        <v>63</v>
      </c>
      <c r="E2376">
        <v>2</v>
      </c>
      <c r="F2376">
        <v>2489.23</v>
      </c>
      <c r="H2376" s="3">
        <f t="shared" si="185"/>
        <v>4978.46</v>
      </c>
      <c r="I2376" s="1">
        <v>45666</v>
      </c>
      <c r="J2376" t="s">
        <v>56</v>
      </c>
      <c r="K2376" t="s">
        <v>16</v>
      </c>
      <c r="L2376" s="2">
        <f t="shared" si="186"/>
        <v>2489.23</v>
      </c>
      <c r="M2376" s="4">
        <f t="shared" si="187"/>
        <v>0.6</v>
      </c>
      <c r="N2376" s="1">
        <f t="shared" si="188"/>
        <v>45666</v>
      </c>
      <c r="O2376" s="3">
        <f>(Table13[[#This Row],[Units_Sold]]*Table13[[#This Row],[Unit_Price_Cleaned]]*(1-Table13[[#This Row],[Discount Cleaned]]))</f>
        <v>1991.384</v>
      </c>
      <c r="P2376" t="str">
        <f t="shared" si="189"/>
        <v>Profit</v>
      </c>
      <c r="Q2376" t="str" cm="1">
        <f t="array" ref="Q2376">IF(K2376="",INDEX($K$2:$K$2501,MATCH(MAX(COUNTIF($K$2:$K$2501,$K$2:$K$2501)),COUNTIF($K$2:$K$2501,$K$2:$K$2501),0)),K2376)</f>
        <v>B2C</v>
      </c>
    </row>
    <row r="2377" spans="1:17" x14ac:dyDescent="0.3">
      <c r="A2377">
        <v>3375</v>
      </c>
      <c r="B2377" t="s">
        <v>2388</v>
      </c>
      <c r="C2377" t="s">
        <v>20</v>
      </c>
      <c r="D2377" t="s">
        <v>88</v>
      </c>
      <c r="E2377">
        <v>2</v>
      </c>
      <c r="F2377">
        <v>442.08</v>
      </c>
      <c r="H2377" s="3">
        <f t="shared" si="185"/>
        <v>884.16</v>
      </c>
      <c r="I2377" s="1">
        <v>45672</v>
      </c>
      <c r="J2377" t="s">
        <v>56</v>
      </c>
      <c r="L2377" s="2">
        <f t="shared" si="186"/>
        <v>442.08</v>
      </c>
      <c r="M2377" s="4">
        <f t="shared" si="187"/>
        <v>0.6</v>
      </c>
      <c r="N2377" s="1">
        <f t="shared" si="188"/>
        <v>45672</v>
      </c>
      <c r="O2377" s="3">
        <f>(Table13[[#This Row],[Units_Sold]]*Table13[[#This Row],[Unit_Price_Cleaned]]*(1-Table13[[#This Row],[Discount Cleaned]]))</f>
        <v>353.66399999999999</v>
      </c>
      <c r="P2377" t="str">
        <f t="shared" si="189"/>
        <v>Loss</v>
      </c>
      <c r="Q2377" t="str" cm="1">
        <f t="array" ref="Q2377">IF(K2377="",INDEX($K$2:$K$2501,MATCH(MAX(COUNTIF($K$2:$K$2501,$K$2:$K$2501)),COUNTIF($K$2:$K$2501,$K$2:$K$2501),0)),K2377)</f>
        <v>B2B</v>
      </c>
    </row>
    <row r="2378" spans="1:17" x14ac:dyDescent="0.3">
      <c r="A2378">
        <v>3376</v>
      </c>
      <c r="B2378" t="s">
        <v>2389</v>
      </c>
      <c r="C2378" t="s">
        <v>13</v>
      </c>
      <c r="D2378" t="s">
        <v>102</v>
      </c>
      <c r="E2378">
        <v>2</v>
      </c>
      <c r="H2378" s="3">
        <f t="shared" si="185"/>
        <v>5152.6113793103432</v>
      </c>
      <c r="I2378" s="1">
        <v>45269</v>
      </c>
      <c r="J2378" t="s">
        <v>15</v>
      </c>
      <c r="K2378" t="s">
        <v>23</v>
      </c>
      <c r="L2378" s="2">
        <f t="shared" si="186"/>
        <v>2576.3056896551716</v>
      </c>
      <c r="M2378" s="4">
        <f t="shared" si="187"/>
        <v>0.6</v>
      </c>
      <c r="N2378" s="1">
        <f t="shared" si="188"/>
        <v>45269</v>
      </c>
      <c r="O2378" s="3">
        <f>(Table13[[#This Row],[Units_Sold]]*Table13[[#This Row],[Unit_Price_Cleaned]]*(1-Table13[[#This Row],[Discount Cleaned]]))</f>
        <v>2061.0445517241374</v>
      </c>
      <c r="P2378" t="str">
        <f t="shared" si="189"/>
        <v>Profit</v>
      </c>
      <c r="Q2378" t="str" cm="1">
        <f t="array" ref="Q2378">IF(K2378="",INDEX($K$2:$K$2501,MATCH(MAX(COUNTIF($K$2:$K$2501,$K$2:$K$2501)),COUNTIF($K$2:$K$2501,$K$2:$K$2501),0)),K2378)</f>
        <v>B2B</v>
      </c>
    </row>
    <row r="2379" spans="1:17" x14ac:dyDescent="0.3">
      <c r="A2379">
        <v>3377</v>
      </c>
      <c r="B2379" t="s">
        <v>2390</v>
      </c>
      <c r="C2379" t="s">
        <v>38</v>
      </c>
      <c r="D2379" t="s">
        <v>63</v>
      </c>
      <c r="E2379">
        <v>2</v>
      </c>
      <c r="F2379">
        <v>1064.3699999999999</v>
      </c>
      <c r="H2379" s="3">
        <f t="shared" si="185"/>
        <v>2128.7399999999998</v>
      </c>
      <c r="I2379" s="1">
        <v>45816</v>
      </c>
      <c r="J2379" t="s">
        <v>15</v>
      </c>
      <c r="L2379" s="2">
        <f t="shared" si="186"/>
        <v>1064.3699999999999</v>
      </c>
      <c r="M2379" s="4">
        <f t="shared" si="187"/>
        <v>0.6</v>
      </c>
      <c r="N2379" s="1">
        <f t="shared" si="188"/>
        <v>45816</v>
      </c>
      <c r="O2379" s="3">
        <f>(Table13[[#This Row],[Units_Sold]]*Table13[[#This Row],[Unit_Price_Cleaned]]*(1-Table13[[#This Row],[Discount Cleaned]]))</f>
        <v>851.49599999999998</v>
      </c>
      <c r="P2379" t="str">
        <f t="shared" si="189"/>
        <v>Profit</v>
      </c>
      <c r="Q2379" t="str" cm="1">
        <f t="array" ref="Q2379">IF(K2379="",INDEX($K$2:$K$2501,MATCH(MAX(COUNTIF($K$2:$K$2501,$K$2:$K$2501)),COUNTIF($K$2:$K$2501,$K$2:$K$2501),0)),K2379)</f>
        <v>B2B</v>
      </c>
    </row>
    <row r="2380" spans="1:17" x14ac:dyDescent="0.3">
      <c r="A2380">
        <v>3378</v>
      </c>
      <c r="B2380" t="s">
        <v>2391</v>
      </c>
      <c r="C2380" t="s">
        <v>20</v>
      </c>
      <c r="D2380" t="s">
        <v>122</v>
      </c>
      <c r="E2380">
        <v>2</v>
      </c>
      <c r="F2380">
        <v>3675</v>
      </c>
      <c r="H2380" s="3">
        <f t="shared" si="185"/>
        <v>7350</v>
      </c>
      <c r="J2380" t="s">
        <v>46</v>
      </c>
      <c r="K2380" t="s">
        <v>16</v>
      </c>
      <c r="L2380" s="2">
        <f t="shared" si="186"/>
        <v>3675</v>
      </c>
      <c r="M2380" s="4">
        <f t="shared" si="187"/>
        <v>0.6</v>
      </c>
      <c r="N2380" s="1">
        <f t="shared" si="188"/>
        <v>45782</v>
      </c>
      <c r="O2380" s="3">
        <f>(Table13[[#This Row],[Units_Sold]]*Table13[[#This Row],[Unit_Price_Cleaned]]*(1-Table13[[#This Row],[Discount Cleaned]]))</f>
        <v>2940</v>
      </c>
      <c r="P2380" t="str">
        <f t="shared" si="189"/>
        <v>Profit</v>
      </c>
      <c r="Q2380" t="str" cm="1">
        <f t="array" ref="Q2380">IF(K2380="",INDEX($K$2:$K$2501,MATCH(MAX(COUNTIF($K$2:$K$2501,$K$2:$K$2501)),COUNTIF($K$2:$K$2501,$K$2:$K$2501),0)),K2380)</f>
        <v>B2C</v>
      </c>
    </row>
    <row r="2381" spans="1:17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 s="3">
        <f t="shared" si="185"/>
        <v>-4925.58</v>
      </c>
      <c r="I2381" s="1">
        <v>45445</v>
      </c>
      <c r="J2381" t="s">
        <v>46</v>
      </c>
      <c r="K2381" t="s">
        <v>16</v>
      </c>
      <c r="L2381" s="2">
        <f t="shared" si="186"/>
        <v>2462.79</v>
      </c>
      <c r="M2381" s="4">
        <f t="shared" si="187"/>
        <v>0.6</v>
      </c>
      <c r="N2381" s="1">
        <f t="shared" si="188"/>
        <v>45445</v>
      </c>
      <c r="O2381" s="3">
        <f>(Table13[[#This Row],[Units_Sold]]*Table13[[#This Row],[Unit_Price_Cleaned]]*(1-Table13[[#This Row],[Discount Cleaned]]))</f>
        <v>-1970.232</v>
      </c>
      <c r="P2381" t="str">
        <f t="shared" si="189"/>
        <v>Loss</v>
      </c>
      <c r="Q2381" t="str" cm="1">
        <f t="array" ref="Q2381">IF(K2381="",INDEX($K$2:$K$2501,MATCH(MAX(COUNTIF($K$2:$K$2501,$K$2:$K$2501)),COUNTIF($K$2:$K$2501,$K$2:$K$2501),0)),K2381)</f>
        <v>B2C</v>
      </c>
    </row>
    <row r="2382" spans="1:17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 s="3">
        <f t="shared" si="185"/>
        <v>8332.68</v>
      </c>
      <c r="I2382" s="1">
        <v>45579</v>
      </c>
      <c r="J2382" t="s">
        <v>56</v>
      </c>
      <c r="K2382" t="s">
        <v>23</v>
      </c>
      <c r="L2382" s="2">
        <f t="shared" si="186"/>
        <v>4166.34</v>
      </c>
      <c r="M2382" s="4">
        <f t="shared" si="187"/>
        <v>0.6</v>
      </c>
      <c r="N2382" s="1">
        <f t="shared" si="188"/>
        <v>45579</v>
      </c>
      <c r="O2382" s="3">
        <f>(Table13[[#This Row],[Units_Sold]]*Table13[[#This Row],[Unit_Price_Cleaned]]*(1-Table13[[#This Row],[Discount Cleaned]]))</f>
        <v>3333.0720000000001</v>
      </c>
      <c r="P2382" t="str">
        <f t="shared" si="189"/>
        <v>Profit</v>
      </c>
      <c r="Q2382" t="str" cm="1">
        <f t="array" ref="Q2382">IF(K2382="",INDEX($K$2:$K$2501,MATCH(MAX(COUNTIF($K$2:$K$2501,$K$2:$K$2501)),COUNTIF($K$2:$K$2501,$K$2:$K$2501),0)),K2382)</f>
        <v>B2B</v>
      </c>
    </row>
    <row r="2383" spans="1:17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 s="3">
        <f t="shared" si="185"/>
        <v>-2572.7764000000006</v>
      </c>
      <c r="I2383" s="1">
        <v>45563</v>
      </c>
      <c r="J2383" t="s">
        <v>18</v>
      </c>
      <c r="L2383" s="2">
        <f t="shared" si="186"/>
        <v>2572.7764000000006</v>
      </c>
      <c r="M2383" s="4">
        <f t="shared" si="187"/>
        <v>0.1</v>
      </c>
      <c r="N2383" s="1">
        <f t="shared" si="188"/>
        <v>45563</v>
      </c>
      <c r="O2383" s="3">
        <f>(Table13[[#This Row],[Units_Sold]]*Table13[[#This Row],[Unit_Price_Cleaned]]*(1-Table13[[#This Row],[Discount Cleaned]]))</f>
        <v>-2315.4987600000009</v>
      </c>
      <c r="P2383" t="str">
        <f t="shared" si="189"/>
        <v>Loss</v>
      </c>
      <c r="Q2383" t="str" cm="1">
        <f t="array" ref="Q2383">IF(K2383="",INDEX($K$2:$K$2501,MATCH(MAX(COUNTIF($K$2:$K$2501,$K$2:$K$2501)),COUNTIF($K$2:$K$2501,$K$2:$K$2501),0)),K2383)</f>
        <v>B2B</v>
      </c>
    </row>
    <row r="2384" spans="1:17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 s="3">
        <f t="shared" si="185"/>
        <v>2501.5309999999999</v>
      </c>
      <c r="I2384" s="1">
        <v>45755</v>
      </c>
      <c r="J2384" t="s">
        <v>56</v>
      </c>
      <c r="L2384" s="2">
        <f t="shared" si="186"/>
        <v>2501.5309999999999</v>
      </c>
      <c r="M2384" s="4">
        <f t="shared" si="187"/>
        <v>0.6</v>
      </c>
      <c r="N2384" s="1">
        <f t="shared" si="188"/>
        <v>45755</v>
      </c>
      <c r="O2384" s="3">
        <f>(Table13[[#This Row],[Units_Sold]]*Table13[[#This Row],[Unit_Price_Cleaned]]*(1-Table13[[#This Row],[Discount Cleaned]]))</f>
        <v>1000.6124</v>
      </c>
      <c r="P2384" t="str">
        <f t="shared" si="189"/>
        <v>Profit</v>
      </c>
      <c r="Q2384" t="str" cm="1">
        <f t="array" ref="Q2384">IF(K2384="",INDEX($K$2:$K$2501,MATCH(MAX(COUNTIF($K$2:$K$2501,$K$2:$K$2501)),COUNTIF($K$2:$K$2501,$K$2:$K$2501),0)),K2384)</f>
        <v>B2B</v>
      </c>
    </row>
    <row r="2385" spans="1:17" x14ac:dyDescent="0.3">
      <c r="A2385">
        <v>3383</v>
      </c>
      <c r="B2385" t="s">
        <v>2396</v>
      </c>
      <c r="C2385" t="s">
        <v>13</v>
      </c>
      <c r="D2385" t="s">
        <v>36</v>
      </c>
      <c r="E2385">
        <v>2</v>
      </c>
      <c r="G2385">
        <v>0.64</v>
      </c>
      <c r="H2385" s="3">
        <f t="shared" si="185"/>
        <v>5765.0093103448271</v>
      </c>
      <c r="I2385" s="1">
        <v>45133</v>
      </c>
      <c r="J2385" t="s">
        <v>18</v>
      </c>
      <c r="K2385" t="s">
        <v>23</v>
      </c>
      <c r="L2385" s="2">
        <f t="shared" si="186"/>
        <v>2882.5046551724135</v>
      </c>
      <c r="M2385" s="4">
        <f t="shared" si="187"/>
        <v>0.64</v>
      </c>
      <c r="N2385" s="1">
        <f t="shared" si="188"/>
        <v>45133</v>
      </c>
      <c r="O2385" s="3">
        <f>(Table13[[#This Row],[Units_Sold]]*Table13[[#This Row],[Unit_Price_Cleaned]]*(1-Table13[[#This Row],[Discount Cleaned]]))</f>
        <v>2075.4033517241378</v>
      </c>
      <c r="P2385" t="str">
        <f t="shared" si="189"/>
        <v>Profit</v>
      </c>
      <c r="Q2385" t="str" cm="1">
        <f t="array" ref="Q2385">IF(K2385="",INDEX($K$2:$K$2501,MATCH(MAX(COUNTIF($K$2:$K$2501,$K$2:$K$2501)),COUNTIF($K$2:$K$2501,$K$2:$K$2501),0)),K2385)</f>
        <v>B2B</v>
      </c>
    </row>
    <row r="2386" spans="1:17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 s="3">
        <f t="shared" si="185"/>
        <v>2282.7600000000002</v>
      </c>
      <c r="I2386" s="1">
        <v>45600</v>
      </c>
      <c r="J2386" t="s">
        <v>40</v>
      </c>
      <c r="L2386" s="2">
        <f t="shared" si="186"/>
        <v>2282.7600000000002</v>
      </c>
      <c r="M2386" s="4">
        <f t="shared" si="187"/>
        <v>0.57999999999999996</v>
      </c>
      <c r="N2386" s="1">
        <f t="shared" si="188"/>
        <v>45600</v>
      </c>
      <c r="O2386" s="3">
        <f>(Table13[[#This Row],[Units_Sold]]*Table13[[#This Row],[Unit_Price_Cleaned]]*(1-Table13[[#This Row],[Discount Cleaned]]))</f>
        <v>958.75920000000019</v>
      </c>
      <c r="P2386" t="str">
        <f t="shared" si="189"/>
        <v>Profit</v>
      </c>
      <c r="Q2386" t="str" cm="1">
        <f t="array" ref="Q2386">IF(K2386="",INDEX($K$2:$K$2501,MATCH(MAX(COUNTIF($K$2:$K$2501,$K$2:$K$2501)),COUNTIF($K$2:$K$2501,$K$2:$K$2501),0)),K2386)</f>
        <v>B2B</v>
      </c>
    </row>
    <row r="2387" spans="1:17" x14ac:dyDescent="0.3">
      <c r="A2387">
        <v>3385</v>
      </c>
      <c r="B2387" t="s">
        <v>2398</v>
      </c>
      <c r="C2387" t="s">
        <v>38</v>
      </c>
      <c r="D2387" t="s">
        <v>91</v>
      </c>
      <c r="E2387">
        <v>2</v>
      </c>
      <c r="F2387">
        <v>2394.84</v>
      </c>
      <c r="H2387" s="3">
        <f t="shared" si="185"/>
        <v>4789.68</v>
      </c>
      <c r="I2387" s="1">
        <v>45564</v>
      </c>
      <c r="J2387" t="s">
        <v>18</v>
      </c>
      <c r="K2387" t="s">
        <v>23</v>
      </c>
      <c r="L2387" s="2">
        <f t="shared" si="186"/>
        <v>2394.84</v>
      </c>
      <c r="M2387" s="4">
        <f t="shared" si="187"/>
        <v>0.6</v>
      </c>
      <c r="N2387" s="1">
        <f t="shared" si="188"/>
        <v>45564</v>
      </c>
      <c r="O2387" s="3">
        <f>(Table13[[#This Row],[Units_Sold]]*Table13[[#This Row],[Unit_Price_Cleaned]]*(1-Table13[[#This Row],[Discount Cleaned]]))</f>
        <v>1915.8720000000003</v>
      </c>
      <c r="P2387" t="str">
        <f t="shared" si="189"/>
        <v>Profit</v>
      </c>
      <c r="Q2387" t="str" cm="1">
        <f t="array" ref="Q2387">IF(K2387="",INDEX($K$2:$K$2501,MATCH(MAX(COUNTIF($K$2:$K$2501,$K$2:$K$2501)),COUNTIF($K$2:$K$2501,$K$2:$K$2501),0)),K2387)</f>
        <v>B2B</v>
      </c>
    </row>
    <row r="2388" spans="1:17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 s="3">
        <f t="shared" si="185"/>
        <v>2715.5458490566025</v>
      </c>
      <c r="I2388" s="1">
        <v>45811</v>
      </c>
      <c r="J2388" t="s">
        <v>22</v>
      </c>
      <c r="K2388" t="s">
        <v>16</v>
      </c>
      <c r="L2388" s="2">
        <f t="shared" si="186"/>
        <v>2715.5458490566025</v>
      </c>
      <c r="M2388" s="4">
        <f t="shared" si="187"/>
        <v>1.18</v>
      </c>
      <c r="N2388" s="1">
        <f t="shared" si="188"/>
        <v>45811</v>
      </c>
      <c r="O2388" s="3">
        <f>(Table13[[#This Row],[Units_Sold]]*Table13[[#This Row],[Unit_Price_Cleaned]]*(1-Table13[[#This Row],[Discount Cleaned]]))</f>
        <v>-488.79825283018829</v>
      </c>
      <c r="P2388" t="str">
        <f t="shared" si="189"/>
        <v>Loss</v>
      </c>
      <c r="Q2388" t="str" cm="1">
        <f t="array" ref="Q2388">IF(K2388="",INDEX($K$2:$K$2501,MATCH(MAX(COUNTIF($K$2:$K$2501,$K$2:$K$2501)),COUNTIF($K$2:$K$2501,$K$2:$K$2501),0)),K2388)</f>
        <v>B2C</v>
      </c>
    </row>
    <row r="2389" spans="1:17" x14ac:dyDescent="0.3">
      <c r="A2389">
        <v>3387</v>
      </c>
      <c r="B2389" t="s">
        <v>2400</v>
      </c>
      <c r="C2389" t="s">
        <v>13</v>
      </c>
      <c r="D2389" t="s">
        <v>102</v>
      </c>
      <c r="E2389">
        <v>2</v>
      </c>
      <c r="H2389" s="3">
        <f t="shared" si="185"/>
        <v>5152.6113793103432</v>
      </c>
      <c r="I2389" s="1">
        <v>45848</v>
      </c>
      <c r="J2389" t="s">
        <v>40</v>
      </c>
      <c r="L2389" s="2">
        <f t="shared" si="186"/>
        <v>2576.3056896551716</v>
      </c>
      <c r="M2389" s="4">
        <f t="shared" si="187"/>
        <v>0.6</v>
      </c>
      <c r="N2389" s="1">
        <f t="shared" si="188"/>
        <v>45848</v>
      </c>
      <c r="O2389" s="3">
        <f>(Table13[[#This Row],[Units_Sold]]*Table13[[#This Row],[Unit_Price_Cleaned]]*(1-Table13[[#This Row],[Discount Cleaned]]))</f>
        <v>2061.0445517241374</v>
      </c>
      <c r="P2389" t="str">
        <f t="shared" si="189"/>
        <v>Profit</v>
      </c>
      <c r="Q2389" t="str" cm="1">
        <f t="array" ref="Q2389">IF(K2389="",INDEX($K$2:$K$2501,MATCH(MAX(COUNTIF($K$2:$K$2501,$K$2:$K$2501)),COUNTIF($K$2:$K$2501,$K$2:$K$2501),0)),K2389)</f>
        <v>B2B</v>
      </c>
    </row>
    <row r="2390" spans="1:17" x14ac:dyDescent="0.3">
      <c r="A2390">
        <v>1011</v>
      </c>
      <c r="B2390" t="s">
        <v>2401</v>
      </c>
      <c r="C2390" t="s">
        <v>38</v>
      </c>
      <c r="D2390" t="s">
        <v>39</v>
      </c>
      <c r="E2390">
        <v>2</v>
      </c>
      <c r="F2390">
        <v>2842.91</v>
      </c>
      <c r="H2390" s="3">
        <f t="shared" si="185"/>
        <v>5685.82</v>
      </c>
      <c r="I2390" s="1">
        <v>45828</v>
      </c>
      <c r="J2390" t="s">
        <v>22</v>
      </c>
      <c r="K2390" t="s">
        <v>16</v>
      </c>
      <c r="L2390" s="2">
        <f t="shared" si="186"/>
        <v>2842.91</v>
      </c>
      <c r="M2390" s="4">
        <f t="shared" si="187"/>
        <v>0.6</v>
      </c>
      <c r="N2390" s="1">
        <f t="shared" si="188"/>
        <v>45828</v>
      </c>
      <c r="O2390" s="3">
        <f>(Table13[[#This Row],[Units_Sold]]*Table13[[#This Row],[Unit_Price_Cleaned]]*(1-Table13[[#This Row],[Discount Cleaned]]))</f>
        <v>2274.328</v>
      </c>
      <c r="P2390" t="str">
        <f t="shared" si="189"/>
        <v>Profit</v>
      </c>
      <c r="Q2390" t="str" cm="1">
        <f t="array" ref="Q2390">IF(K2390="",INDEX($K$2:$K$2501,MATCH(MAX(COUNTIF($K$2:$K$2501,$K$2:$K$2501)),COUNTIF($K$2:$K$2501,$K$2:$K$2501),0)),K2390)</f>
        <v>B2C</v>
      </c>
    </row>
    <row r="2391" spans="1:17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 s="3">
        <f t="shared" si="185"/>
        <v>-2830.1325714285731</v>
      </c>
      <c r="J2391" t="s">
        <v>18</v>
      </c>
      <c r="L2391" s="2">
        <f t="shared" si="186"/>
        <v>2830.1325714285731</v>
      </c>
      <c r="M2391" s="4">
        <f t="shared" si="187"/>
        <v>0.85</v>
      </c>
      <c r="N2391" s="1">
        <f t="shared" si="188"/>
        <v>45782</v>
      </c>
      <c r="O2391" s="3">
        <f>(Table13[[#This Row],[Units_Sold]]*Table13[[#This Row],[Unit_Price_Cleaned]]*(1-Table13[[#This Row],[Discount Cleaned]]))</f>
        <v>-424.51988571428603</v>
      </c>
      <c r="P2391" t="str">
        <f t="shared" si="189"/>
        <v>Loss</v>
      </c>
      <c r="Q2391" t="str" cm="1">
        <f t="array" ref="Q2391">IF(K2391="",INDEX($K$2:$K$2501,MATCH(MAX(COUNTIF($K$2:$K$2501,$K$2:$K$2501)),COUNTIF($K$2:$K$2501,$K$2:$K$2501),0)),K2391)</f>
        <v>B2B</v>
      </c>
    </row>
    <row r="2392" spans="1:17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 s="3">
        <f t="shared" si="185"/>
        <v>1280.52</v>
      </c>
      <c r="J2392" t="s">
        <v>40</v>
      </c>
      <c r="K2392" t="s">
        <v>23</v>
      </c>
      <c r="L2392" s="2">
        <f t="shared" si="186"/>
        <v>1280.52</v>
      </c>
      <c r="M2392" s="4">
        <f t="shared" si="187"/>
        <v>0.94</v>
      </c>
      <c r="N2392" s="1">
        <f t="shared" si="188"/>
        <v>45782</v>
      </c>
      <c r="O2392" s="3">
        <f>(Table13[[#This Row],[Units_Sold]]*Table13[[#This Row],[Unit_Price_Cleaned]]*(1-Table13[[#This Row],[Discount Cleaned]]))</f>
        <v>76.831200000000067</v>
      </c>
      <c r="P2392" t="str">
        <f t="shared" si="189"/>
        <v>Loss</v>
      </c>
      <c r="Q2392" t="str" cm="1">
        <f t="array" ref="Q2392">IF(K2392="",INDEX($K$2:$K$2501,MATCH(MAX(COUNTIF($K$2:$K$2501,$K$2:$K$2501)),COUNTIF($K$2:$K$2501,$K$2:$K$2501),0)),K2392)</f>
        <v>B2B</v>
      </c>
    </row>
    <row r="2393" spans="1:17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 s="3">
        <f t="shared" si="185"/>
        <v>5191.92</v>
      </c>
      <c r="J2393" t="s">
        <v>15</v>
      </c>
      <c r="L2393" s="2">
        <f t="shared" si="186"/>
        <v>1730.64</v>
      </c>
      <c r="M2393" s="4">
        <f t="shared" si="187"/>
        <v>0.7</v>
      </c>
      <c r="N2393" s="1">
        <f t="shared" si="188"/>
        <v>45782</v>
      </c>
      <c r="O2393" s="3">
        <f>(Table13[[#This Row],[Units_Sold]]*Table13[[#This Row],[Unit_Price_Cleaned]]*(1-Table13[[#This Row],[Discount Cleaned]]))</f>
        <v>1557.5760000000002</v>
      </c>
      <c r="P2393" t="str">
        <f t="shared" si="189"/>
        <v>Profit</v>
      </c>
      <c r="Q2393" t="str" cm="1">
        <f t="array" ref="Q2393">IF(K2393="",INDEX($K$2:$K$2501,MATCH(MAX(COUNTIF($K$2:$K$2501,$K$2:$K$2501)),COUNTIF($K$2:$K$2501,$K$2:$K$2501),0)),K2393)</f>
        <v>B2B</v>
      </c>
    </row>
    <row r="2394" spans="1:17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 s="3">
        <f t="shared" si="185"/>
        <v>0</v>
      </c>
      <c r="I2394" s="1">
        <v>45552</v>
      </c>
      <c r="J2394" t="s">
        <v>56</v>
      </c>
      <c r="K2394" t="s">
        <v>23</v>
      </c>
      <c r="L2394" s="2">
        <f t="shared" si="186"/>
        <v>2681.1743636363635</v>
      </c>
      <c r="M2394" s="4">
        <f t="shared" si="187"/>
        <v>0.38</v>
      </c>
      <c r="N2394" s="1">
        <f t="shared" si="188"/>
        <v>45552</v>
      </c>
      <c r="O2394" s="3">
        <f>(Table13[[#This Row],[Units_Sold]]*Table13[[#This Row],[Unit_Price_Cleaned]]*(1-Table13[[#This Row],[Discount Cleaned]]))</f>
        <v>0</v>
      </c>
      <c r="P2394" t="str">
        <f t="shared" si="189"/>
        <v>Loss</v>
      </c>
      <c r="Q2394" t="str" cm="1">
        <f t="array" ref="Q2394">IF(K2394="",INDEX($K$2:$K$2501,MATCH(MAX(COUNTIF($K$2:$K$2501,$K$2:$K$2501)),COUNTIF($K$2:$K$2501,$K$2:$K$2501),0)),K2394)</f>
        <v>B2B</v>
      </c>
    </row>
    <row r="2395" spans="1:17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 s="3">
        <f t="shared" si="185"/>
        <v>12798.333653846157</v>
      </c>
      <c r="J2395" t="s">
        <v>22</v>
      </c>
      <c r="K2395" t="s">
        <v>16</v>
      </c>
      <c r="L2395" s="2">
        <f t="shared" si="186"/>
        <v>2559.6667307692314</v>
      </c>
      <c r="M2395" s="4">
        <f t="shared" si="187"/>
        <v>7.0000000000000007E-2</v>
      </c>
      <c r="N2395" s="1">
        <f t="shared" si="188"/>
        <v>45782</v>
      </c>
      <c r="O2395" s="3">
        <f>(Table13[[#This Row],[Units_Sold]]*Table13[[#This Row],[Unit_Price_Cleaned]]*(1-Table13[[#This Row],[Discount Cleaned]]))</f>
        <v>11902.450298076925</v>
      </c>
      <c r="P2395" t="str">
        <f t="shared" si="189"/>
        <v>Profit</v>
      </c>
      <c r="Q2395" t="str" cm="1">
        <f t="array" ref="Q2395">IF(K2395="",INDEX($K$2:$K$2501,MATCH(MAX(COUNTIF($K$2:$K$2501,$K$2:$K$2501)),COUNTIF($K$2:$K$2501,$K$2:$K$2501),0)),K2395)</f>
        <v>B2C</v>
      </c>
    </row>
    <row r="2396" spans="1:17" x14ac:dyDescent="0.3">
      <c r="A2396">
        <v>3394</v>
      </c>
      <c r="B2396" t="s">
        <v>2407</v>
      </c>
      <c r="C2396" t="s">
        <v>13</v>
      </c>
      <c r="D2396" t="s">
        <v>36</v>
      </c>
      <c r="E2396">
        <v>2</v>
      </c>
      <c r="F2396">
        <v>1509.34</v>
      </c>
      <c r="H2396" s="3">
        <f t="shared" si="185"/>
        <v>3018.68</v>
      </c>
      <c r="I2396" s="1">
        <v>45692</v>
      </c>
      <c r="J2396" t="s">
        <v>22</v>
      </c>
      <c r="L2396" s="2">
        <f t="shared" si="186"/>
        <v>1509.34</v>
      </c>
      <c r="M2396" s="4">
        <f t="shared" si="187"/>
        <v>0.6</v>
      </c>
      <c r="N2396" s="1">
        <f t="shared" si="188"/>
        <v>45692</v>
      </c>
      <c r="O2396" s="3">
        <f>(Table13[[#This Row],[Units_Sold]]*Table13[[#This Row],[Unit_Price_Cleaned]]*(1-Table13[[#This Row],[Discount Cleaned]]))</f>
        <v>1207.472</v>
      </c>
      <c r="P2396" t="str">
        <f t="shared" si="189"/>
        <v>Profit</v>
      </c>
      <c r="Q2396" t="str" cm="1">
        <f t="array" ref="Q2396">IF(K2396="",INDEX($K$2:$K$2501,MATCH(MAX(COUNTIF($K$2:$K$2501,$K$2:$K$2501)),COUNTIF($K$2:$K$2501,$K$2:$K$2501),0)),K2396)</f>
        <v>B2B</v>
      </c>
    </row>
    <row r="2397" spans="1:17" x14ac:dyDescent="0.3">
      <c r="A2397">
        <v>3395</v>
      </c>
      <c r="B2397" t="s">
        <v>2408</v>
      </c>
      <c r="C2397" t="s">
        <v>25</v>
      </c>
      <c r="D2397" t="s">
        <v>66</v>
      </c>
      <c r="E2397">
        <v>2</v>
      </c>
      <c r="H2397" s="3">
        <f t="shared" si="185"/>
        <v>5145.5528000000013</v>
      </c>
      <c r="I2397" s="1">
        <v>45597</v>
      </c>
      <c r="J2397" t="s">
        <v>46</v>
      </c>
      <c r="K2397" t="s">
        <v>23</v>
      </c>
      <c r="L2397" s="2">
        <f t="shared" si="186"/>
        <v>2572.7764000000006</v>
      </c>
      <c r="M2397" s="4">
        <f t="shared" si="187"/>
        <v>0.6</v>
      </c>
      <c r="N2397" s="1">
        <f t="shared" si="188"/>
        <v>45597</v>
      </c>
      <c r="O2397" s="3">
        <f>(Table13[[#This Row],[Units_Sold]]*Table13[[#This Row],[Unit_Price_Cleaned]]*(1-Table13[[#This Row],[Discount Cleaned]]))</f>
        <v>2058.2211200000006</v>
      </c>
      <c r="P2397" t="str">
        <f t="shared" si="189"/>
        <v>Profit</v>
      </c>
      <c r="Q2397" t="str" cm="1">
        <f t="array" ref="Q2397">IF(K2397="",INDEX($K$2:$K$2501,MATCH(MAX(COUNTIF($K$2:$K$2501,$K$2:$K$2501)),COUNTIF($K$2:$K$2501,$K$2:$K$2501),0)),K2397)</f>
        <v>B2B</v>
      </c>
    </row>
    <row r="2398" spans="1:17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 s="3">
        <f t="shared" si="185"/>
        <v>7520.18</v>
      </c>
      <c r="I2398" s="1">
        <v>45638</v>
      </c>
      <c r="J2398" t="s">
        <v>56</v>
      </c>
      <c r="L2398" s="2">
        <f t="shared" si="186"/>
        <v>3760.09</v>
      </c>
      <c r="M2398" s="4">
        <f t="shared" si="187"/>
        <v>0.6</v>
      </c>
      <c r="N2398" s="1">
        <f t="shared" si="188"/>
        <v>45638</v>
      </c>
      <c r="O2398" s="3">
        <f>(Table13[[#This Row],[Units_Sold]]*Table13[[#This Row],[Unit_Price_Cleaned]]*(1-Table13[[#This Row],[Discount Cleaned]]))</f>
        <v>3008.0720000000001</v>
      </c>
      <c r="P2398" t="str">
        <f t="shared" si="189"/>
        <v>Profit</v>
      </c>
      <c r="Q2398" t="str" cm="1">
        <f t="array" ref="Q2398">IF(K2398="",INDEX($K$2:$K$2501,MATCH(MAX(COUNTIF($K$2:$K$2501,$K$2:$K$2501)),COUNTIF($K$2:$K$2501,$K$2:$K$2501),0)),K2398)</f>
        <v>B2B</v>
      </c>
    </row>
    <row r="2399" spans="1:17" x14ac:dyDescent="0.3">
      <c r="A2399">
        <v>3397</v>
      </c>
      <c r="B2399" t="s">
        <v>2410</v>
      </c>
      <c r="C2399" t="s">
        <v>13</v>
      </c>
      <c r="D2399" t="s">
        <v>49</v>
      </c>
      <c r="E2399">
        <v>2</v>
      </c>
      <c r="H2399" s="3">
        <f t="shared" si="185"/>
        <v>5570.1755932203387</v>
      </c>
      <c r="J2399" t="s">
        <v>18</v>
      </c>
      <c r="K2399" t="s">
        <v>16</v>
      </c>
      <c r="L2399" s="2">
        <f t="shared" si="186"/>
        <v>2785.0877966101693</v>
      </c>
      <c r="M2399" s="4">
        <f t="shared" si="187"/>
        <v>0.6</v>
      </c>
      <c r="N2399" s="1">
        <f t="shared" si="188"/>
        <v>45782</v>
      </c>
      <c r="O2399" s="3">
        <f>(Table13[[#This Row],[Units_Sold]]*Table13[[#This Row],[Unit_Price_Cleaned]]*(1-Table13[[#This Row],[Discount Cleaned]]))</f>
        <v>2228.0702372881356</v>
      </c>
      <c r="P2399" t="str">
        <f t="shared" si="189"/>
        <v>Profit</v>
      </c>
      <c r="Q2399" t="str" cm="1">
        <f t="array" ref="Q2399">IF(K2399="",INDEX($K$2:$K$2501,MATCH(MAX(COUNTIF($K$2:$K$2501,$K$2:$K$2501)),COUNTIF($K$2:$K$2501,$K$2:$K$2501),0)),K2399)</f>
        <v>B2C</v>
      </c>
    </row>
    <row r="2400" spans="1:17" x14ac:dyDescent="0.3">
      <c r="A2400">
        <v>3398</v>
      </c>
      <c r="B2400" t="s">
        <v>2411</v>
      </c>
      <c r="C2400" t="s">
        <v>38</v>
      </c>
      <c r="D2400" t="s">
        <v>59</v>
      </c>
      <c r="E2400">
        <v>2</v>
      </c>
      <c r="F2400">
        <v>2784.25</v>
      </c>
      <c r="H2400" s="3">
        <f t="shared" si="185"/>
        <v>5568.5</v>
      </c>
      <c r="J2400" t="s">
        <v>56</v>
      </c>
      <c r="K2400" t="s">
        <v>23</v>
      </c>
      <c r="L2400" s="2">
        <f t="shared" si="186"/>
        <v>2784.25</v>
      </c>
      <c r="M2400" s="4">
        <f t="shared" si="187"/>
        <v>0.6</v>
      </c>
      <c r="N2400" s="1">
        <f t="shared" si="188"/>
        <v>45782</v>
      </c>
      <c r="O2400" s="3">
        <f>(Table13[[#This Row],[Units_Sold]]*Table13[[#This Row],[Unit_Price_Cleaned]]*(1-Table13[[#This Row],[Discount Cleaned]]))</f>
        <v>2227.4</v>
      </c>
      <c r="P2400" t="str">
        <f t="shared" si="189"/>
        <v>Profit</v>
      </c>
      <c r="Q2400" t="str" cm="1">
        <f t="array" ref="Q2400">IF(K2400="",INDEX($K$2:$K$2501,MATCH(MAX(COUNTIF($K$2:$K$2501,$K$2:$K$2501)),COUNTIF($K$2:$K$2501,$K$2:$K$2501),0)),K2400)</f>
        <v>B2B</v>
      </c>
    </row>
    <row r="2401" spans="1:17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 s="3">
        <f t="shared" si="185"/>
        <v>15558.65</v>
      </c>
      <c r="I2401" s="1">
        <v>45484</v>
      </c>
      <c r="J2401" t="s">
        <v>40</v>
      </c>
      <c r="K2401" t="s">
        <v>16</v>
      </c>
      <c r="L2401" s="2">
        <f t="shared" si="186"/>
        <v>3111.73</v>
      </c>
      <c r="M2401" s="4">
        <f t="shared" si="187"/>
        <v>0.6</v>
      </c>
      <c r="N2401" s="1">
        <f t="shared" si="188"/>
        <v>45484</v>
      </c>
      <c r="O2401" s="3">
        <f>(Table13[[#This Row],[Units_Sold]]*Table13[[#This Row],[Unit_Price_Cleaned]]*(1-Table13[[#This Row],[Discount Cleaned]]))</f>
        <v>6223.46</v>
      </c>
      <c r="P2401" t="str">
        <f t="shared" si="189"/>
        <v>Profit</v>
      </c>
      <c r="Q2401" t="str" cm="1">
        <f t="array" ref="Q2401">IF(K2401="",INDEX($K$2:$K$2501,MATCH(MAX(COUNTIF($K$2:$K$2501,$K$2:$K$2501)),COUNTIF($K$2:$K$2501,$K$2:$K$2501),0)),K2401)</f>
        <v>B2C</v>
      </c>
    </row>
    <row r="2402" spans="1:17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 s="3">
        <f t="shared" si="185"/>
        <v>0</v>
      </c>
      <c r="I2402" s="1">
        <v>45830</v>
      </c>
      <c r="J2402" t="s">
        <v>46</v>
      </c>
      <c r="K2402" t="s">
        <v>16</v>
      </c>
      <c r="L2402" s="2">
        <f t="shared" si="186"/>
        <v>1249.6400000000001</v>
      </c>
      <c r="M2402" s="4">
        <f t="shared" si="187"/>
        <v>0.6</v>
      </c>
      <c r="N2402" s="1">
        <f t="shared" si="188"/>
        <v>45830</v>
      </c>
      <c r="O2402" s="3">
        <f>(Table13[[#This Row],[Units_Sold]]*Table13[[#This Row],[Unit_Price_Cleaned]]*(1-Table13[[#This Row],[Discount Cleaned]]))</f>
        <v>0</v>
      </c>
      <c r="P2402" t="str">
        <f t="shared" si="189"/>
        <v>Loss</v>
      </c>
      <c r="Q2402" t="str" cm="1">
        <f t="array" ref="Q2402">IF(K2402="",INDEX($K$2:$K$2501,MATCH(MAX(COUNTIF($K$2:$K$2501,$K$2:$K$2501)),COUNTIF($K$2:$K$2501,$K$2:$K$2501),0)),K2402)</f>
        <v>B2C</v>
      </c>
    </row>
    <row r="2403" spans="1:17" x14ac:dyDescent="0.3">
      <c r="A2403">
        <v>3401</v>
      </c>
      <c r="B2403" t="s">
        <v>2414</v>
      </c>
      <c r="C2403" t="s">
        <v>20</v>
      </c>
      <c r="D2403" t="s">
        <v>21</v>
      </c>
      <c r="E2403">
        <v>2</v>
      </c>
      <c r="F2403">
        <v>1960.15</v>
      </c>
      <c r="H2403" s="3">
        <f t="shared" si="185"/>
        <v>3920.3</v>
      </c>
      <c r="I2403" s="1">
        <v>45570</v>
      </c>
      <c r="J2403" t="s">
        <v>56</v>
      </c>
      <c r="K2403" t="s">
        <v>23</v>
      </c>
      <c r="L2403" s="2">
        <f t="shared" si="186"/>
        <v>1960.15</v>
      </c>
      <c r="M2403" s="4">
        <f t="shared" si="187"/>
        <v>0.6</v>
      </c>
      <c r="N2403" s="1">
        <f t="shared" si="188"/>
        <v>45570</v>
      </c>
      <c r="O2403" s="3">
        <f>(Table13[[#This Row],[Units_Sold]]*Table13[[#This Row],[Unit_Price_Cleaned]]*(1-Table13[[#This Row],[Discount Cleaned]]))</f>
        <v>1568.1200000000001</v>
      </c>
      <c r="P2403" t="str">
        <f t="shared" si="189"/>
        <v>Profit</v>
      </c>
      <c r="Q2403" t="str" cm="1">
        <f t="array" ref="Q2403">IF(K2403="",INDEX($K$2:$K$2501,MATCH(MAX(COUNTIF($K$2:$K$2501,$K$2:$K$2501)),COUNTIF($K$2:$K$2501,$K$2:$K$2501),0)),K2403)</f>
        <v>B2B</v>
      </c>
    </row>
    <row r="2404" spans="1:17" x14ac:dyDescent="0.3">
      <c r="A2404">
        <v>3402</v>
      </c>
      <c r="B2404" t="s">
        <v>2415</v>
      </c>
      <c r="C2404" t="s">
        <v>38</v>
      </c>
      <c r="D2404" t="s">
        <v>59</v>
      </c>
      <c r="E2404">
        <v>2</v>
      </c>
      <c r="G2404">
        <v>0.02</v>
      </c>
      <c r="H2404" s="3">
        <f t="shared" si="185"/>
        <v>5608.5303846153838</v>
      </c>
      <c r="I2404" s="1">
        <v>45657</v>
      </c>
      <c r="J2404" t="s">
        <v>22</v>
      </c>
      <c r="K2404" t="s">
        <v>16</v>
      </c>
      <c r="L2404" s="2">
        <f t="shared" si="186"/>
        <v>2804.2651923076919</v>
      </c>
      <c r="M2404" s="4">
        <f t="shared" si="187"/>
        <v>0.02</v>
      </c>
      <c r="N2404" s="1">
        <f t="shared" si="188"/>
        <v>45657</v>
      </c>
      <c r="O2404" s="3">
        <f>(Table13[[#This Row],[Units_Sold]]*Table13[[#This Row],[Unit_Price_Cleaned]]*(1-Table13[[#This Row],[Discount Cleaned]]))</f>
        <v>5496.3597769230764</v>
      </c>
      <c r="P2404" t="str">
        <f t="shared" si="189"/>
        <v>Profit</v>
      </c>
      <c r="Q2404" t="str" cm="1">
        <f t="array" ref="Q2404">IF(K2404="",INDEX($K$2:$K$2501,MATCH(MAX(COUNTIF($K$2:$K$2501,$K$2:$K$2501)),COUNTIF($K$2:$K$2501,$K$2:$K$2501),0)),K2404)</f>
        <v>B2C</v>
      </c>
    </row>
    <row r="2405" spans="1:17" x14ac:dyDescent="0.3">
      <c r="A2405">
        <v>3403</v>
      </c>
      <c r="B2405" t="s">
        <v>2416</v>
      </c>
      <c r="C2405" t="s">
        <v>33</v>
      </c>
      <c r="D2405" t="s">
        <v>82</v>
      </c>
      <c r="E2405">
        <v>2</v>
      </c>
      <c r="F2405">
        <v>2609.06</v>
      </c>
      <c r="G2405">
        <v>0.65</v>
      </c>
      <c r="H2405" s="3">
        <f t="shared" si="185"/>
        <v>5218.12</v>
      </c>
      <c r="I2405" s="1">
        <v>45775</v>
      </c>
      <c r="J2405" t="s">
        <v>56</v>
      </c>
      <c r="K2405" t="s">
        <v>16</v>
      </c>
      <c r="L2405" s="2">
        <f t="shared" si="186"/>
        <v>2609.06</v>
      </c>
      <c r="M2405" s="4">
        <f t="shared" si="187"/>
        <v>0.65</v>
      </c>
      <c r="N2405" s="1">
        <f t="shared" si="188"/>
        <v>45775</v>
      </c>
      <c r="O2405" s="3">
        <f>(Table13[[#This Row],[Units_Sold]]*Table13[[#This Row],[Unit_Price_Cleaned]]*(1-Table13[[#This Row],[Discount Cleaned]]))</f>
        <v>1826.3419999999999</v>
      </c>
      <c r="P2405" t="str">
        <f t="shared" si="189"/>
        <v>Profit</v>
      </c>
      <c r="Q2405" t="str" cm="1">
        <f t="array" ref="Q2405">IF(K2405="",INDEX($K$2:$K$2501,MATCH(MAX(COUNTIF($K$2:$K$2501,$K$2:$K$2501)),COUNTIF($K$2:$K$2501,$K$2:$K$2501),0)),K2405)</f>
        <v>B2C</v>
      </c>
    </row>
    <row r="2406" spans="1:17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 s="3">
        <f t="shared" si="185"/>
        <v>12313.95</v>
      </c>
      <c r="I2406" s="1">
        <v>45782</v>
      </c>
      <c r="J2406" t="s">
        <v>46</v>
      </c>
      <c r="K2406" t="s">
        <v>23</v>
      </c>
      <c r="L2406" s="2">
        <f t="shared" si="186"/>
        <v>2462.79</v>
      </c>
      <c r="M2406" s="4">
        <f t="shared" si="187"/>
        <v>0.81</v>
      </c>
      <c r="N2406" s="1">
        <f t="shared" si="188"/>
        <v>45782</v>
      </c>
      <c r="O2406" s="3">
        <f>(Table13[[#This Row],[Units_Sold]]*Table13[[#This Row],[Unit_Price_Cleaned]]*(1-Table13[[#This Row],[Discount Cleaned]]))</f>
        <v>2339.6504999999993</v>
      </c>
      <c r="P2406" t="str">
        <f t="shared" si="189"/>
        <v>Profit</v>
      </c>
      <c r="Q2406" t="str" cm="1">
        <f t="array" ref="Q2406">IF(K2406="",INDEX($K$2:$K$2501,MATCH(MAX(COUNTIF($K$2:$K$2501,$K$2:$K$2501)),COUNTIF($K$2:$K$2501,$K$2:$K$2501),0)),K2406)</f>
        <v>B2B</v>
      </c>
    </row>
    <row r="2407" spans="1:17" x14ac:dyDescent="0.3">
      <c r="A2407">
        <v>3405</v>
      </c>
      <c r="B2407" t="s">
        <v>2418</v>
      </c>
      <c r="C2407" t="s">
        <v>33</v>
      </c>
      <c r="D2407" t="s">
        <v>82</v>
      </c>
      <c r="E2407">
        <v>2</v>
      </c>
      <c r="F2407">
        <v>2310.4699999999998</v>
      </c>
      <c r="H2407" s="3">
        <f t="shared" si="185"/>
        <v>4620.9399999999996</v>
      </c>
      <c r="J2407" t="s">
        <v>22</v>
      </c>
      <c r="K2407" t="s">
        <v>16</v>
      </c>
      <c r="L2407" s="2">
        <f t="shared" si="186"/>
        <v>2310.4699999999998</v>
      </c>
      <c r="M2407" s="4">
        <f t="shared" si="187"/>
        <v>0.6</v>
      </c>
      <c r="N2407" s="1">
        <f t="shared" si="188"/>
        <v>45782</v>
      </c>
      <c r="O2407" s="3">
        <f>(Table13[[#This Row],[Units_Sold]]*Table13[[#This Row],[Unit_Price_Cleaned]]*(1-Table13[[#This Row],[Discount Cleaned]]))</f>
        <v>1848.376</v>
      </c>
      <c r="P2407" t="str">
        <f t="shared" si="189"/>
        <v>Profit</v>
      </c>
      <c r="Q2407" t="str" cm="1">
        <f t="array" ref="Q2407">IF(K2407="",INDEX($K$2:$K$2501,MATCH(MAX(COUNTIF($K$2:$K$2501,$K$2:$K$2501)),COUNTIF($K$2:$K$2501,$K$2:$K$2501),0)),K2407)</f>
        <v>B2C</v>
      </c>
    </row>
    <row r="2408" spans="1:17" x14ac:dyDescent="0.3">
      <c r="A2408">
        <v>3406</v>
      </c>
      <c r="B2408" t="s">
        <v>2419</v>
      </c>
      <c r="C2408" t="s">
        <v>38</v>
      </c>
      <c r="D2408" t="s">
        <v>59</v>
      </c>
      <c r="E2408">
        <v>2</v>
      </c>
      <c r="H2408" s="3">
        <f t="shared" si="185"/>
        <v>5608.5303846153838</v>
      </c>
      <c r="I2408" s="1">
        <v>45384</v>
      </c>
      <c r="J2408" t="s">
        <v>22</v>
      </c>
      <c r="L2408" s="2">
        <f t="shared" si="186"/>
        <v>2804.2651923076919</v>
      </c>
      <c r="M2408" s="4">
        <f t="shared" si="187"/>
        <v>0.6</v>
      </c>
      <c r="N2408" s="1">
        <f t="shared" si="188"/>
        <v>45384</v>
      </c>
      <c r="O2408" s="3">
        <f>(Table13[[#This Row],[Units_Sold]]*Table13[[#This Row],[Unit_Price_Cleaned]]*(1-Table13[[#This Row],[Discount Cleaned]]))</f>
        <v>2243.4121538461536</v>
      </c>
      <c r="P2408" t="str">
        <f t="shared" si="189"/>
        <v>Profit</v>
      </c>
      <c r="Q2408" t="str" cm="1">
        <f t="array" ref="Q2408">IF(K2408="",INDEX($K$2:$K$2501,MATCH(MAX(COUNTIF($K$2:$K$2501,$K$2:$K$2501)),COUNTIF($K$2:$K$2501,$K$2:$K$2501),0)),K2408)</f>
        <v>B2B</v>
      </c>
    </row>
    <row r="2409" spans="1:17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 s="3">
        <f t="shared" si="185"/>
        <v>2576.3056896551716</v>
      </c>
      <c r="I2409" s="1">
        <v>45166</v>
      </c>
      <c r="J2409" t="s">
        <v>18</v>
      </c>
      <c r="K2409" t="s">
        <v>16</v>
      </c>
      <c r="L2409" s="2">
        <f t="shared" si="186"/>
        <v>2576.3056896551716</v>
      </c>
      <c r="M2409" s="4">
        <f t="shared" si="187"/>
        <v>0.67</v>
      </c>
      <c r="N2409" s="1">
        <f t="shared" si="188"/>
        <v>45166</v>
      </c>
      <c r="O2409" s="3">
        <f>(Table13[[#This Row],[Units_Sold]]*Table13[[#This Row],[Unit_Price_Cleaned]]*(1-Table13[[#This Row],[Discount Cleaned]]))</f>
        <v>850.18087758620652</v>
      </c>
      <c r="P2409" t="str">
        <f t="shared" si="189"/>
        <v>Profit</v>
      </c>
      <c r="Q2409" t="str" cm="1">
        <f t="array" ref="Q2409">IF(K2409="",INDEX($K$2:$K$2501,MATCH(MAX(COUNTIF($K$2:$K$2501,$K$2:$K$2501)),COUNTIF($K$2:$K$2501,$K$2:$K$2501),0)),K2409)</f>
        <v>B2C</v>
      </c>
    </row>
    <row r="2410" spans="1:17" x14ac:dyDescent="0.3">
      <c r="A2410">
        <v>3408</v>
      </c>
      <c r="B2410" t="s">
        <v>2421</v>
      </c>
      <c r="C2410" t="s">
        <v>29</v>
      </c>
      <c r="D2410" t="s">
        <v>120</v>
      </c>
      <c r="E2410">
        <v>2</v>
      </c>
      <c r="F2410">
        <v>4003.66</v>
      </c>
      <c r="H2410" s="3">
        <f t="shared" si="185"/>
        <v>8007.32</v>
      </c>
      <c r="I2410" s="1">
        <v>45570</v>
      </c>
      <c r="J2410" t="s">
        <v>56</v>
      </c>
      <c r="K2410" t="s">
        <v>23</v>
      </c>
      <c r="L2410" s="2">
        <f t="shared" si="186"/>
        <v>4003.66</v>
      </c>
      <c r="M2410" s="4">
        <f t="shared" si="187"/>
        <v>0.6</v>
      </c>
      <c r="N2410" s="1">
        <f t="shared" si="188"/>
        <v>45570</v>
      </c>
      <c r="O2410" s="3">
        <f>(Table13[[#This Row],[Units_Sold]]*Table13[[#This Row],[Unit_Price_Cleaned]]*(1-Table13[[#This Row],[Discount Cleaned]]))</f>
        <v>3202.9279999999999</v>
      </c>
      <c r="P2410" t="str">
        <f t="shared" si="189"/>
        <v>Profit</v>
      </c>
      <c r="Q2410" t="str" cm="1">
        <f t="array" ref="Q2410">IF(K2410="",INDEX($K$2:$K$2501,MATCH(MAX(COUNTIF($K$2:$K$2501,$K$2:$K$2501)),COUNTIF($K$2:$K$2501,$K$2:$K$2501),0)),K2410)</f>
        <v>B2B</v>
      </c>
    </row>
    <row r="2411" spans="1:17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 s="3">
        <f t="shared" si="185"/>
        <v>-2123.17</v>
      </c>
      <c r="J2411" t="s">
        <v>15</v>
      </c>
      <c r="L2411" s="2">
        <f t="shared" si="186"/>
        <v>2123.17</v>
      </c>
      <c r="M2411" s="4">
        <f t="shared" si="187"/>
        <v>0.6</v>
      </c>
      <c r="N2411" s="1">
        <f t="shared" si="188"/>
        <v>45782</v>
      </c>
      <c r="O2411" s="3">
        <f>(Table13[[#This Row],[Units_Sold]]*Table13[[#This Row],[Unit_Price_Cleaned]]*(1-Table13[[#This Row],[Discount Cleaned]]))</f>
        <v>-849.26800000000003</v>
      </c>
      <c r="P2411" t="str">
        <f t="shared" si="189"/>
        <v>Loss</v>
      </c>
      <c r="Q2411" t="str" cm="1">
        <f t="array" ref="Q2411">IF(K2411="",INDEX($K$2:$K$2501,MATCH(MAX(COUNTIF($K$2:$K$2501,$K$2:$K$2501)),COUNTIF($K$2:$K$2501,$K$2:$K$2501),0)),K2411)</f>
        <v>B2B</v>
      </c>
    </row>
    <row r="2412" spans="1:17" x14ac:dyDescent="0.3">
      <c r="A2412">
        <v>3410</v>
      </c>
      <c r="B2412" t="s">
        <v>2423</v>
      </c>
      <c r="C2412" t="s">
        <v>38</v>
      </c>
      <c r="D2412" t="s">
        <v>63</v>
      </c>
      <c r="E2412">
        <v>2</v>
      </c>
      <c r="F2412">
        <v>4732.42</v>
      </c>
      <c r="H2412" s="3">
        <f t="shared" si="185"/>
        <v>9464.84</v>
      </c>
      <c r="I2412" s="1">
        <v>45844</v>
      </c>
      <c r="J2412" t="s">
        <v>18</v>
      </c>
      <c r="L2412" s="2">
        <f t="shared" si="186"/>
        <v>4732.42</v>
      </c>
      <c r="M2412" s="4">
        <f t="shared" si="187"/>
        <v>0.6</v>
      </c>
      <c r="N2412" s="1">
        <f t="shared" si="188"/>
        <v>45844</v>
      </c>
      <c r="O2412" s="3">
        <f>(Table13[[#This Row],[Units_Sold]]*Table13[[#This Row],[Unit_Price_Cleaned]]*(1-Table13[[#This Row],[Discount Cleaned]]))</f>
        <v>3785.9360000000001</v>
      </c>
      <c r="P2412" t="str">
        <f t="shared" si="189"/>
        <v>Profit</v>
      </c>
      <c r="Q2412" t="str" cm="1">
        <f t="array" ref="Q2412">IF(K2412="",INDEX($K$2:$K$2501,MATCH(MAX(COUNTIF($K$2:$K$2501,$K$2:$K$2501)),COUNTIF($K$2:$K$2501,$K$2:$K$2501),0)),K2412)</f>
        <v>B2B</v>
      </c>
    </row>
    <row r="2413" spans="1:17" x14ac:dyDescent="0.3">
      <c r="A2413">
        <v>3411</v>
      </c>
      <c r="B2413" t="s">
        <v>2424</v>
      </c>
      <c r="C2413" t="s">
        <v>25</v>
      </c>
      <c r="D2413" t="s">
        <v>86</v>
      </c>
      <c r="E2413">
        <v>2</v>
      </c>
      <c r="G2413">
        <v>0.57999999999999996</v>
      </c>
      <c r="H2413" s="3">
        <f t="shared" si="185"/>
        <v>5003.0619999999999</v>
      </c>
      <c r="I2413" s="1">
        <v>45651</v>
      </c>
      <c r="J2413" t="s">
        <v>56</v>
      </c>
      <c r="K2413" t="s">
        <v>23</v>
      </c>
      <c r="L2413" s="2">
        <f t="shared" si="186"/>
        <v>2501.5309999999999</v>
      </c>
      <c r="M2413" s="4">
        <f t="shared" si="187"/>
        <v>0.57999999999999996</v>
      </c>
      <c r="N2413" s="1">
        <f t="shared" si="188"/>
        <v>45651</v>
      </c>
      <c r="O2413" s="3">
        <f>(Table13[[#This Row],[Units_Sold]]*Table13[[#This Row],[Unit_Price_Cleaned]]*(1-Table13[[#This Row],[Discount Cleaned]]))</f>
        <v>2101.28604</v>
      </c>
      <c r="P2413" t="str">
        <f t="shared" si="189"/>
        <v>Profit</v>
      </c>
      <c r="Q2413" t="str" cm="1">
        <f t="array" ref="Q2413">IF(K2413="",INDEX($K$2:$K$2501,MATCH(MAX(COUNTIF($K$2:$K$2501,$K$2:$K$2501)),COUNTIF($K$2:$K$2501,$K$2:$K$2501),0)),K2413)</f>
        <v>B2B</v>
      </c>
    </row>
    <row r="2414" spans="1:17" x14ac:dyDescent="0.3">
      <c r="A2414">
        <v>3412</v>
      </c>
      <c r="B2414" t="s">
        <v>2425</v>
      </c>
      <c r="C2414" t="s">
        <v>13</v>
      </c>
      <c r="D2414" t="s">
        <v>102</v>
      </c>
      <c r="E2414">
        <v>2</v>
      </c>
      <c r="H2414" s="3">
        <f t="shared" si="185"/>
        <v>5152.6113793103432</v>
      </c>
      <c r="I2414" s="1">
        <v>45592</v>
      </c>
      <c r="J2414" t="s">
        <v>18</v>
      </c>
      <c r="L2414" s="2">
        <f t="shared" si="186"/>
        <v>2576.3056896551716</v>
      </c>
      <c r="M2414" s="4">
        <f t="shared" si="187"/>
        <v>0.6</v>
      </c>
      <c r="N2414" s="1">
        <f t="shared" si="188"/>
        <v>45592</v>
      </c>
      <c r="O2414" s="3">
        <f>(Table13[[#This Row],[Units_Sold]]*Table13[[#This Row],[Unit_Price_Cleaned]]*(1-Table13[[#This Row],[Discount Cleaned]]))</f>
        <v>2061.0445517241374</v>
      </c>
      <c r="P2414" t="str">
        <f t="shared" si="189"/>
        <v>Profit</v>
      </c>
      <c r="Q2414" t="str" cm="1">
        <f t="array" ref="Q2414">IF(K2414="",INDEX($K$2:$K$2501,MATCH(MAX(COUNTIF($K$2:$K$2501,$K$2:$K$2501)),COUNTIF($K$2:$K$2501,$K$2:$K$2501),0)),K2414)</f>
        <v>B2B</v>
      </c>
    </row>
    <row r="2415" spans="1:17" x14ac:dyDescent="0.3">
      <c r="A2415">
        <v>3413</v>
      </c>
      <c r="B2415" t="s">
        <v>2426</v>
      </c>
      <c r="C2415" t="s">
        <v>38</v>
      </c>
      <c r="D2415" t="s">
        <v>59</v>
      </c>
      <c r="E2415">
        <v>2</v>
      </c>
      <c r="H2415" s="3">
        <f t="shared" si="185"/>
        <v>5608.5303846153838</v>
      </c>
      <c r="J2415" t="s">
        <v>40</v>
      </c>
      <c r="K2415" t="s">
        <v>16</v>
      </c>
      <c r="L2415" s="2">
        <f t="shared" si="186"/>
        <v>2804.2651923076919</v>
      </c>
      <c r="M2415" s="4">
        <f t="shared" si="187"/>
        <v>0.6</v>
      </c>
      <c r="N2415" s="1">
        <f t="shared" si="188"/>
        <v>45782</v>
      </c>
      <c r="O2415" s="3">
        <f>(Table13[[#This Row],[Units_Sold]]*Table13[[#This Row],[Unit_Price_Cleaned]]*(1-Table13[[#This Row],[Discount Cleaned]]))</f>
        <v>2243.4121538461536</v>
      </c>
      <c r="P2415" t="str">
        <f t="shared" si="189"/>
        <v>Profit</v>
      </c>
      <c r="Q2415" t="str" cm="1">
        <f t="array" ref="Q2415">IF(K2415="",INDEX($K$2:$K$2501,MATCH(MAX(COUNTIF($K$2:$K$2501,$K$2:$K$2501)),COUNTIF($K$2:$K$2501,$K$2:$K$2501),0)),K2415)</f>
        <v>B2C</v>
      </c>
    </row>
    <row r="2416" spans="1:17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 s="3">
        <f t="shared" si="185"/>
        <v>2501.5309999999999</v>
      </c>
      <c r="I2416" s="1">
        <v>45652</v>
      </c>
      <c r="J2416" t="s">
        <v>18</v>
      </c>
      <c r="K2416" t="s">
        <v>23</v>
      </c>
      <c r="L2416" s="2">
        <f t="shared" si="186"/>
        <v>2501.5309999999999</v>
      </c>
      <c r="M2416" s="4">
        <f t="shared" si="187"/>
        <v>0.6</v>
      </c>
      <c r="N2416" s="1">
        <f t="shared" si="188"/>
        <v>45652</v>
      </c>
      <c r="O2416" s="3">
        <f>(Table13[[#This Row],[Units_Sold]]*Table13[[#This Row],[Unit_Price_Cleaned]]*(1-Table13[[#This Row],[Discount Cleaned]]))</f>
        <v>1000.6124</v>
      </c>
      <c r="P2416" t="str">
        <f t="shared" si="189"/>
        <v>Profit</v>
      </c>
      <c r="Q2416" t="str" cm="1">
        <f t="array" ref="Q2416">IF(K2416="",INDEX($K$2:$K$2501,MATCH(MAX(COUNTIF($K$2:$K$2501,$K$2:$K$2501)),COUNTIF($K$2:$K$2501,$K$2:$K$2501),0)),K2416)</f>
        <v>B2B</v>
      </c>
    </row>
    <row r="2417" spans="1:17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 s="3">
        <f t="shared" si="185"/>
        <v>12742.32</v>
      </c>
      <c r="I2417" s="1">
        <v>45453</v>
      </c>
      <c r="J2417" t="s">
        <v>15</v>
      </c>
      <c r="L2417" s="2">
        <f t="shared" si="186"/>
        <v>3185.58</v>
      </c>
      <c r="M2417" s="4">
        <f t="shared" si="187"/>
        <v>1.1499999999999999</v>
      </c>
      <c r="N2417" s="1">
        <f t="shared" si="188"/>
        <v>45453</v>
      </c>
      <c r="O2417" s="3">
        <f>(Table13[[#This Row],[Units_Sold]]*Table13[[#This Row],[Unit_Price_Cleaned]]*(1-Table13[[#This Row],[Discount Cleaned]]))</f>
        <v>-1911.3479999999988</v>
      </c>
      <c r="P2417" t="str">
        <f t="shared" si="189"/>
        <v>Loss</v>
      </c>
      <c r="Q2417" t="str" cm="1">
        <f t="array" ref="Q2417">IF(K2417="",INDEX($K$2:$K$2501,MATCH(MAX(COUNTIF($K$2:$K$2501,$K$2:$K$2501)),COUNTIF($K$2:$K$2501,$K$2:$K$2501),0)),K2417)</f>
        <v>B2B</v>
      </c>
    </row>
    <row r="2418" spans="1:17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 s="3">
        <f t="shared" si="185"/>
        <v>-2681.1743636363635</v>
      </c>
      <c r="I2418" s="1">
        <v>45516</v>
      </c>
      <c r="J2418" t="s">
        <v>40</v>
      </c>
      <c r="K2418" t="s">
        <v>23</v>
      </c>
      <c r="L2418" s="2">
        <f t="shared" si="186"/>
        <v>2681.1743636363635</v>
      </c>
      <c r="M2418" s="4">
        <f t="shared" si="187"/>
        <v>0.6</v>
      </c>
      <c r="N2418" s="1">
        <f t="shared" si="188"/>
        <v>45516</v>
      </c>
      <c r="O2418" s="3">
        <f>(Table13[[#This Row],[Units_Sold]]*Table13[[#This Row],[Unit_Price_Cleaned]]*(1-Table13[[#This Row],[Discount Cleaned]]))</f>
        <v>-1072.4697454545455</v>
      </c>
      <c r="P2418" t="str">
        <f t="shared" si="189"/>
        <v>Loss</v>
      </c>
      <c r="Q2418" t="str" cm="1">
        <f t="array" ref="Q2418">IF(K2418="",INDEX($K$2:$K$2501,MATCH(MAX(COUNTIF($K$2:$K$2501,$K$2:$K$2501)),COUNTIF($K$2:$K$2501,$K$2:$K$2501),0)),K2418)</f>
        <v>B2B</v>
      </c>
    </row>
    <row r="2419" spans="1:17" x14ac:dyDescent="0.3">
      <c r="A2419">
        <v>3417</v>
      </c>
      <c r="B2419" t="s">
        <v>2430</v>
      </c>
      <c r="C2419" t="s">
        <v>13</v>
      </c>
      <c r="D2419" t="s">
        <v>49</v>
      </c>
      <c r="E2419">
        <v>2</v>
      </c>
      <c r="H2419" s="3">
        <f t="shared" si="185"/>
        <v>5570.1755932203387</v>
      </c>
      <c r="I2419" s="1">
        <v>45686</v>
      </c>
      <c r="J2419" t="s">
        <v>15</v>
      </c>
      <c r="K2419" t="s">
        <v>16</v>
      </c>
      <c r="L2419" s="2">
        <f t="shared" si="186"/>
        <v>2785.0877966101693</v>
      </c>
      <c r="M2419" s="4">
        <f t="shared" si="187"/>
        <v>0.6</v>
      </c>
      <c r="N2419" s="1">
        <f t="shared" si="188"/>
        <v>45686</v>
      </c>
      <c r="O2419" s="3">
        <f>(Table13[[#This Row],[Units_Sold]]*Table13[[#This Row],[Unit_Price_Cleaned]]*(1-Table13[[#This Row],[Discount Cleaned]]))</f>
        <v>2228.0702372881356</v>
      </c>
      <c r="P2419" t="str">
        <f t="shared" si="189"/>
        <v>Profit</v>
      </c>
      <c r="Q2419" t="str" cm="1">
        <f t="array" ref="Q2419">IF(K2419="",INDEX($K$2:$K$2501,MATCH(MAX(COUNTIF($K$2:$K$2501,$K$2:$K$2501)),COUNTIF($K$2:$K$2501,$K$2:$K$2501),0)),K2419)</f>
        <v>B2C</v>
      </c>
    </row>
    <row r="2420" spans="1:17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 s="3">
        <f t="shared" si="185"/>
        <v>14287.606551724137</v>
      </c>
      <c r="J2420" t="s">
        <v>18</v>
      </c>
      <c r="L2420" s="2">
        <f t="shared" si="186"/>
        <v>2381.2677586206896</v>
      </c>
      <c r="M2420" s="4">
        <f t="shared" si="187"/>
        <v>0.56000000000000005</v>
      </c>
      <c r="N2420" s="1">
        <f t="shared" si="188"/>
        <v>45782</v>
      </c>
      <c r="O2420" s="3">
        <f>(Table13[[#This Row],[Units_Sold]]*Table13[[#This Row],[Unit_Price_Cleaned]]*(1-Table13[[#This Row],[Discount Cleaned]]))</f>
        <v>6286.5468827586192</v>
      </c>
      <c r="P2420" t="str">
        <f t="shared" si="189"/>
        <v>Profit</v>
      </c>
      <c r="Q2420" t="str" cm="1">
        <f t="array" ref="Q2420">IF(K2420="",INDEX($K$2:$K$2501,MATCH(MAX(COUNTIF($K$2:$K$2501,$K$2:$K$2501)),COUNTIF($K$2:$K$2501,$K$2:$K$2501),0)),K2420)</f>
        <v>B2B</v>
      </c>
    </row>
    <row r="2421" spans="1:17" x14ac:dyDescent="0.3">
      <c r="A2421">
        <v>3419</v>
      </c>
      <c r="B2421" t="s">
        <v>83</v>
      </c>
      <c r="C2421" t="s">
        <v>33</v>
      </c>
      <c r="D2421" t="s">
        <v>34</v>
      </c>
      <c r="E2421">
        <v>2</v>
      </c>
      <c r="H2421" s="3">
        <f t="shared" si="185"/>
        <v>4974.07923076923</v>
      </c>
      <c r="J2421" t="s">
        <v>18</v>
      </c>
      <c r="K2421" t="s">
        <v>23</v>
      </c>
      <c r="L2421" s="2">
        <f t="shared" si="186"/>
        <v>2487.039615384615</v>
      </c>
      <c r="M2421" s="4">
        <f t="shared" si="187"/>
        <v>0.6</v>
      </c>
      <c r="N2421" s="1">
        <f t="shared" si="188"/>
        <v>45782</v>
      </c>
      <c r="O2421" s="3">
        <f>(Table13[[#This Row],[Units_Sold]]*Table13[[#This Row],[Unit_Price_Cleaned]]*(1-Table13[[#This Row],[Discount Cleaned]]))</f>
        <v>1989.631692307692</v>
      </c>
      <c r="P2421" t="str">
        <f t="shared" si="189"/>
        <v>Profit</v>
      </c>
      <c r="Q2421" t="str" cm="1">
        <f t="array" ref="Q2421">IF(K2421="",INDEX($K$2:$K$2501,MATCH(MAX(COUNTIF($K$2:$K$2501,$K$2:$K$2501)),COUNTIF($K$2:$K$2501,$K$2:$K$2501),0)),K2421)</f>
        <v>B2B</v>
      </c>
    </row>
    <row r="2422" spans="1:17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 s="3">
        <f t="shared" si="185"/>
        <v>8100.3789130434761</v>
      </c>
      <c r="I2422" s="1">
        <v>45853</v>
      </c>
      <c r="J2422" t="s">
        <v>22</v>
      </c>
      <c r="K2422" t="s">
        <v>16</v>
      </c>
      <c r="L2422" s="2">
        <f t="shared" si="186"/>
        <v>2700.1263043478252</v>
      </c>
      <c r="M2422" s="4">
        <f t="shared" si="187"/>
        <v>0.6</v>
      </c>
      <c r="N2422" s="1">
        <f t="shared" si="188"/>
        <v>45853</v>
      </c>
      <c r="O2422" s="3">
        <f>(Table13[[#This Row],[Units_Sold]]*Table13[[#This Row],[Unit_Price_Cleaned]]*(1-Table13[[#This Row],[Discount Cleaned]]))</f>
        <v>3240.1515652173907</v>
      </c>
      <c r="P2422" t="str">
        <f t="shared" si="189"/>
        <v>Profit</v>
      </c>
      <c r="Q2422" t="str" cm="1">
        <f t="array" ref="Q2422">IF(K2422="",INDEX($K$2:$K$2501,MATCH(MAX(COUNTIF($K$2:$K$2501,$K$2:$K$2501)),COUNTIF($K$2:$K$2501,$K$2:$K$2501),0)),K2422)</f>
        <v>B2C</v>
      </c>
    </row>
    <row r="2423" spans="1:17" x14ac:dyDescent="0.3">
      <c r="A2423">
        <v>3421</v>
      </c>
      <c r="B2423" t="s">
        <v>1223</v>
      </c>
      <c r="C2423" t="s">
        <v>25</v>
      </c>
      <c r="D2423" t="s">
        <v>26</v>
      </c>
      <c r="E2423">
        <v>2</v>
      </c>
      <c r="F2423">
        <v>2933.45</v>
      </c>
      <c r="H2423" s="3">
        <f t="shared" si="185"/>
        <v>5866.9</v>
      </c>
      <c r="I2423" s="1">
        <v>45785</v>
      </c>
      <c r="J2423" t="s">
        <v>40</v>
      </c>
      <c r="K2423" t="s">
        <v>16</v>
      </c>
      <c r="L2423" s="2">
        <f t="shared" si="186"/>
        <v>2933.45</v>
      </c>
      <c r="M2423" s="4">
        <f t="shared" si="187"/>
        <v>0.6</v>
      </c>
      <c r="N2423" s="1">
        <f t="shared" si="188"/>
        <v>45785</v>
      </c>
      <c r="O2423" s="3">
        <f>(Table13[[#This Row],[Units_Sold]]*Table13[[#This Row],[Unit_Price_Cleaned]]*(1-Table13[[#This Row],[Discount Cleaned]]))</f>
        <v>2346.7599999999998</v>
      </c>
      <c r="P2423" t="str">
        <f t="shared" si="189"/>
        <v>Profit</v>
      </c>
      <c r="Q2423" t="str" cm="1">
        <f t="array" ref="Q2423">IF(K2423="",INDEX($K$2:$K$2501,MATCH(MAX(COUNTIF($K$2:$K$2501,$K$2:$K$2501)),COUNTIF($K$2:$K$2501,$K$2:$K$2501),0)),K2423)</f>
        <v>B2C</v>
      </c>
    </row>
    <row r="2424" spans="1:17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 s="3">
        <f t="shared" si="185"/>
        <v>14776.74</v>
      </c>
      <c r="I2424" s="1">
        <v>45516</v>
      </c>
      <c r="J2424" t="s">
        <v>46</v>
      </c>
      <c r="L2424" s="2">
        <f t="shared" si="186"/>
        <v>2462.79</v>
      </c>
      <c r="M2424" s="4">
        <f t="shared" si="187"/>
        <v>0.6</v>
      </c>
      <c r="N2424" s="1">
        <f t="shared" si="188"/>
        <v>45516</v>
      </c>
      <c r="O2424" s="3">
        <f>(Table13[[#This Row],[Units_Sold]]*Table13[[#This Row],[Unit_Price_Cleaned]]*(1-Table13[[#This Row],[Discount Cleaned]]))</f>
        <v>5910.6959999999999</v>
      </c>
      <c r="P2424" t="str">
        <f t="shared" si="189"/>
        <v>Profit</v>
      </c>
      <c r="Q2424" t="str" cm="1">
        <f t="array" ref="Q2424">IF(K2424="",INDEX($K$2:$K$2501,MATCH(MAX(COUNTIF($K$2:$K$2501,$K$2:$K$2501)),COUNTIF($K$2:$K$2501,$K$2:$K$2501),0)),K2424)</f>
        <v>B2B</v>
      </c>
    </row>
    <row r="2425" spans="1:17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 s="3">
        <f t="shared" si="185"/>
        <v>-5003.0619999999999</v>
      </c>
      <c r="I2425" s="1">
        <v>45519</v>
      </c>
      <c r="J2425" t="s">
        <v>18</v>
      </c>
      <c r="K2425" t="s">
        <v>16</v>
      </c>
      <c r="L2425" s="2">
        <f t="shared" si="186"/>
        <v>2501.5309999999999</v>
      </c>
      <c r="M2425" s="4">
        <f t="shared" si="187"/>
        <v>0.6</v>
      </c>
      <c r="N2425" s="1">
        <f t="shared" si="188"/>
        <v>45519</v>
      </c>
      <c r="O2425" s="3">
        <f>(Table13[[#This Row],[Units_Sold]]*Table13[[#This Row],[Unit_Price_Cleaned]]*(1-Table13[[#This Row],[Discount Cleaned]]))</f>
        <v>-2001.2248</v>
      </c>
      <c r="P2425" t="str">
        <f t="shared" si="189"/>
        <v>Loss</v>
      </c>
      <c r="Q2425" t="str" cm="1">
        <f t="array" ref="Q2425">IF(K2425="",INDEX($K$2:$K$2501,MATCH(MAX(COUNTIF($K$2:$K$2501,$K$2:$K$2501)),COUNTIF($K$2:$K$2501,$K$2:$K$2501),0)),K2425)</f>
        <v>B2C</v>
      </c>
    </row>
    <row r="2426" spans="1:17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 s="3">
        <f t="shared" si="185"/>
        <v>23771.100000000002</v>
      </c>
      <c r="I2426" s="1">
        <v>45794</v>
      </c>
      <c r="J2426" t="s">
        <v>56</v>
      </c>
      <c r="K2426" t="s">
        <v>23</v>
      </c>
      <c r="L2426" s="2">
        <f t="shared" si="186"/>
        <v>4754.22</v>
      </c>
      <c r="M2426" s="4">
        <f t="shared" si="187"/>
        <v>0.82</v>
      </c>
      <c r="N2426" s="1">
        <f t="shared" si="188"/>
        <v>45794</v>
      </c>
      <c r="O2426" s="3">
        <f>(Table13[[#This Row],[Units_Sold]]*Table13[[#This Row],[Unit_Price_Cleaned]]*(1-Table13[[#This Row],[Discount Cleaned]]))</f>
        <v>4278.7980000000016</v>
      </c>
      <c r="P2426" t="str">
        <f t="shared" si="189"/>
        <v>Profit</v>
      </c>
      <c r="Q2426" t="str" cm="1">
        <f t="array" ref="Q2426">IF(K2426="",INDEX($K$2:$K$2501,MATCH(MAX(COUNTIF($K$2:$K$2501,$K$2:$K$2501)),COUNTIF($K$2:$K$2501,$K$2:$K$2501),0)),K2426)</f>
        <v>B2B</v>
      </c>
    </row>
    <row r="2427" spans="1:17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 s="3">
        <f t="shared" si="185"/>
        <v>-5884.66</v>
      </c>
      <c r="I2427" s="1">
        <v>45341</v>
      </c>
      <c r="J2427" t="s">
        <v>46</v>
      </c>
      <c r="L2427" s="2">
        <f t="shared" si="186"/>
        <v>2942.33</v>
      </c>
      <c r="M2427" s="4">
        <f t="shared" si="187"/>
        <v>0.16</v>
      </c>
      <c r="N2427" s="1">
        <f t="shared" si="188"/>
        <v>45341</v>
      </c>
      <c r="O2427" s="3">
        <f>(Table13[[#This Row],[Units_Sold]]*Table13[[#This Row],[Unit_Price_Cleaned]]*(1-Table13[[#This Row],[Discount Cleaned]]))</f>
        <v>-4943.1143999999995</v>
      </c>
      <c r="P2427" t="str">
        <f t="shared" si="189"/>
        <v>Loss</v>
      </c>
      <c r="Q2427" t="str" cm="1">
        <f t="array" ref="Q2427">IF(K2427="",INDEX($K$2:$K$2501,MATCH(MAX(COUNTIF($K$2:$K$2501,$K$2:$K$2501)),COUNTIF($K$2:$K$2501,$K$2:$K$2501),0)),K2427)</f>
        <v>B2B</v>
      </c>
    </row>
    <row r="2428" spans="1:17" x14ac:dyDescent="0.3">
      <c r="A2428">
        <v>3426</v>
      </c>
      <c r="B2428" t="s">
        <v>2437</v>
      </c>
      <c r="C2428" t="s">
        <v>20</v>
      </c>
      <c r="D2428" t="s">
        <v>88</v>
      </c>
      <c r="E2428">
        <v>2</v>
      </c>
      <c r="F2428">
        <v>3441.89</v>
      </c>
      <c r="H2428" s="3">
        <f t="shared" si="185"/>
        <v>6883.78</v>
      </c>
      <c r="I2428" s="1">
        <v>45603</v>
      </c>
      <c r="J2428" t="s">
        <v>18</v>
      </c>
      <c r="L2428" s="2">
        <f t="shared" si="186"/>
        <v>3441.89</v>
      </c>
      <c r="M2428" s="4">
        <f t="shared" si="187"/>
        <v>0.6</v>
      </c>
      <c r="N2428" s="1">
        <f t="shared" si="188"/>
        <v>45603</v>
      </c>
      <c r="O2428" s="3">
        <f>(Table13[[#This Row],[Units_Sold]]*Table13[[#This Row],[Unit_Price_Cleaned]]*(1-Table13[[#This Row],[Discount Cleaned]]))</f>
        <v>2753.5120000000002</v>
      </c>
      <c r="P2428" t="str">
        <f t="shared" si="189"/>
        <v>Profit</v>
      </c>
      <c r="Q2428" t="str" cm="1">
        <f t="array" ref="Q2428">IF(K2428="",INDEX($K$2:$K$2501,MATCH(MAX(COUNTIF($K$2:$K$2501,$K$2:$K$2501)),COUNTIF($K$2:$K$2501,$K$2:$K$2501),0)),K2428)</f>
        <v>B2B</v>
      </c>
    </row>
    <row r="2429" spans="1:17" x14ac:dyDescent="0.3">
      <c r="A2429">
        <v>3427</v>
      </c>
      <c r="B2429" t="s">
        <v>2438</v>
      </c>
      <c r="C2429" t="s">
        <v>29</v>
      </c>
      <c r="D2429" t="s">
        <v>30</v>
      </c>
      <c r="E2429">
        <v>2</v>
      </c>
      <c r="G2429">
        <v>0.51</v>
      </c>
      <c r="H2429" s="3">
        <f t="shared" si="185"/>
        <v>5235.2780769230776</v>
      </c>
      <c r="I2429" s="1">
        <v>45512</v>
      </c>
      <c r="J2429" t="s">
        <v>15</v>
      </c>
      <c r="K2429" t="s">
        <v>23</v>
      </c>
      <c r="L2429" s="2">
        <f t="shared" si="186"/>
        <v>2617.6390384615388</v>
      </c>
      <c r="M2429" s="4">
        <f t="shared" si="187"/>
        <v>0.51</v>
      </c>
      <c r="N2429" s="1">
        <f t="shared" si="188"/>
        <v>45512</v>
      </c>
      <c r="O2429" s="3">
        <f>(Table13[[#This Row],[Units_Sold]]*Table13[[#This Row],[Unit_Price_Cleaned]]*(1-Table13[[#This Row],[Discount Cleaned]]))</f>
        <v>2565.286257692308</v>
      </c>
      <c r="P2429" t="str">
        <f t="shared" si="189"/>
        <v>Profit</v>
      </c>
      <c r="Q2429" t="str" cm="1">
        <f t="array" ref="Q2429">IF(K2429="",INDEX($K$2:$K$2501,MATCH(MAX(COUNTIF($K$2:$K$2501,$K$2:$K$2501)),COUNTIF($K$2:$K$2501,$K$2:$K$2501),0)),K2429)</f>
        <v>B2B</v>
      </c>
    </row>
    <row r="2430" spans="1:17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 s="3">
        <f t="shared" si="185"/>
        <v>8043.5230909090906</v>
      </c>
      <c r="I2430" s="1">
        <v>45729</v>
      </c>
      <c r="J2430" t="s">
        <v>22</v>
      </c>
      <c r="L2430" s="2">
        <f t="shared" si="186"/>
        <v>2681.1743636363635</v>
      </c>
      <c r="M2430" s="4">
        <f t="shared" si="187"/>
        <v>0.6</v>
      </c>
      <c r="N2430" s="1">
        <f t="shared" si="188"/>
        <v>45729</v>
      </c>
      <c r="O2430" s="3">
        <f>(Table13[[#This Row],[Units_Sold]]*Table13[[#This Row],[Unit_Price_Cleaned]]*(1-Table13[[#This Row],[Discount Cleaned]]))</f>
        <v>3217.4092363636364</v>
      </c>
      <c r="P2430" t="str">
        <f t="shared" si="189"/>
        <v>Profit</v>
      </c>
      <c r="Q2430" t="str" cm="1">
        <f t="array" ref="Q2430">IF(K2430="",INDEX($K$2:$K$2501,MATCH(MAX(COUNTIF($K$2:$K$2501,$K$2:$K$2501)),COUNTIF($K$2:$K$2501,$K$2:$K$2501),0)),K2430)</f>
        <v>B2B</v>
      </c>
    </row>
    <row r="2431" spans="1:17" x14ac:dyDescent="0.3">
      <c r="A2431">
        <v>3429</v>
      </c>
      <c r="B2431" t="s">
        <v>2440</v>
      </c>
      <c r="C2431" t="s">
        <v>38</v>
      </c>
      <c r="D2431" t="s">
        <v>63</v>
      </c>
      <c r="E2431">
        <v>2</v>
      </c>
      <c r="H2431" s="3">
        <f t="shared" si="185"/>
        <v>5690.4839344262318</v>
      </c>
      <c r="I2431" s="1">
        <v>45703</v>
      </c>
      <c r="J2431" t="s">
        <v>15</v>
      </c>
      <c r="L2431" s="2">
        <f t="shared" si="186"/>
        <v>2845.2419672131159</v>
      </c>
      <c r="M2431" s="4">
        <f t="shared" si="187"/>
        <v>0.6</v>
      </c>
      <c r="N2431" s="1">
        <f t="shared" si="188"/>
        <v>45703</v>
      </c>
      <c r="O2431" s="3">
        <f>(Table13[[#This Row],[Units_Sold]]*Table13[[#This Row],[Unit_Price_Cleaned]]*(1-Table13[[#This Row],[Discount Cleaned]]))</f>
        <v>2276.193573770493</v>
      </c>
      <c r="P2431" t="str">
        <f t="shared" si="189"/>
        <v>Profit</v>
      </c>
      <c r="Q2431" t="str" cm="1">
        <f t="array" ref="Q2431">IF(K2431="",INDEX($K$2:$K$2501,MATCH(MAX(COUNTIF($K$2:$K$2501,$K$2:$K$2501)),COUNTIF($K$2:$K$2501,$K$2:$K$2501),0)),K2431)</f>
        <v>B2B</v>
      </c>
    </row>
    <row r="2432" spans="1:17" x14ac:dyDescent="0.3">
      <c r="A2432">
        <v>3430</v>
      </c>
      <c r="B2432" t="s">
        <v>2441</v>
      </c>
      <c r="C2432" t="s">
        <v>29</v>
      </c>
      <c r="D2432" t="s">
        <v>120</v>
      </c>
      <c r="E2432">
        <v>2</v>
      </c>
      <c r="F2432">
        <v>2244.0700000000002</v>
      </c>
      <c r="H2432" s="3">
        <f t="shared" si="185"/>
        <v>4488.1400000000003</v>
      </c>
      <c r="J2432" t="s">
        <v>40</v>
      </c>
      <c r="K2432" t="s">
        <v>16</v>
      </c>
      <c r="L2432" s="2">
        <f t="shared" si="186"/>
        <v>2244.0700000000002</v>
      </c>
      <c r="M2432" s="4">
        <f t="shared" si="187"/>
        <v>0.6</v>
      </c>
      <c r="N2432" s="1">
        <f t="shared" si="188"/>
        <v>45782</v>
      </c>
      <c r="O2432" s="3">
        <f>(Table13[[#This Row],[Units_Sold]]*Table13[[#This Row],[Unit_Price_Cleaned]]*(1-Table13[[#This Row],[Discount Cleaned]]))</f>
        <v>1795.2560000000003</v>
      </c>
      <c r="P2432" t="str">
        <f t="shared" si="189"/>
        <v>Profit</v>
      </c>
      <c r="Q2432" t="str" cm="1">
        <f t="array" ref="Q2432">IF(K2432="",INDEX($K$2:$K$2501,MATCH(MAX(COUNTIF($K$2:$K$2501,$K$2:$K$2501)),COUNTIF($K$2:$K$2501,$K$2:$K$2501),0)),K2432)</f>
        <v>B2C</v>
      </c>
    </row>
    <row r="2433" spans="1:17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 s="3">
        <f t="shared" si="185"/>
        <v>0</v>
      </c>
      <c r="I2433" s="1">
        <v>45613</v>
      </c>
      <c r="J2433" t="s">
        <v>15</v>
      </c>
      <c r="K2433" t="s">
        <v>16</v>
      </c>
      <c r="L2433" s="2">
        <f t="shared" si="186"/>
        <v>2804.2651923076919</v>
      </c>
      <c r="M2433" s="4">
        <f t="shared" si="187"/>
        <v>0.25</v>
      </c>
      <c r="N2433" s="1">
        <f t="shared" si="188"/>
        <v>45613</v>
      </c>
      <c r="O2433" s="3">
        <f>(Table13[[#This Row],[Units_Sold]]*Table13[[#This Row],[Unit_Price_Cleaned]]*(1-Table13[[#This Row],[Discount Cleaned]]))</f>
        <v>0</v>
      </c>
      <c r="P2433" t="str">
        <f t="shared" si="189"/>
        <v>Loss</v>
      </c>
      <c r="Q2433" t="str" cm="1">
        <f t="array" ref="Q2433">IF(K2433="",INDEX($K$2:$K$2501,MATCH(MAX(COUNTIF($K$2:$K$2501,$K$2:$K$2501)),COUNTIF($K$2:$K$2501,$K$2:$K$2501),0)),K2433)</f>
        <v>B2C</v>
      </c>
    </row>
    <row r="2434" spans="1:17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 s="3">
        <f t="shared" ref="H2434:H2501" si="190">(L2434*E2434)</f>
        <v>-5737.5536363636356</v>
      </c>
      <c r="I2434" s="1">
        <v>45657</v>
      </c>
      <c r="J2434" t="s">
        <v>40</v>
      </c>
      <c r="L2434" s="2">
        <f t="shared" ref="L2434:L2501" si="191">IF(F2434="",AVERAGEIF($D$2:$D$2501,D2434,$F$2:$F$2501),F2434)</f>
        <v>2868.7768181818178</v>
      </c>
      <c r="M2434" s="4">
        <f t="shared" ref="M2434:M2501" si="192">IF(G2434="",MEDIAN($G$2,$G$2501),G2434)</f>
        <v>0.6</v>
      </c>
      <c r="N2434" s="1">
        <f t="shared" ref="N2434:N2501" si="193">IF(I2434="",MODE($I$32:$I$2501),I2434)</f>
        <v>45657</v>
      </c>
      <c r="O2434" s="3">
        <f>(Table13[[#This Row],[Units_Sold]]*Table13[[#This Row],[Unit_Price_Cleaned]]*(1-Table13[[#This Row],[Discount Cleaned]]))</f>
        <v>-2295.0214545454542</v>
      </c>
      <c r="P2434" t="str">
        <f t="shared" ref="P2434:P2497" si="194">IF(O2434&gt;500,"Profit","Loss")</f>
        <v>Loss</v>
      </c>
      <c r="Q2434" t="str" cm="1">
        <f t="array" ref="Q2434">IF(K2434="",INDEX($K$2:$K$2501,MATCH(MAX(COUNTIF($K$2:$K$2501,$K$2:$K$2501)),COUNTIF($K$2:$K$2501,$K$2:$K$2501),0)),K2434)</f>
        <v>B2B</v>
      </c>
    </row>
    <row r="2435" spans="1:17" x14ac:dyDescent="0.3">
      <c r="A2435">
        <v>3433</v>
      </c>
      <c r="B2435" t="s">
        <v>2444</v>
      </c>
      <c r="C2435" t="s">
        <v>33</v>
      </c>
      <c r="D2435" t="s">
        <v>34</v>
      </c>
      <c r="E2435">
        <v>2</v>
      </c>
      <c r="F2435">
        <v>4971.5600000000004</v>
      </c>
      <c r="G2435">
        <v>0.87</v>
      </c>
      <c r="H2435" s="3">
        <f t="shared" si="190"/>
        <v>9943.1200000000008</v>
      </c>
      <c r="I2435" s="1">
        <v>45679</v>
      </c>
      <c r="J2435" t="s">
        <v>40</v>
      </c>
      <c r="L2435" s="2">
        <f t="shared" si="191"/>
        <v>4971.5600000000004</v>
      </c>
      <c r="M2435" s="4">
        <f t="shared" si="192"/>
        <v>0.87</v>
      </c>
      <c r="N2435" s="1">
        <f t="shared" si="193"/>
        <v>45679</v>
      </c>
      <c r="O2435" s="3">
        <f>(Table13[[#This Row],[Units_Sold]]*Table13[[#This Row],[Unit_Price_Cleaned]]*(1-Table13[[#This Row],[Discount Cleaned]]))</f>
        <v>1292.6056000000001</v>
      </c>
      <c r="P2435" t="str">
        <f t="shared" si="194"/>
        <v>Profit</v>
      </c>
      <c r="Q2435" t="str" cm="1">
        <f t="array" ref="Q2435">IF(K2435="",INDEX($K$2:$K$2501,MATCH(MAX(COUNTIF($K$2:$K$2501,$K$2:$K$2501)),COUNTIF($K$2:$K$2501,$K$2:$K$2501),0)),K2435)</f>
        <v>B2B</v>
      </c>
    </row>
    <row r="2436" spans="1:17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 s="3">
        <f t="shared" si="190"/>
        <v>-636.91999999999996</v>
      </c>
      <c r="I2436" s="1">
        <v>45724</v>
      </c>
      <c r="J2436" t="s">
        <v>46</v>
      </c>
      <c r="K2436" t="s">
        <v>23</v>
      </c>
      <c r="L2436" s="2">
        <f t="shared" si="191"/>
        <v>636.91999999999996</v>
      </c>
      <c r="M2436" s="4">
        <f t="shared" si="192"/>
        <v>0.51</v>
      </c>
      <c r="N2436" s="1">
        <f t="shared" si="193"/>
        <v>45724</v>
      </c>
      <c r="O2436" s="3">
        <f>(Table13[[#This Row],[Units_Sold]]*Table13[[#This Row],[Unit_Price_Cleaned]]*(1-Table13[[#This Row],[Discount Cleaned]]))</f>
        <v>-312.0908</v>
      </c>
      <c r="P2436" t="str">
        <f t="shared" si="194"/>
        <v>Loss</v>
      </c>
      <c r="Q2436" t="str" cm="1">
        <f t="array" ref="Q2436">IF(K2436="",INDEX($K$2:$K$2501,MATCH(MAX(COUNTIF($K$2:$K$2501,$K$2:$K$2501)),COUNTIF($K$2:$K$2501,$K$2:$K$2501),0)),K2436)</f>
        <v>B2B</v>
      </c>
    </row>
    <row r="2437" spans="1:17" x14ac:dyDescent="0.3">
      <c r="A2437">
        <v>3435</v>
      </c>
      <c r="B2437" t="s">
        <v>2446</v>
      </c>
      <c r="C2437" t="s">
        <v>20</v>
      </c>
      <c r="D2437" t="s">
        <v>122</v>
      </c>
      <c r="E2437">
        <v>2</v>
      </c>
      <c r="H2437" s="3">
        <f t="shared" si="190"/>
        <v>5400.2526086956505</v>
      </c>
      <c r="I2437" s="1">
        <v>45145</v>
      </c>
      <c r="J2437" t="s">
        <v>15</v>
      </c>
      <c r="L2437" s="2">
        <f t="shared" si="191"/>
        <v>2700.1263043478252</v>
      </c>
      <c r="M2437" s="4">
        <f t="shared" si="192"/>
        <v>0.6</v>
      </c>
      <c r="N2437" s="1">
        <f t="shared" si="193"/>
        <v>45145</v>
      </c>
      <c r="O2437" s="3">
        <f>(Table13[[#This Row],[Units_Sold]]*Table13[[#This Row],[Unit_Price_Cleaned]]*(1-Table13[[#This Row],[Discount Cleaned]]))</f>
        <v>2160.1010434782602</v>
      </c>
      <c r="P2437" t="str">
        <f t="shared" si="194"/>
        <v>Profit</v>
      </c>
      <c r="Q2437" t="str" cm="1">
        <f t="array" ref="Q2437">IF(K2437="",INDEX($K$2:$K$2501,MATCH(MAX(COUNTIF($K$2:$K$2501,$K$2:$K$2501)),COUNTIF($K$2:$K$2501,$K$2:$K$2501),0)),K2437)</f>
        <v>B2B</v>
      </c>
    </row>
    <row r="2438" spans="1:17" x14ac:dyDescent="0.3">
      <c r="A2438">
        <v>3436</v>
      </c>
      <c r="B2438" t="s">
        <v>2447</v>
      </c>
      <c r="C2438" t="s">
        <v>38</v>
      </c>
      <c r="D2438" t="s">
        <v>59</v>
      </c>
      <c r="E2438">
        <v>2</v>
      </c>
      <c r="G2438">
        <v>0.91</v>
      </c>
      <c r="H2438" s="3">
        <f t="shared" si="190"/>
        <v>5608.5303846153838</v>
      </c>
      <c r="I2438" s="1">
        <v>45532</v>
      </c>
      <c r="J2438" t="s">
        <v>40</v>
      </c>
      <c r="K2438" t="s">
        <v>23</v>
      </c>
      <c r="L2438" s="2">
        <f t="shared" si="191"/>
        <v>2804.2651923076919</v>
      </c>
      <c r="M2438" s="4">
        <f t="shared" si="192"/>
        <v>0.91</v>
      </c>
      <c r="N2438" s="1">
        <f t="shared" si="193"/>
        <v>45532</v>
      </c>
      <c r="O2438" s="3">
        <f>(Table13[[#This Row],[Units_Sold]]*Table13[[#This Row],[Unit_Price_Cleaned]]*(1-Table13[[#This Row],[Discount Cleaned]]))</f>
        <v>504.76773461538437</v>
      </c>
      <c r="P2438" t="str">
        <f t="shared" si="194"/>
        <v>Profit</v>
      </c>
      <c r="Q2438" t="str" cm="1">
        <f t="array" ref="Q2438">IF(K2438="",INDEX($K$2:$K$2501,MATCH(MAX(COUNTIF($K$2:$K$2501,$K$2:$K$2501)),COUNTIF($K$2:$K$2501,$K$2:$K$2501),0)),K2438)</f>
        <v>B2B</v>
      </c>
    </row>
    <row r="2439" spans="1:17" x14ac:dyDescent="0.3">
      <c r="A2439">
        <v>3437</v>
      </c>
      <c r="B2439" t="s">
        <v>2448</v>
      </c>
      <c r="C2439" t="s">
        <v>33</v>
      </c>
      <c r="D2439" t="s">
        <v>34</v>
      </c>
      <c r="E2439">
        <v>2</v>
      </c>
      <c r="F2439">
        <v>987.68</v>
      </c>
      <c r="G2439">
        <v>1.25</v>
      </c>
      <c r="H2439" s="3">
        <f t="shared" si="190"/>
        <v>1975.36</v>
      </c>
      <c r="I2439" s="1">
        <v>45832</v>
      </c>
      <c r="J2439" t="s">
        <v>40</v>
      </c>
      <c r="K2439" t="s">
        <v>16</v>
      </c>
      <c r="L2439" s="2">
        <f t="shared" si="191"/>
        <v>987.68</v>
      </c>
      <c r="M2439" s="4">
        <f t="shared" si="192"/>
        <v>1.25</v>
      </c>
      <c r="N2439" s="1">
        <f t="shared" si="193"/>
        <v>45832</v>
      </c>
      <c r="O2439" s="3">
        <f>(Table13[[#This Row],[Units_Sold]]*Table13[[#This Row],[Unit_Price_Cleaned]]*(1-Table13[[#This Row],[Discount Cleaned]]))</f>
        <v>-493.84</v>
      </c>
      <c r="P2439" t="str">
        <f t="shared" si="194"/>
        <v>Loss</v>
      </c>
      <c r="Q2439" t="str" cm="1">
        <f t="array" ref="Q2439">IF(K2439="",INDEX($K$2:$K$2501,MATCH(MAX(COUNTIF($K$2:$K$2501,$K$2:$K$2501)),COUNTIF($K$2:$K$2501,$K$2:$K$2501),0)),K2439)</f>
        <v>B2C</v>
      </c>
    </row>
    <row r="2440" spans="1:17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 s="3">
        <f t="shared" si="190"/>
        <v>11673.210000000001</v>
      </c>
      <c r="I2440" s="1">
        <v>45856</v>
      </c>
      <c r="J2440" t="s">
        <v>18</v>
      </c>
      <c r="K2440" t="s">
        <v>16</v>
      </c>
      <c r="L2440" s="2">
        <f t="shared" si="191"/>
        <v>3891.07</v>
      </c>
      <c r="M2440" s="4">
        <f t="shared" si="192"/>
        <v>0.2</v>
      </c>
      <c r="N2440" s="1">
        <f t="shared" si="193"/>
        <v>45856</v>
      </c>
      <c r="O2440" s="3">
        <f>(Table13[[#This Row],[Units_Sold]]*Table13[[#This Row],[Unit_Price_Cleaned]]*(1-Table13[[#This Row],[Discount Cleaned]]))</f>
        <v>9338.5680000000011</v>
      </c>
      <c r="P2440" t="str">
        <f t="shared" si="194"/>
        <v>Profit</v>
      </c>
      <c r="Q2440" t="str" cm="1">
        <f t="array" ref="Q2440">IF(K2440="",INDEX($K$2:$K$2501,MATCH(MAX(COUNTIF($K$2:$K$2501,$K$2:$K$2501)),COUNTIF($K$2:$K$2501,$K$2:$K$2501),0)),K2440)</f>
        <v>B2C</v>
      </c>
    </row>
    <row r="2441" spans="1:17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 s="3">
        <f t="shared" si="190"/>
        <v>-800.42</v>
      </c>
      <c r="I2441" s="1">
        <v>45831</v>
      </c>
      <c r="J2441" t="s">
        <v>40</v>
      </c>
      <c r="K2441" t="s">
        <v>16</v>
      </c>
      <c r="L2441" s="2">
        <f t="shared" si="191"/>
        <v>400.21</v>
      </c>
      <c r="M2441" s="4">
        <f t="shared" si="192"/>
        <v>0.6</v>
      </c>
      <c r="N2441" s="1">
        <f t="shared" si="193"/>
        <v>45831</v>
      </c>
      <c r="O2441" s="3">
        <f>(Table13[[#This Row],[Units_Sold]]*Table13[[#This Row],[Unit_Price_Cleaned]]*(1-Table13[[#This Row],[Discount Cleaned]]))</f>
        <v>-320.16800000000001</v>
      </c>
      <c r="P2441" t="str">
        <f t="shared" si="194"/>
        <v>Loss</v>
      </c>
      <c r="Q2441" t="str" cm="1">
        <f t="array" ref="Q2441">IF(K2441="",INDEX($K$2:$K$2501,MATCH(MAX(COUNTIF($K$2:$K$2501,$K$2:$K$2501)),COUNTIF($K$2:$K$2501,$K$2:$K$2501),0)),K2441)</f>
        <v>B2C</v>
      </c>
    </row>
    <row r="2442" spans="1:17" x14ac:dyDescent="0.3">
      <c r="A2442">
        <v>3440</v>
      </c>
      <c r="B2442" t="s">
        <v>2451</v>
      </c>
      <c r="C2442" t="s">
        <v>33</v>
      </c>
      <c r="D2442" t="s">
        <v>44</v>
      </c>
      <c r="E2442">
        <v>2</v>
      </c>
      <c r="F2442">
        <v>1536.14</v>
      </c>
      <c r="G2442">
        <v>0.87</v>
      </c>
      <c r="H2442" s="3">
        <f t="shared" si="190"/>
        <v>3072.28</v>
      </c>
      <c r="I2442" s="1">
        <v>45729</v>
      </c>
      <c r="J2442" t="s">
        <v>18</v>
      </c>
      <c r="K2442" t="s">
        <v>16</v>
      </c>
      <c r="L2442" s="2">
        <f t="shared" si="191"/>
        <v>1536.14</v>
      </c>
      <c r="M2442" s="4">
        <f t="shared" si="192"/>
        <v>0.87</v>
      </c>
      <c r="N2442" s="1">
        <f t="shared" si="193"/>
        <v>45729</v>
      </c>
      <c r="O2442" s="3">
        <f>(Table13[[#This Row],[Units_Sold]]*Table13[[#This Row],[Unit_Price_Cleaned]]*(1-Table13[[#This Row],[Discount Cleaned]]))</f>
        <v>399.39640000000003</v>
      </c>
      <c r="P2442" t="str">
        <f t="shared" si="194"/>
        <v>Loss</v>
      </c>
      <c r="Q2442" t="str" cm="1">
        <f t="array" ref="Q2442">IF(K2442="",INDEX($K$2:$K$2501,MATCH(MAX(COUNTIF($K$2:$K$2501,$K$2:$K$2501)),COUNTIF($K$2:$K$2501,$K$2:$K$2501),0)),K2442)</f>
        <v>B2C</v>
      </c>
    </row>
    <row r="2443" spans="1:17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 s="3">
        <f t="shared" si="190"/>
        <v>14021.32596153846</v>
      </c>
      <c r="I2443" s="1">
        <v>45783</v>
      </c>
      <c r="J2443" t="s">
        <v>15</v>
      </c>
      <c r="K2443" t="s">
        <v>23</v>
      </c>
      <c r="L2443" s="2">
        <f t="shared" si="191"/>
        <v>2804.2651923076919</v>
      </c>
      <c r="M2443" s="4">
        <f t="shared" si="192"/>
        <v>1.21</v>
      </c>
      <c r="N2443" s="1">
        <f t="shared" si="193"/>
        <v>45783</v>
      </c>
      <c r="O2443" s="3">
        <f>(Table13[[#This Row],[Units_Sold]]*Table13[[#This Row],[Unit_Price_Cleaned]]*(1-Table13[[#This Row],[Discount Cleaned]]))</f>
        <v>-2944.4784519230761</v>
      </c>
      <c r="P2443" t="str">
        <f t="shared" si="194"/>
        <v>Loss</v>
      </c>
      <c r="Q2443" t="str" cm="1">
        <f t="array" ref="Q2443">IF(K2443="",INDEX($K$2:$K$2501,MATCH(MAX(COUNTIF($K$2:$K$2501,$K$2:$K$2501)),COUNTIF($K$2:$K$2501,$K$2:$K$2501),0)),K2443)</f>
        <v>B2B</v>
      </c>
    </row>
    <row r="2444" spans="1:17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 s="3">
        <f t="shared" si="190"/>
        <v>0</v>
      </c>
      <c r="I2444" s="1">
        <v>45506</v>
      </c>
      <c r="J2444" t="s">
        <v>18</v>
      </c>
      <c r="L2444" s="2">
        <f t="shared" si="191"/>
        <v>2841.7630612244907</v>
      </c>
      <c r="M2444" s="4">
        <f t="shared" si="192"/>
        <v>1.1100000000000001</v>
      </c>
      <c r="N2444" s="1">
        <f t="shared" si="193"/>
        <v>45506</v>
      </c>
      <c r="O2444" s="3">
        <f>(Table13[[#This Row],[Units_Sold]]*Table13[[#This Row],[Unit_Price_Cleaned]]*(1-Table13[[#This Row],[Discount Cleaned]]))</f>
        <v>0</v>
      </c>
      <c r="P2444" t="str">
        <f t="shared" si="194"/>
        <v>Loss</v>
      </c>
      <c r="Q2444" t="str" cm="1">
        <f t="array" ref="Q2444">IF(K2444="",INDEX($K$2:$K$2501,MATCH(MAX(COUNTIF($K$2:$K$2501,$K$2:$K$2501)),COUNTIF($K$2:$K$2501,$K$2:$K$2501),0)),K2444)</f>
        <v>B2B</v>
      </c>
    </row>
    <row r="2445" spans="1:17" x14ac:dyDescent="0.3">
      <c r="A2445">
        <v>3443</v>
      </c>
      <c r="B2445" t="s">
        <v>2454</v>
      </c>
      <c r="C2445" t="s">
        <v>33</v>
      </c>
      <c r="D2445" t="s">
        <v>44</v>
      </c>
      <c r="E2445">
        <v>2</v>
      </c>
      <c r="G2445">
        <v>0.37</v>
      </c>
      <c r="H2445" s="3">
        <f t="shared" si="190"/>
        <v>5683.5261224489814</v>
      </c>
      <c r="I2445" s="1">
        <v>45813</v>
      </c>
      <c r="J2445" t="s">
        <v>15</v>
      </c>
      <c r="L2445" s="2">
        <f t="shared" si="191"/>
        <v>2841.7630612244907</v>
      </c>
      <c r="M2445" s="4">
        <f t="shared" si="192"/>
        <v>0.37</v>
      </c>
      <c r="N2445" s="1">
        <f t="shared" si="193"/>
        <v>45813</v>
      </c>
      <c r="O2445" s="3">
        <f>(Table13[[#This Row],[Units_Sold]]*Table13[[#This Row],[Unit_Price_Cleaned]]*(1-Table13[[#This Row],[Discount Cleaned]]))</f>
        <v>3580.6214571428582</v>
      </c>
      <c r="P2445" t="str">
        <f t="shared" si="194"/>
        <v>Profit</v>
      </c>
      <c r="Q2445" t="str" cm="1">
        <f t="array" ref="Q2445">IF(K2445="",INDEX($K$2:$K$2501,MATCH(MAX(COUNTIF($K$2:$K$2501,$K$2:$K$2501)),COUNTIF($K$2:$K$2501,$K$2:$K$2501),0)),K2445)</f>
        <v>B2B</v>
      </c>
    </row>
    <row r="2446" spans="1:17" x14ac:dyDescent="0.3">
      <c r="A2446">
        <v>3444</v>
      </c>
      <c r="B2446" t="s">
        <v>2455</v>
      </c>
      <c r="C2446" t="s">
        <v>38</v>
      </c>
      <c r="D2446" t="s">
        <v>39</v>
      </c>
      <c r="E2446">
        <v>2</v>
      </c>
      <c r="F2446">
        <v>2924.37</v>
      </c>
      <c r="H2446" s="3">
        <f t="shared" si="190"/>
        <v>5848.74</v>
      </c>
      <c r="I2446" s="1">
        <v>45652</v>
      </c>
      <c r="J2446" t="s">
        <v>46</v>
      </c>
      <c r="L2446" s="2">
        <f t="shared" si="191"/>
        <v>2924.37</v>
      </c>
      <c r="M2446" s="4">
        <f t="shared" si="192"/>
        <v>0.6</v>
      </c>
      <c r="N2446" s="1">
        <f t="shared" si="193"/>
        <v>45652</v>
      </c>
      <c r="O2446" s="3">
        <f>(Table13[[#This Row],[Units_Sold]]*Table13[[#This Row],[Unit_Price_Cleaned]]*(1-Table13[[#This Row],[Discount Cleaned]]))</f>
        <v>2339.4960000000001</v>
      </c>
      <c r="P2446" t="str">
        <f t="shared" si="194"/>
        <v>Profit</v>
      </c>
      <c r="Q2446" t="str" cm="1">
        <f t="array" ref="Q2446">IF(K2446="",INDEX($K$2:$K$2501,MATCH(MAX(COUNTIF($K$2:$K$2501,$K$2:$K$2501)),COUNTIF($K$2:$K$2501,$K$2:$K$2501),0)),K2446)</f>
        <v>B2B</v>
      </c>
    </row>
    <row r="2447" spans="1:17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 s="3">
        <f t="shared" si="190"/>
        <v>3894.08</v>
      </c>
      <c r="I2447" s="1">
        <v>45514</v>
      </c>
      <c r="J2447" t="s">
        <v>56</v>
      </c>
      <c r="L2447" s="2">
        <f t="shared" si="191"/>
        <v>973.52</v>
      </c>
      <c r="M2447" s="4">
        <f t="shared" si="192"/>
        <v>0.6</v>
      </c>
      <c r="N2447" s="1">
        <f t="shared" si="193"/>
        <v>45514</v>
      </c>
      <c r="O2447" s="3">
        <f>(Table13[[#This Row],[Units_Sold]]*Table13[[#This Row],[Unit_Price_Cleaned]]*(1-Table13[[#This Row],[Discount Cleaned]]))</f>
        <v>1557.6320000000001</v>
      </c>
      <c r="P2447" t="str">
        <f t="shared" si="194"/>
        <v>Profit</v>
      </c>
      <c r="Q2447" t="str" cm="1">
        <f t="array" ref="Q2447">IF(K2447="",INDEX($K$2:$K$2501,MATCH(MAX(COUNTIF($K$2:$K$2501,$K$2:$K$2501)),COUNTIF($K$2:$K$2501,$K$2:$K$2501),0)),K2447)</f>
        <v>B2B</v>
      </c>
    </row>
    <row r="2448" spans="1:17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 s="3">
        <f t="shared" si="190"/>
        <v>14274.72</v>
      </c>
      <c r="I2448" s="1">
        <v>45733</v>
      </c>
      <c r="J2448" t="s">
        <v>22</v>
      </c>
      <c r="L2448" s="2">
        <f t="shared" si="191"/>
        <v>4758.24</v>
      </c>
      <c r="M2448" s="4">
        <f t="shared" si="192"/>
        <v>0.49</v>
      </c>
      <c r="N2448" s="1">
        <f t="shared" si="193"/>
        <v>45733</v>
      </c>
      <c r="O2448" s="3">
        <f>(Table13[[#This Row],[Units_Sold]]*Table13[[#This Row],[Unit_Price_Cleaned]]*(1-Table13[[#This Row],[Discount Cleaned]]))</f>
        <v>7280.1071999999995</v>
      </c>
      <c r="P2448" t="str">
        <f t="shared" si="194"/>
        <v>Profit</v>
      </c>
      <c r="Q2448" t="str" cm="1">
        <f t="array" ref="Q2448">IF(K2448="",INDEX($K$2:$K$2501,MATCH(MAX(COUNTIF($K$2:$K$2501,$K$2:$K$2501)),COUNTIF($K$2:$K$2501,$K$2:$K$2501),0)),K2448)</f>
        <v>B2B</v>
      </c>
    </row>
    <row r="2449" spans="1:17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 s="3">
        <f t="shared" si="190"/>
        <v>19050.48</v>
      </c>
      <c r="I2449" s="1">
        <v>45840</v>
      </c>
      <c r="J2449" t="s">
        <v>56</v>
      </c>
      <c r="K2449" t="s">
        <v>23</v>
      </c>
      <c r="L2449" s="2">
        <f t="shared" si="191"/>
        <v>4762.62</v>
      </c>
      <c r="M2449" s="4">
        <f t="shared" si="192"/>
        <v>0.6</v>
      </c>
      <c r="N2449" s="1">
        <f t="shared" si="193"/>
        <v>45840</v>
      </c>
      <c r="O2449" s="3">
        <f>(Table13[[#This Row],[Units_Sold]]*Table13[[#This Row],[Unit_Price_Cleaned]]*(1-Table13[[#This Row],[Discount Cleaned]]))</f>
        <v>7620.192</v>
      </c>
      <c r="P2449" t="str">
        <f t="shared" si="194"/>
        <v>Profit</v>
      </c>
      <c r="Q2449" t="str" cm="1">
        <f t="array" ref="Q2449">IF(K2449="",INDEX($K$2:$K$2501,MATCH(MAX(COUNTIF($K$2:$K$2501,$K$2:$K$2501)),COUNTIF($K$2:$K$2501,$K$2:$K$2501),0)),K2449)</f>
        <v>B2B</v>
      </c>
    </row>
    <row r="2450" spans="1:17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 s="3">
        <f t="shared" si="190"/>
        <v>7143.8032758620684</v>
      </c>
      <c r="I2450" s="1">
        <v>45649</v>
      </c>
      <c r="J2450" t="s">
        <v>18</v>
      </c>
      <c r="K2450" t="s">
        <v>16</v>
      </c>
      <c r="L2450" s="2">
        <f t="shared" si="191"/>
        <v>2381.2677586206896</v>
      </c>
      <c r="M2450" s="4">
        <f t="shared" si="192"/>
        <v>0.6</v>
      </c>
      <c r="N2450" s="1">
        <f t="shared" si="193"/>
        <v>45649</v>
      </c>
      <c r="O2450" s="3">
        <f>(Table13[[#This Row],[Units_Sold]]*Table13[[#This Row],[Unit_Price_Cleaned]]*(1-Table13[[#This Row],[Discount Cleaned]]))</f>
        <v>2857.5213103448277</v>
      </c>
      <c r="P2450" t="str">
        <f t="shared" si="194"/>
        <v>Profit</v>
      </c>
      <c r="Q2450" t="str" cm="1">
        <f t="array" ref="Q2450">IF(K2450="",INDEX($K$2:$K$2501,MATCH(MAX(COUNTIF($K$2:$K$2501,$K$2:$K$2501)),COUNTIF($K$2:$K$2501,$K$2:$K$2501),0)),K2450)</f>
        <v>B2C</v>
      </c>
    </row>
    <row r="2451" spans="1:17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 s="3">
        <f t="shared" si="190"/>
        <v>3215.16</v>
      </c>
      <c r="I2451" s="1">
        <v>45854</v>
      </c>
      <c r="J2451" t="s">
        <v>46</v>
      </c>
      <c r="K2451" t="s">
        <v>16</v>
      </c>
      <c r="L2451" s="2">
        <f t="shared" si="191"/>
        <v>803.79</v>
      </c>
      <c r="M2451" s="4">
        <f t="shared" si="192"/>
        <v>0.6</v>
      </c>
      <c r="N2451" s="1">
        <f t="shared" si="193"/>
        <v>45854</v>
      </c>
      <c r="O2451" s="3">
        <f>(Table13[[#This Row],[Units_Sold]]*Table13[[#This Row],[Unit_Price_Cleaned]]*(1-Table13[[#This Row],[Discount Cleaned]]))</f>
        <v>1286.0640000000001</v>
      </c>
      <c r="P2451" t="str">
        <f t="shared" si="194"/>
        <v>Profit</v>
      </c>
      <c r="Q2451" t="str" cm="1">
        <f t="array" ref="Q2451">IF(K2451="",INDEX($K$2:$K$2501,MATCH(MAX(COUNTIF($K$2:$K$2501,$K$2:$K$2501)),COUNTIF($K$2:$K$2501,$K$2:$K$2501),0)),K2451)</f>
        <v>B2C</v>
      </c>
    </row>
    <row r="2452" spans="1:17" x14ac:dyDescent="0.3">
      <c r="A2452">
        <v>3450</v>
      </c>
      <c r="B2452" t="s">
        <v>2461</v>
      </c>
      <c r="C2452" t="s">
        <v>33</v>
      </c>
      <c r="D2452" t="s">
        <v>72</v>
      </c>
      <c r="E2452">
        <v>2</v>
      </c>
      <c r="G2452">
        <v>0.89</v>
      </c>
      <c r="H2452" s="3">
        <f t="shared" si="190"/>
        <v>5431.091698113205</v>
      </c>
      <c r="I2452" s="1">
        <v>45133</v>
      </c>
      <c r="J2452" t="s">
        <v>22</v>
      </c>
      <c r="L2452" s="2">
        <f t="shared" si="191"/>
        <v>2715.5458490566025</v>
      </c>
      <c r="M2452" s="4">
        <f t="shared" si="192"/>
        <v>0.89</v>
      </c>
      <c r="N2452" s="1">
        <f t="shared" si="193"/>
        <v>45133</v>
      </c>
      <c r="O2452" s="3">
        <f>(Table13[[#This Row],[Units_Sold]]*Table13[[#This Row],[Unit_Price_Cleaned]]*(1-Table13[[#This Row],[Discount Cleaned]]))</f>
        <v>597.42008679245248</v>
      </c>
      <c r="P2452" t="str">
        <f t="shared" si="194"/>
        <v>Profit</v>
      </c>
      <c r="Q2452" t="str" cm="1">
        <f t="array" ref="Q2452">IF(K2452="",INDEX($K$2:$K$2501,MATCH(MAX(COUNTIF($K$2:$K$2501,$K$2:$K$2501)),COUNTIF($K$2:$K$2501,$K$2:$K$2501),0)),K2452)</f>
        <v>B2B</v>
      </c>
    </row>
    <row r="2453" spans="1:17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 s="3">
        <f t="shared" si="190"/>
        <v>-4678.72</v>
      </c>
      <c r="I2453" s="1">
        <v>45827</v>
      </c>
      <c r="J2453" t="s">
        <v>40</v>
      </c>
      <c r="K2453" t="s">
        <v>23</v>
      </c>
      <c r="L2453" s="2">
        <f t="shared" si="191"/>
        <v>2339.36</v>
      </c>
      <c r="M2453" s="4">
        <f t="shared" si="192"/>
        <v>0.35</v>
      </c>
      <c r="N2453" s="1">
        <f t="shared" si="193"/>
        <v>45827</v>
      </c>
      <c r="O2453" s="3">
        <f>(Table13[[#This Row],[Units_Sold]]*Table13[[#This Row],[Unit_Price_Cleaned]]*(1-Table13[[#This Row],[Discount Cleaned]]))</f>
        <v>-3041.1680000000001</v>
      </c>
      <c r="P2453" t="str">
        <f t="shared" si="194"/>
        <v>Loss</v>
      </c>
      <c r="Q2453" t="str" cm="1">
        <f t="array" ref="Q2453">IF(K2453="",INDEX($K$2:$K$2501,MATCH(MAX(COUNTIF($K$2:$K$2501,$K$2:$K$2501)),COUNTIF($K$2:$K$2501,$K$2:$K$2501),0)),K2453)</f>
        <v>B2B</v>
      </c>
    </row>
    <row r="2454" spans="1:17" x14ac:dyDescent="0.3">
      <c r="A2454">
        <v>3452</v>
      </c>
      <c r="B2454" t="s">
        <v>2463</v>
      </c>
      <c r="C2454" t="s">
        <v>25</v>
      </c>
      <c r="D2454" t="s">
        <v>86</v>
      </c>
      <c r="E2454">
        <v>2</v>
      </c>
      <c r="F2454">
        <v>2562.4699999999998</v>
      </c>
      <c r="H2454" s="3">
        <f t="shared" si="190"/>
        <v>5124.9399999999996</v>
      </c>
      <c r="I2454" s="1">
        <v>45585</v>
      </c>
      <c r="J2454" t="s">
        <v>56</v>
      </c>
      <c r="K2454" t="s">
        <v>23</v>
      </c>
      <c r="L2454" s="2">
        <f t="shared" si="191"/>
        <v>2562.4699999999998</v>
      </c>
      <c r="M2454" s="4">
        <f t="shared" si="192"/>
        <v>0.6</v>
      </c>
      <c r="N2454" s="1">
        <f t="shared" si="193"/>
        <v>45585</v>
      </c>
      <c r="O2454" s="3">
        <f>(Table13[[#This Row],[Units_Sold]]*Table13[[#This Row],[Unit_Price_Cleaned]]*(1-Table13[[#This Row],[Discount Cleaned]]))</f>
        <v>2049.9760000000001</v>
      </c>
      <c r="P2454" t="str">
        <f t="shared" si="194"/>
        <v>Profit</v>
      </c>
      <c r="Q2454" t="str" cm="1">
        <f t="array" ref="Q2454">IF(K2454="",INDEX($K$2:$K$2501,MATCH(MAX(COUNTIF($K$2:$K$2501,$K$2:$K$2501)),COUNTIF($K$2:$K$2501,$K$2:$K$2501),0)),K2454)</f>
        <v>B2B</v>
      </c>
    </row>
    <row r="2455" spans="1:17" x14ac:dyDescent="0.3">
      <c r="A2455">
        <v>3453</v>
      </c>
      <c r="B2455" t="s">
        <v>2464</v>
      </c>
      <c r="C2455" t="s">
        <v>29</v>
      </c>
      <c r="D2455" t="s">
        <v>120</v>
      </c>
      <c r="E2455">
        <v>2</v>
      </c>
      <c r="F2455">
        <v>4213.8500000000004</v>
      </c>
      <c r="H2455" s="3">
        <f t="shared" si="190"/>
        <v>8427.7000000000007</v>
      </c>
      <c r="I2455" s="1">
        <v>45795</v>
      </c>
      <c r="J2455" t="s">
        <v>15</v>
      </c>
      <c r="L2455" s="2">
        <f t="shared" si="191"/>
        <v>4213.8500000000004</v>
      </c>
      <c r="M2455" s="4">
        <f t="shared" si="192"/>
        <v>0.6</v>
      </c>
      <c r="N2455" s="1">
        <f t="shared" si="193"/>
        <v>45795</v>
      </c>
      <c r="O2455" s="3">
        <f>(Table13[[#This Row],[Units_Sold]]*Table13[[#This Row],[Unit_Price_Cleaned]]*(1-Table13[[#This Row],[Discount Cleaned]]))</f>
        <v>3371.0800000000004</v>
      </c>
      <c r="P2455" t="str">
        <f t="shared" si="194"/>
        <v>Profit</v>
      </c>
      <c r="Q2455" t="str" cm="1">
        <f t="array" ref="Q2455">IF(K2455="",INDEX($K$2:$K$2501,MATCH(MAX(COUNTIF($K$2:$K$2501,$K$2:$K$2501)),COUNTIF($K$2:$K$2501,$K$2:$K$2501),0)),K2455)</f>
        <v>B2B</v>
      </c>
    </row>
    <row r="2456" spans="1:17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 s="3">
        <f t="shared" si="190"/>
        <v>11925.72</v>
      </c>
      <c r="I2456" s="1">
        <v>45535</v>
      </c>
      <c r="J2456" t="s">
        <v>56</v>
      </c>
      <c r="K2456" t="s">
        <v>23</v>
      </c>
      <c r="L2456" s="2">
        <f t="shared" si="191"/>
        <v>1987.62</v>
      </c>
      <c r="M2456" s="4">
        <f t="shared" si="192"/>
        <v>0.6</v>
      </c>
      <c r="N2456" s="1">
        <f t="shared" si="193"/>
        <v>45535</v>
      </c>
      <c r="O2456" s="3">
        <f>(Table13[[#This Row],[Units_Sold]]*Table13[[#This Row],[Unit_Price_Cleaned]]*(1-Table13[[#This Row],[Discount Cleaned]]))</f>
        <v>4770.2879999999996</v>
      </c>
      <c r="P2456" t="str">
        <f t="shared" si="194"/>
        <v>Profit</v>
      </c>
      <c r="Q2456" t="str" cm="1">
        <f t="array" ref="Q2456">IF(K2456="",INDEX($K$2:$K$2501,MATCH(MAX(COUNTIF($K$2:$K$2501,$K$2:$K$2501)),COUNTIF($K$2:$K$2501,$K$2:$K$2501),0)),K2456)</f>
        <v>B2B</v>
      </c>
    </row>
    <row r="2457" spans="1:17" x14ac:dyDescent="0.3">
      <c r="A2457">
        <v>3455</v>
      </c>
      <c r="B2457" t="s">
        <v>2466</v>
      </c>
      <c r="C2457" t="s">
        <v>38</v>
      </c>
      <c r="D2457" t="s">
        <v>39</v>
      </c>
      <c r="E2457">
        <v>2</v>
      </c>
      <c r="H2457" s="3">
        <f t="shared" si="190"/>
        <v>6016.7688888888888</v>
      </c>
      <c r="J2457" t="s">
        <v>40</v>
      </c>
      <c r="L2457" s="2">
        <f t="shared" si="191"/>
        <v>3008.3844444444444</v>
      </c>
      <c r="M2457" s="4">
        <f t="shared" si="192"/>
        <v>0.6</v>
      </c>
      <c r="N2457" s="1">
        <f t="shared" si="193"/>
        <v>45782</v>
      </c>
      <c r="O2457" s="3">
        <f>(Table13[[#This Row],[Units_Sold]]*Table13[[#This Row],[Unit_Price_Cleaned]]*(1-Table13[[#This Row],[Discount Cleaned]]))</f>
        <v>2406.7075555555557</v>
      </c>
      <c r="P2457" t="str">
        <f t="shared" si="194"/>
        <v>Profit</v>
      </c>
      <c r="Q2457" t="str" cm="1">
        <f t="array" ref="Q2457">IF(K2457="",INDEX($K$2:$K$2501,MATCH(MAX(COUNTIF($K$2:$K$2501,$K$2:$K$2501)),COUNTIF($K$2:$K$2501,$K$2:$K$2501),0)),K2457)</f>
        <v>B2B</v>
      </c>
    </row>
    <row r="2458" spans="1:17" x14ac:dyDescent="0.3">
      <c r="A2458">
        <v>3456</v>
      </c>
      <c r="B2458" t="s">
        <v>2467</v>
      </c>
      <c r="C2458" t="s">
        <v>33</v>
      </c>
      <c r="D2458" t="s">
        <v>44</v>
      </c>
      <c r="E2458">
        <v>2</v>
      </c>
      <c r="H2458" s="3">
        <f t="shared" si="190"/>
        <v>5683.5261224489814</v>
      </c>
      <c r="J2458" t="s">
        <v>15</v>
      </c>
      <c r="L2458" s="2">
        <f t="shared" si="191"/>
        <v>2841.7630612244907</v>
      </c>
      <c r="M2458" s="4">
        <f t="shared" si="192"/>
        <v>0.6</v>
      </c>
      <c r="N2458" s="1">
        <f t="shared" si="193"/>
        <v>45782</v>
      </c>
      <c r="O2458" s="3">
        <f>(Table13[[#This Row],[Units_Sold]]*Table13[[#This Row],[Unit_Price_Cleaned]]*(1-Table13[[#This Row],[Discount Cleaned]]))</f>
        <v>2273.4104489795927</v>
      </c>
      <c r="P2458" t="str">
        <f t="shared" si="194"/>
        <v>Profit</v>
      </c>
      <c r="Q2458" t="str" cm="1">
        <f t="array" ref="Q2458">IF(K2458="",INDEX($K$2:$K$2501,MATCH(MAX(COUNTIF($K$2:$K$2501,$K$2:$K$2501)),COUNTIF($K$2:$K$2501,$K$2:$K$2501),0)),K2458)</f>
        <v>B2B</v>
      </c>
    </row>
    <row r="2459" spans="1:17" x14ac:dyDescent="0.3">
      <c r="A2459">
        <v>3457</v>
      </c>
      <c r="B2459" t="s">
        <v>2468</v>
      </c>
      <c r="C2459" t="s">
        <v>29</v>
      </c>
      <c r="D2459" t="s">
        <v>141</v>
      </c>
      <c r="E2459">
        <v>2</v>
      </c>
      <c r="F2459">
        <v>983.84</v>
      </c>
      <c r="G2459">
        <v>0.9</v>
      </c>
      <c r="H2459" s="3">
        <f t="shared" si="190"/>
        <v>1967.68</v>
      </c>
      <c r="I2459" s="1">
        <v>45727</v>
      </c>
      <c r="J2459" t="s">
        <v>15</v>
      </c>
      <c r="L2459" s="2">
        <f t="shared" si="191"/>
        <v>983.84</v>
      </c>
      <c r="M2459" s="4">
        <f t="shared" si="192"/>
        <v>0.9</v>
      </c>
      <c r="N2459" s="1">
        <f t="shared" si="193"/>
        <v>45727</v>
      </c>
      <c r="O2459" s="3">
        <f>(Table13[[#This Row],[Units_Sold]]*Table13[[#This Row],[Unit_Price_Cleaned]]*(1-Table13[[#This Row],[Discount Cleaned]]))</f>
        <v>196.76799999999997</v>
      </c>
      <c r="P2459" t="str">
        <f t="shared" si="194"/>
        <v>Loss</v>
      </c>
      <c r="Q2459" t="str" cm="1">
        <f t="array" ref="Q2459">IF(K2459="",INDEX($K$2:$K$2501,MATCH(MAX(COUNTIF($K$2:$K$2501,$K$2:$K$2501)),COUNTIF($K$2:$K$2501,$K$2:$K$2501),0)),K2459)</f>
        <v>B2B</v>
      </c>
    </row>
    <row r="2460" spans="1:17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 s="3">
        <f t="shared" si="190"/>
        <v>15436.658400000004</v>
      </c>
      <c r="I2460" s="1">
        <v>45589</v>
      </c>
      <c r="J2460" t="s">
        <v>56</v>
      </c>
      <c r="L2460" s="2">
        <f t="shared" si="191"/>
        <v>2572.7764000000006</v>
      </c>
      <c r="M2460" s="4">
        <f t="shared" si="192"/>
        <v>0.56000000000000005</v>
      </c>
      <c r="N2460" s="1">
        <f t="shared" si="193"/>
        <v>45589</v>
      </c>
      <c r="O2460" s="3">
        <f>(Table13[[#This Row],[Units_Sold]]*Table13[[#This Row],[Unit_Price_Cleaned]]*(1-Table13[[#This Row],[Discount Cleaned]]))</f>
        <v>6792.1296960000009</v>
      </c>
      <c r="P2460" t="str">
        <f t="shared" si="194"/>
        <v>Profit</v>
      </c>
      <c r="Q2460" t="str" cm="1">
        <f t="array" ref="Q2460">IF(K2460="",INDEX($K$2:$K$2501,MATCH(MAX(COUNTIF($K$2:$K$2501,$K$2:$K$2501)),COUNTIF($K$2:$K$2501,$K$2:$K$2501),0)),K2460)</f>
        <v>B2B</v>
      </c>
    </row>
    <row r="2461" spans="1:17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 s="3">
        <f t="shared" si="190"/>
        <v>5683.5261224489814</v>
      </c>
      <c r="J2461" t="s">
        <v>46</v>
      </c>
      <c r="K2461" t="s">
        <v>23</v>
      </c>
      <c r="L2461" s="2">
        <f t="shared" si="191"/>
        <v>2841.7630612244907</v>
      </c>
      <c r="M2461" s="4">
        <f t="shared" si="192"/>
        <v>0.6</v>
      </c>
      <c r="N2461" s="1">
        <f t="shared" si="193"/>
        <v>45782</v>
      </c>
      <c r="O2461" s="3">
        <f>(Table13[[#This Row],[Units_Sold]]*Table13[[#This Row],[Unit_Price_Cleaned]]*(1-Table13[[#This Row],[Discount Cleaned]]))</f>
        <v>2273.4104489795927</v>
      </c>
      <c r="P2461" t="str">
        <f t="shared" si="194"/>
        <v>Profit</v>
      </c>
      <c r="Q2461" t="str" cm="1">
        <f t="array" ref="Q2461">IF(K2461="",INDEX($K$2:$K$2501,MATCH(MAX(COUNTIF($K$2:$K$2501,$K$2:$K$2501)),COUNTIF($K$2:$K$2501,$K$2:$K$2501),0)),K2461)</f>
        <v>B2B</v>
      </c>
    </row>
    <row r="2462" spans="1:17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 s="3">
        <f t="shared" si="190"/>
        <v>8647.5139655172406</v>
      </c>
      <c r="J2462" t="s">
        <v>40</v>
      </c>
      <c r="L2462" s="2">
        <f t="shared" si="191"/>
        <v>2882.5046551724135</v>
      </c>
      <c r="M2462" s="4">
        <f t="shared" si="192"/>
        <v>0.6</v>
      </c>
      <c r="N2462" s="1">
        <f t="shared" si="193"/>
        <v>45782</v>
      </c>
      <c r="O2462" s="3">
        <f>(Table13[[#This Row],[Units_Sold]]*Table13[[#This Row],[Unit_Price_Cleaned]]*(1-Table13[[#This Row],[Discount Cleaned]]))</f>
        <v>3459.0055862068966</v>
      </c>
      <c r="P2462" t="str">
        <f t="shared" si="194"/>
        <v>Profit</v>
      </c>
      <c r="Q2462" t="str" cm="1">
        <f t="array" ref="Q2462">IF(K2462="",INDEX($K$2:$K$2501,MATCH(MAX(COUNTIF($K$2:$K$2501,$K$2:$K$2501)),COUNTIF($K$2:$K$2501,$K$2:$K$2501),0)),K2462)</f>
        <v>B2B</v>
      </c>
    </row>
    <row r="2463" spans="1:17" x14ac:dyDescent="0.3">
      <c r="A2463">
        <v>3461</v>
      </c>
      <c r="B2463" t="s">
        <v>2472</v>
      </c>
      <c r="C2463" t="s">
        <v>38</v>
      </c>
      <c r="D2463" t="s">
        <v>59</v>
      </c>
      <c r="E2463">
        <v>2</v>
      </c>
      <c r="H2463" s="3">
        <f t="shared" si="190"/>
        <v>5608.5303846153838</v>
      </c>
      <c r="I2463" s="1">
        <v>45758</v>
      </c>
      <c r="J2463" t="s">
        <v>18</v>
      </c>
      <c r="K2463" t="s">
        <v>23</v>
      </c>
      <c r="L2463" s="2">
        <f t="shared" si="191"/>
        <v>2804.2651923076919</v>
      </c>
      <c r="M2463" s="4">
        <f t="shared" si="192"/>
        <v>0.6</v>
      </c>
      <c r="N2463" s="1">
        <f t="shared" si="193"/>
        <v>45758</v>
      </c>
      <c r="O2463" s="3">
        <f>(Table13[[#This Row],[Units_Sold]]*Table13[[#This Row],[Unit_Price_Cleaned]]*(1-Table13[[#This Row],[Discount Cleaned]]))</f>
        <v>2243.4121538461536</v>
      </c>
      <c r="P2463" t="str">
        <f t="shared" si="194"/>
        <v>Profit</v>
      </c>
      <c r="Q2463" t="str" cm="1">
        <f t="array" ref="Q2463">IF(K2463="",INDEX($K$2:$K$2501,MATCH(MAX(COUNTIF($K$2:$K$2501,$K$2:$K$2501)),COUNTIF($K$2:$K$2501,$K$2:$K$2501),0)),K2463)</f>
        <v>B2B</v>
      </c>
    </row>
    <row r="2464" spans="1:17" x14ac:dyDescent="0.3">
      <c r="A2464">
        <v>3462</v>
      </c>
      <c r="B2464" t="s">
        <v>2473</v>
      </c>
      <c r="C2464" t="s">
        <v>29</v>
      </c>
      <c r="D2464" t="s">
        <v>42</v>
      </c>
      <c r="E2464">
        <v>2</v>
      </c>
      <c r="F2464">
        <v>3607.23</v>
      </c>
      <c r="H2464" s="3">
        <f t="shared" si="190"/>
        <v>7214.46</v>
      </c>
      <c r="I2464" s="1">
        <v>45150</v>
      </c>
      <c r="J2464" t="s">
        <v>56</v>
      </c>
      <c r="K2464" t="s">
        <v>16</v>
      </c>
      <c r="L2464" s="2">
        <f t="shared" si="191"/>
        <v>3607.23</v>
      </c>
      <c r="M2464" s="4">
        <f t="shared" si="192"/>
        <v>0.6</v>
      </c>
      <c r="N2464" s="1">
        <f t="shared" si="193"/>
        <v>45150</v>
      </c>
      <c r="O2464" s="3">
        <f>(Table13[[#This Row],[Units_Sold]]*Table13[[#This Row],[Unit_Price_Cleaned]]*(1-Table13[[#This Row],[Discount Cleaned]]))</f>
        <v>2885.7840000000001</v>
      </c>
      <c r="P2464" t="str">
        <f t="shared" si="194"/>
        <v>Profit</v>
      </c>
      <c r="Q2464" t="str" cm="1">
        <f t="array" ref="Q2464">IF(K2464="",INDEX($K$2:$K$2501,MATCH(MAX(COUNTIF($K$2:$K$2501,$K$2:$K$2501)),COUNTIF($K$2:$K$2501,$K$2:$K$2501),0)),K2464)</f>
        <v>B2C</v>
      </c>
    </row>
    <row r="2465" spans="1:17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 s="3">
        <f t="shared" si="190"/>
        <v>6838.62</v>
      </c>
      <c r="J2465" t="s">
        <v>46</v>
      </c>
      <c r="L2465" s="2">
        <f t="shared" si="191"/>
        <v>1139.77</v>
      </c>
      <c r="M2465" s="4">
        <f t="shared" si="192"/>
        <v>0.6</v>
      </c>
      <c r="N2465" s="1">
        <f t="shared" si="193"/>
        <v>45782</v>
      </c>
      <c r="O2465" s="3">
        <f>(Table13[[#This Row],[Units_Sold]]*Table13[[#This Row],[Unit_Price_Cleaned]]*(1-Table13[[#This Row],[Discount Cleaned]]))</f>
        <v>2735.4480000000003</v>
      </c>
      <c r="P2465" t="str">
        <f t="shared" si="194"/>
        <v>Profit</v>
      </c>
      <c r="Q2465" t="str" cm="1">
        <f t="array" ref="Q2465">IF(K2465="",INDEX($K$2:$K$2501,MATCH(MAX(COUNTIF($K$2:$K$2501,$K$2:$K$2501)),COUNTIF($K$2:$K$2501,$K$2:$K$2501),0)),K2465)</f>
        <v>B2B</v>
      </c>
    </row>
    <row r="2466" spans="1:17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 s="3">
        <f t="shared" si="190"/>
        <v>12881.528448275858</v>
      </c>
      <c r="J2466" t="s">
        <v>15</v>
      </c>
      <c r="L2466" s="2">
        <f t="shared" si="191"/>
        <v>2576.3056896551716</v>
      </c>
      <c r="M2466" s="4">
        <f t="shared" si="192"/>
        <v>0.6</v>
      </c>
      <c r="N2466" s="1">
        <f t="shared" si="193"/>
        <v>45782</v>
      </c>
      <c r="O2466" s="3">
        <f>(Table13[[#This Row],[Units_Sold]]*Table13[[#This Row],[Unit_Price_Cleaned]]*(1-Table13[[#This Row],[Discount Cleaned]]))</f>
        <v>5152.6113793103432</v>
      </c>
      <c r="P2466" t="str">
        <f t="shared" si="194"/>
        <v>Profit</v>
      </c>
      <c r="Q2466" t="str" cm="1">
        <f t="array" ref="Q2466">IF(K2466="",INDEX($K$2:$K$2501,MATCH(MAX(COUNTIF($K$2:$K$2501,$K$2:$K$2501)),COUNTIF($K$2:$K$2501,$K$2:$K$2501),0)),K2466)</f>
        <v>B2B</v>
      </c>
    </row>
    <row r="2467" spans="1:17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 s="3">
        <f t="shared" si="190"/>
        <v>-2882.5046551724135</v>
      </c>
      <c r="I2467" s="1">
        <v>45542</v>
      </c>
      <c r="J2467" t="s">
        <v>56</v>
      </c>
      <c r="K2467" t="s">
        <v>23</v>
      </c>
      <c r="L2467" s="2">
        <f t="shared" si="191"/>
        <v>2882.5046551724135</v>
      </c>
      <c r="M2467" s="4">
        <f t="shared" si="192"/>
        <v>0.7</v>
      </c>
      <c r="N2467" s="1">
        <f t="shared" si="193"/>
        <v>45542</v>
      </c>
      <c r="O2467" s="3">
        <f>(Table13[[#This Row],[Units_Sold]]*Table13[[#This Row],[Unit_Price_Cleaned]]*(1-Table13[[#This Row],[Discount Cleaned]]))</f>
        <v>-864.75139655172416</v>
      </c>
      <c r="P2467" t="str">
        <f t="shared" si="194"/>
        <v>Loss</v>
      </c>
      <c r="Q2467" t="str" cm="1">
        <f t="array" ref="Q2467">IF(K2467="",INDEX($K$2:$K$2501,MATCH(MAX(COUNTIF($K$2:$K$2501,$K$2:$K$2501)),COUNTIF($K$2:$K$2501,$K$2:$K$2501),0)),K2467)</f>
        <v>B2B</v>
      </c>
    </row>
    <row r="2468" spans="1:17" x14ac:dyDescent="0.3">
      <c r="A2468">
        <v>3466</v>
      </c>
      <c r="B2468" t="s">
        <v>2477</v>
      </c>
      <c r="C2468" t="s">
        <v>13</v>
      </c>
      <c r="D2468" t="s">
        <v>102</v>
      </c>
      <c r="E2468">
        <v>2</v>
      </c>
      <c r="F2468">
        <v>4059.53</v>
      </c>
      <c r="H2468" s="3">
        <f t="shared" si="190"/>
        <v>8119.06</v>
      </c>
      <c r="I2468" s="1">
        <v>45178</v>
      </c>
      <c r="J2468" t="s">
        <v>18</v>
      </c>
      <c r="K2468" t="s">
        <v>23</v>
      </c>
      <c r="L2468" s="2">
        <f t="shared" si="191"/>
        <v>4059.53</v>
      </c>
      <c r="M2468" s="4">
        <f t="shared" si="192"/>
        <v>0.6</v>
      </c>
      <c r="N2468" s="1">
        <f t="shared" si="193"/>
        <v>45178</v>
      </c>
      <c r="O2468" s="3">
        <f>(Table13[[#This Row],[Units_Sold]]*Table13[[#This Row],[Unit_Price_Cleaned]]*(1-Table13[[#This Row],[Discount Cleaned]]))</f>
        <v>3247.6240000000003</v>
      </c>
      <c r="P2468" t="str">
        <f t="shared" si="194"/>
        <v>Profit</v>
      </c>
      <c r="Q2468" t="str" cm="1">
        <f t="array" ref="Q2468">IF(K2468="",INDEX($K$2:$K$2501,MATCH(MAX(COUNTIF($K$2:$K$2501,$K$2:$K$2501)),COUNTIF($K$2:$K$2501,$K$2:$K$2501),0)),K2468)</f>
        <v>B2B</v>
      </c>
    </row>
    <row r="2469" spans="1:17" x14ac:dyDescent="0.3">
      <c r="A2469">
        <v>3467</v>
      </c>
      <c r="B2469" t="s">
        <v>2478</v>
      </c>
      <c r="C2469" t="s">
        <v>33</v>
      </c>
      <c r="D2469" t="s">
        <v>82</v>
      </c>
      <c r="E2469">
        <v>2</v>
      </c>
      <c r="H2469" s="3">
        <f t="shared" si="190"/>
        <v>5552.4404000000004</v>
      </c>
      <c r="I2469" s="1">
        <v>45753</v>
      </c>
      <c r="J2469" t="s">
        <v>40</v>
      </c>
      <c r="K2469" t="s">
        <v>23</v>
      </c>
      <c r="L2469" s="2">
        <f t="shared" si="191"/>
        <v>2776.2202000000002</v>
      </c>
      <c r="M2469" s="4">
        <f t="shared" si="192"/>
        <v>0.6</v>
      </c>
      <c r="N2469" s="1">
        <f t="shared" si="193"/>
        <v>45753</v>
      </c>
      <c r="O2469" s="3">
        <f>(Table13[[#This Row],[Units_Sold]]*Table13[[#This Row],[Unit_Price_Cleaned]]*(1-Table13[[#This Row],[Discount Cleaned]]))</f>
        <v>2220.9761600000002</v>
      </c>
      <c r="P2469" t="str">
        <f t="shared" si="194"/>
        <v>Profit</v>
      </c>
      <c r="Q2469" t="str" cm="1">
        <f t="array" ref="Q2469">IF(K2469="",INDEX($K$2:$K$2501,MATCH(MAX(COUNTIF($K$2:$K$2501,$K$2:$K$2501)),COUNTIF($K$2:$K$2501,$K$2:$K$2501),0)),K2469)</f>
        <v>B2B</v>
      </c>
    </row>
    <row r="2470" spans="1:17" x14ac:dyDescent="0.3">
      <c r="A2470">
        <v>3468</v>
      </c>
      <c r="B2470" t="s">
        <v>2479</v>
      </c>
      <c r="C2470" t="s">
        <v>38</v>
      </c>
      <c r="D2470" t="s">
        <v>59</v>
      </c>
      <c r="E2470">
        <v>2</v>
      </c>
      <c r="H2470" s="3">
        <f t="shared" si="190"/>
        <v>5608.5303846153838</v>
      </c>
      <c r="J2470" t="s">
        <v>15</v>
      </c>
      <c r="L2470" s="2">
        <f t="shared" si="191"/>
        <v>2804.2651923076919</v>
      </c>
      <c r="M2470" s="4">
        <f t="shared" si="192"/>
        <v>0.6</v>
      </c>
      <c r="N2470" s="1">
        <f t="shared" si="193"/>
        <v>45782</v>
      </c>
      <c r="O2470" s="3">
        <f>(Table13[[#This Row],[Units_Sold]]*Table13[[#This Row],[Unit_Price_Cleaned]]*(1-Table13[[#This Row],[Discount Cleaned]]))</f>
        <v>2243.4121538461536</v>
      </c>
      <c r="P2470" t="str">
        <f t="shared" si="194"/>
        <v>Profit</v>
      </c>
      <c r="Q2470" t="str" cm="1">
        <f t="array" ref="Q2470">IF(K2470="",INDEX($K$2:$K$2501,MATCH(MAX(COUNTIF($K$2:$K$2501,$K$2:$K$2501)),COUNTIF($K$2:$K$2501,$K$2:$K$2501),0)),K2470)</f>
        <v>B2B</v>
      </c>
    </row>
    <row r="2471" spans="1:17" x14ac:dyDescent="0.3">
      <c r="A2471">
        <v>3469</v>
      </c>
      <c r="B2471" t="s">
        <v>2480</v>
      </c>
      <c r="C2471" t="s">
        <v>33</v>
      </c>
      <c r="D2471" t="s">
        <v>72</v>
      </c>
      <c r="E2471">
        <v>2</v>
      </c>
      <c r="F2471">
        <v>2932.58</v>
      </c>
      <c r="G2471">
        <v>1.26</v>
      </c>
      <c r="H2471" s="3">
        <f t="shared" si="190"/>
        <v>5865.16</v>
      </c>
      <c r="I2471" s="1">
        <v>45629</v>
      </c>
      <c r="J2471" t="s">
        <v>40</v>
      </c>
      <c r="K2471" t="s">
        <v>23</v>
      </c>
      <c r="L2471" s="2">
        <f t="shared" si="191"/>
        <v>2932.58</v>
      </c>
      <c r="M2471" s="4">
        <f t="shared" si="192"/>
        <v>1.26</v>
      </c>
      <c r="N2471" s="1">
        <f t="shared" si="193"/>
        <v>45629</v>
      </c>
      <c r="O2471" s="3">
        <f>(Table13[[#This Row],[Units_Sold]]*Table13[[#This Row],[Unit_Price_Cleaned]]*(1-Table13[[#This Row],[Discount Cleaned]]))</f>
        <v>-1524.9416000000001</v>
      </c>
      <c r="P2471" t="str">
        <f t="shared" si="194"/>
        <v>Loss</v>
      </c>
      <c r="Q2471" t="str" cm="1">
        <f t="array" ref="Q2471">IF(K2471="",INDEX($K$2:$K$2501,MATCH(MAX(COUNTIF($K$2:$K$2501,$K$2:$K$2501)),COUNTIF($K$2:$K$2501,$K$2:$K$2501),0)),K2471)</f>
        <v>B2B</v>
      </c>
    </row>
    <row r="2472" spans="1:17" x14ac:dyDescent="0.3">
      <c r="A2472">
        <v>3470</v>
      </c>
      <c r="B2472" t="s">
        <v>2481</v>
      </c>
      <c r="C2472" t="s">
        <v>29</v>
      </c>
      <c r="D2472" t="s">
        <v>30</v>
      </c>
      <c r="E2472">
        <v>2</v>
      </c>
      <c r="H2472" s="3">
        <f t="shared" si="190"/>
        <v>5235.2780769230776</v>
      </c>
      <c r="I2472" s="1">
        <v>45857</v>
      </c>
      <c r="J2472" t="s">
        <v>15</v>
      </c>
      <c r="K2472" t="s">
        <v>16</v>
      </c>
      <c r="L2472" s="2">
        <f t="shared" si="191"/>
        <v>2617.6390384615388</v>
      </c>
      <c r="M2472" s="4">
        <f t="shared" si="192"/>
        <v>0.6</v>
      </c>
      <c r="N2472" s="1">
        <f t="shared" si="193"/>
        <v>45857</v>
      </c>
      <c r="O2472" s="3">
        <f>(Table13[[#This Row],[Units_Sold]]*Table13[[#This Row],[Unit_Price_Cleaned]]*(1-Table13[[#This Row],[Discount Cleaned]]))</f>
        <v>2094.111230769231</v>
      </c>
      <c r="P2472" t="str">
        <f t="shared" si="194"/>
        <v>Profit</v>
      </c>
      <c r="Q2472" t="str" cm="1">
        <f t="array" ref="Q2472">IF(K2472="",INDEX($K$2:$K$2501,MATCH(MAX(COUNTIF($K$2:$K$2501,$K$2:$K$2501)),COUNTIF($K$2:$K$2501,$K$2:$K$2501),0)),K2472)</f>
        <v>B2C</v>
      </c>
    </row>
    <row r="2473" spans="1:17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 s="3">
        <f t="shared" si="190"/>
        <v>16355.134285714288</v>
      </c>
      <c r="I2473" s="1">
        <v>45714</v>
      </c>
      <c r="J2473" t="s">
        <v>22</v>
      </c>
      <c r="K2473" t="s">
        <v>23</v>
      </c>
      <c r="L2473" s="2">
        <f t="shared" si="191"/>
        <v>2725.8557142857148</v>
      </c>
      <c r="M2473" s="4">
        <f t="shared" si="192"/>
        <v>0.6</v>
      </c>
      <c r="N2473" s="1">
        <f t="shared" si="193"/>
        <v>45714</v>
      </c>
      <c r="O2473" s="3">
        <f>(Table13[[#This Row],[Units_Sold]]*Table13[[#This Row],[Unit_Price_Cleaned]]*(1-Table13[[#This Row],[Discount Cleaned]]))</f>
        <v>6542.0537142857156</v>
      </c>
      <c r="P2473" t="str">
        <f t="shared" si="194"/>
        <v>Profit</v>
      </c>
      <c r="Q2473" t="str" cm="1">
        <f t="array" ref="Q2473">IF(K2473="",INDEX($K$2:$K$2501,MATCH(MAX(COUNTIF($K$2:$K$2501,$K$2:$K$2501)),COUNTIF($K$2:$K$2501,$K$2:$K$2501),0)),K2473)</f>
        <v>B2B</v>
      </c>
    </row>
    <row r="2474" spans="1:17" x14ac:dyDescent="0.3">
      <c r="A2474">
        <v>3472</v>
      </c>
      <c r="B2474" t="s">
        <v>2483</v>
      </c>
      <c r="C2474" t="s">
        <v>38</v>
      </c>
      <c r="D2474" t="s">
        <v>39</v>
      </c>
      <c r="E2474">
        <v>2</v>
      </c>
      <c r="G2474">
        <v>0.5</v>
      </c>
      <c r="H2474" s="3">
        <f t="shared" si="190"/>
        <v>6016.7688888888888</v>
      </c>
      <c r="J2474" t="s">
        <v>22</v>
      </c>
      <c r="L2474" s="2">
        <f t="shared" si="191"/>
        <v>3008.3844444444444</v>
      </c>
      <c r="M2474" s="4">
        <f t="shared" si="192"/>
        <v>0.5</v>
      </c>
      <c r="N2474" s="1">
        <f t="shared" si="193"/>
        <v>45782</v>
      </c>
      <c r="O2474" s="3">
        <f>(Table13[[#This Row],[Units_Sold]]*Table13[[#This Row],[Unit_Price_Cleaned]]*(1-Table13[[#This Row],[Discount Cleaned]]))</f>
        <v>3008.3844444444444</v>
      </c>
      <c r="P2474" t="str">
        <f t="shared" si="194"/>
        <v>Profit</v>
      </c>
      <c r="Q2474" t="str" cm="1">
        <f t="array" ref="Q2474">IF(K2474="",INDEX($K$2:$K$2501,MATCH(MAX(COUNTIF($K$2:$K$2501,$K$2:$K$2501)),COUNTIF($K$2:$K$2501,$K$2:$K$2501),0)),K2474)</f>
        <v>B2B</v>
      </c>
    </row>
    <row r="2475" spans="1:17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 s="3">
        <f t="shared" si="190"/>
        <v>2617.6390384615388</v>
      </c>
      <c r="I2475" s="1">
        <v>45559</v>
      </c>
      <c r="J2475" t="s">
        <v>22</v>
      </c>
      <c r="K2475" t="s">
        <v>23</v>
      </c>
      <c r="L2475" s="2">
        <f t="shared" si="191"/>
        <v>2617.6390384615388</v>
      </c>
      <c r="M2475" s="4">
        <f t="shared" si="192"/>
        <v>0.15</v>
      </c>
      <c r="N2475" s="1">
        <f t="shared" si="193"/>
        <v>45559</v>
      </c>
      <c r="O2475" s="3">
        <f>(Table13[[#This Row],[Units_Sold]]*Table13[[#This Row],[Unit_Price_Cleaned]]*(1-Table13[[#This Row],[Discount Cleaned]]))</f>
        <v>2224.993182692308</v>
      </c>
      <c r="P2475" t="str">
        <f t="shared" si="194"/>
        <v>Profit</v>
      </c>
      <c r="Q2475" t="str" cm="1">
        <f t="array" ref="Q2475">IF(K2475="",INDEX($K$2:$K$2501,MATCH(MAX(COUNTIF($K$2:$K$2501,$K$2:$K$2501)),COUNTIF($K$2:$K$2501,$K$2:$K$2501),0)),K2475)</f>
        <v>B2B</v>
      </c>
    </row>
    <row r="2476" spans="1:17" x14ac:dyDescent="0.3">
      <c r="A2476">
        <v>3474</v>
      </c>
      <c r="B2476" t="s">
        <v>2485</v>
      </c>
      <c r="C2476" t="s">
        <v>25</v>
      </c>
      <c r="D2476" t="s">
        <v>66</v>
      </c>
      <c r="E2476">
        <v>2</v>
      </c>
      <c r="F2476">
        <v>3494.86</v>
      </c>
      <c r="H2476" s="3">
        <f t="shared" si="190"/>
        <v>6989.72</v>
      </c>
      <c r="J2476" t="s">
        <v>22</v>
      </c>
      <c r="L2476" s="2">
        <f t="shared" si="191"/>
        <v>3494.86</v>
      </c>
      <c r="M2476" s="4">
        <f t="shared" si="192"/>
        <v>0.6</v>
      </c>
      <c r="N2476" s="1">
        <f t="shared" si="193"/>
        <v>45782</v>
      </c>
      <c r="O2476" s="3">
        <f>(Table13[[#This Row],[Units_Sold]]*Table13[[#This Row],[Unit_Price_Cleaned]]*(1-Table13[[#This Row],[Discount Cleaned]]))</f>
        <v>2795.8880000000004</v>
      </c>
      <c r="P2476" t="str">
        <f t="shared" si="194"/>
        <v>Profit</v>
      </c>
      <c r="Q2476" t="str" cm="1">
        <f t="array" ref="Q2476">IF(K2476="",INDEX($K$2:$K$2501,MATCH(MAX(COUNTIF($K$2:$K$2501,$K$2:$K$2501)),COUNTIF($K$2:$K$2501,$K$2:$K$2501),0)),K2476)</f>
        <v>B2B</v>
      </c>
    </row>
    <row r="2477" spans="1:17" x14ac:dyDescent="0.3">
      <c r="A2477">
        <v>3475</v>
      </c>
      <c r="B2477" t="s">
        <v>2486</v>
      </c>
      <c r="C2477" t="s">
        <v>20</v>
      </c>
      <c r="D2477" t="s">
        <v>80</v>
      </c>
      <c r="E2477">
        <v>2</v>
      </c>
      <c r="F2477">
        <v>2185.83</v>
      </c>
      <c r="G2477">
        <v>0.13</v>
      </c>
      <c r="H2477" s="3">
        <f t="shared" si="190"/>
        <v>4371.66</v>
      </c>
      <c r="J2477" t="s">
        <v>22</v>
      </c>
      <c r="K2477" t="s">
        <v>23</v>
      </c>
      <c r="L2477" s="2">
        <f t="shared" si="191"/>
        <v>2185.83</v>
      </c>
      <c r="M2477" s="4">
        <f t="shared" si="192"/>
        <v>0.13</v>
      </c>
      <c r="N2477" s="1">
        <f t="shared" si="193"/>
        <v>45782</v>
      </c>
      <c r="O2477" s="3">
        <f>(Table13[[#This Row],[Units_Sold]]*Table13[[#This Row],[Unit_Price_Cleaned]]*(1-Table13[[#This Row],[Discount Cleaned]]))</f>
        <v>3803.3442</v>
      </c>
      <c r="P2477" t="str">
        <f t="shared" si="194"/>
        <v>Profit</v>
      </c>
      <c r="Q2477" t="str" cm="1">
        <f t="array" ref="Q2477">IF(K2477="",INDEX($K$2:$K$2501,MATCH(MAX(COUNTIF($K$2:$K$2501,$K$2:$K$2501)),COUNTIF($K$2:$K$2501,$K$2:$K$2501),0)),K2477)</f>
        <v>B2B</v>
      </c>
    </row>
    <row r="2478" spans="1:17" x14ac:dyDescent="0.3">
      <c r="A2478">
        <v>3476</v>
      </c>
      <c r="B2478" t="s">
        <v>2487</v>
      </c>
      <c r="C2478" t="s">
        <v>38</v>
      </c>
      <c r="D2478" t="s">
        <v>59</v>
      </c>
      <c r="E2478">
        <v>2</v>
      </c>
      <c r="F2478">
        <v>4804.91</v>
      </c>
      <c r="H2478" s="3">
        <f t="shared" si="190"/>
        <v>9609.82</v>
      </c>
      <c r="I2478" s="1">
        <v>45519</v>
      </c>
      <c r="J2478" t="s">
        <v>15</v>
      </c>
      <c r="K2478" t="s">
        <v>16</v>
      </c>
      <c r="L2478" s="2">
        <f t="shared" si="191"/>
        <v>4804.91</v>
      </c>
      <c r="M2478" s="4">
        <f t="shared" si="192"/>
        <v>0.6</v>
      </c>
      <c r="N2478" s="1">
        <f t="shared" si="193"/>
        <v>45519</v>
      </c>
      <c r="O2478" s="3">
        <f>(Table13[[#This Row],[Units_Sold]]*Table13[[#This Row],[Unit_Price_Cleaned]]*(1-Table13[[#This Row],[Discount Cleaned]]))</f>
        <v>3843.9279999999999</v>
      </c>
      <c r="P2478" t="str">
        <f t="shared" si="194"/>
        <v>Profit</v>
      </c>
      <c r="Q2478" t="str" cm="1">
        <f t="array" ref="Q2478">IF(K2478="",INDEX($K$2:$K$2501,MATCH(MAX(COUNTIF($K$2:$K$2501,$K$2:$K$2501)),COUNTIF($K$2:$K$2501,$K$2:$K$2501),0)),K2478)</f>
        <v>B2C</v>
      </c>
    </row>
    <row r="2479" spans="1:17" x14ac:dyDescent="0.3">
      <c r="A2479">
        <v>3477</v>
      </c>
      <c r="B2479" t="s">
        <v>2488</v>
      </c>
      <c r="C2479" t="s">
        <v>38</v>
      </c>
      <c r="D2479" t="s">
        <v>63</v>
      </c>
      <c r="E2479">
        <v>2</v>
      </c>
      <c r="G2479">
        <v>0.86</v>
      </c>
      <c r="H2479" s="3">
        <f t="shared" si="190"/>
        <v>5690.4839344262318</v>
      </c>
      <c r="J2479" t="s">
        <v>22</v>
      </c>
      <c r="L2479" s="2">
        <f t="shared" si="191"/>
        <v>2845.2419672131159</v>
      </c>
      <c r="M2479" s="4">
        <f t="shared" si="192"/>
        <v>0.86</v>
      </c>
      <c r="N2479" s="1">
        <f t="shared" si="193"/>
        <v>45782</v>
      </c>
      <c r="O2479" s="3">
        <f>(Table13[[#This Row],[Units_Sold]]*Table13[[#This Row],[Unit_Price_Cleaned]]*(1-Table13[[#This Row],[Discount Cleaned]]))</f>
        <v>796.66775081967251</v>
      </c>
      <c r="P2479" t="str">
        <f t="shared" si="194"/>
        <v>Profit</v>
      </c>
      <c r="Q2479" t="str" cm="1">
        <f t="array" ref="Q2479">IF(K2479="",INDEX($K$2:$K$2501,MATCH(MAX(COUNTIF($K$2:$K$2501,$K$2:$K$2501)),COUNTIF($K$2:$K$2501,$K$2:$K$2501),0)),K2479)</f>
        <v>B2B</v>
      </c>
    </row>
    <row r="2480" spans="1:17" x14ac:dyDescent="0.3">
      <c r="A2480">
        <v>3478</v>
      </c>
      <c r="B2480" t="s">
        <v>2489</v>
      </c>
      <c r="C2480" t="s">
        <v>20</v>
      </c>
      <c r="D2480" t="s">
        <v>88</v>
      </c>
      <c r="E2480">
        <v>2</v>
      </c>
      <c r="H2480" s="3">
        <f t="shared" si="190"/>
        <v>5451.7114285714297</v>
      </c>
      <c r="I2480" s="1">
        <v>45291</v>
      </c>
      <c r="J2480" t="s">
        <v>46</v>
      </c>
      <c r="K2480" t="s">
        <v>23</v>
      </c>
      <c r="L2480" s="2">
        <f t="shared" si="191"/>
        <v>2725.8557142857148</v>
      </c>
      <c r="M2480" s="4">
        <f t="shared" si="192"/>
        <v>0.6</v>
      </c>
      <c r="N2480" s="1">
        <f t="shared" si="193"/>
        <v>45291</v>
      </c>
      <c r="O2480" s="3">
        <f>(Table13[[#This Row],[Units_Sold]]*Table13[[#This Row],[Unit_Price_Cleaned]]*(1-Table13[[#This Row],[Discount Cleaned]]))</f>
        <v>2180.6845714285719</v>
      </c>
      <c r="P2480" t="str">
        <f t="shared" si="194"/>
        <v>Profit</v>
      </c>
      <c r="Q2480" t="str" cm="1">
        <f t="array" ref="Q2480">IF(K2480="",INDEX($K$2:$K$2501,MATCH(MAX(COUNTIF($K$2:$K$2501,$K$2:$K$2501)),COUNTIF($K$2:$K$2501,$K$2:$K$2501),0)),K2480)</f>
        <v>B2B</v>
      </c>
    </row>
    <row r="2481" spans="1:17" x14ac:dyDescent="0.3">
      <c r="A2481">
        <v>3479</v>
      </c>
      <c r="B2481" t="s">
        <v>2490</v>
      </c>
      <c r="C2481" t="s">
        <v>20</v>
      </c>
      <c r="D2481" t="s">
        <v>122</v>
      </c>
      <c r="E2481">
        <v>2</v>
      </c>
      <c r="F2481">
        <v>2858.94</v>
      </c>
      <c r="G2481">
        <v>1.19</v>
      </c>
      <c r="H2481" s="3">
        <f t="shared" si="190"/>
        <v>5717.88</v>
      </c>
      <c r="I2481" s="1">
        <v>45554</v>
      </c>
      <c r="J2481" t="s">
        <v>22</v>
      </c>
      <c r="L2481" s="2">
        <f t="shared" si="191"/>
        <v>2858.94</v>
      </c>
      <c r="M2481" s="4">
        <f t="shared" si="192"/>
        <v>1.19</v>
      </c>
      <c r="N2481" s="1">
        <f t="shared" si="193"/>
        <v>45554</v>
      </c>
      <c r="O2481" s="3">
        <f>(Table13[[#This Row],[Units_Sold]]*Table13[[#This Row],[Unit_Price_Cleaned]]*(1-Table13[[#This Row],[Discount Cleaned]]))</f>
        <v>-1086.3971999999997</v>
      </c>
      <c r="P2481" t="str">
        <f t="shared" si="194"/>
        <v>Loss</v>
      </c>
      <c r="Q2481" t="str" cm="1">
        <f t="array" ref="Q2481">IF(K2481="",INDEX($K$2:$K$2501,MATCH(MAX(COUNTIF($K$2:$K$2501,$K$2:$K$2501)),COUNTIF($K$2:$K$2501,$K$2:$K$2501),0)),K2481)</f>
        <v>B2B</v>
      </c>
    </row>
    <row r="2482" spans="1:17" x14ac:dyDescent="0.3">
      <c r="A2482">
        <v>3480</v>
      </c>
      <c r="B2482" t="s">
        <v>2491</v>
      </c>
      <c r="C2482" t="s">
        <v>25</v>
      </c>
      <c r="D2482" t="s">
        <v>54</v>
      </c>
      <c r="E2482">
        <v>2</v>
      </c>
      <c r="G2482">
        <v>0.28000000000000003</v>
      </c>
      <c r="H2482" s="3">
        <f t="shared" si="190"/>
        <v>5060.7673076923093</v>
      </c>
      <c r="J2482" t="s">
        <v>46</v>
      </c>
      <c r="K2482" t="s">
        <v>16</v>
      </c>
      <c r="L2482" s="2">
        <f t="shared" si="191"/>
        <v>2530.3836538461546</v>
      </c>
      <c r="M2482" s="4">
        <f t="shared" si="192"/>
        <v>0.28000000000000003</v>
      </c>
      <c r="N2482" s="1">
        <f t="shared" si="193"/>
        <v>45782</v>
      </c>
      <c r="O2482" s="3">
        <f>(Table13[[#This Row],[Units_Sold]]*Table13[[#This Row],[Unit_Price_Cleaned]]*(1-Table13[[#This Row],[Discount Cleaned]]))</f>
        <v>3643.7524615384627</v>
      </c>
      <c r="P2482" t="str">
        <f t="shared" si="194"/>
        <v>Profit</v>
      </c>
      <c r="Q2482" t="str" cm="1">
        <f t="array" ref="Q2482">IF(K2482="",INDEX($K$2:$K$2501,MATCH(MAX(COUNTIF($K$2:$K$2501,$K$2:$K$2501)),COUNTIF($K$2:$K$2501,$K$2:$K$2501),0)),K2482)</f>
        <v>B2C</v>
      </c>
    </row>
    <row r="2483" spans="1:17" x14ac:dyDescent="0.3">
      <c r="A2483">
        <v>3481</v>
      </c>
      <c r="B2483" t="s">
        <v>2492</v>
      </c>
      <c r="C2483" t="s">
        <v>13</v>
      </c>
      <c r="D2483" t="s">
        <v>36</v>
      </c>
      <c r="E2483">
        <v>2</v>
      </c>
      <c r="H2483" s="3">
        <f t="shared" si="190"/>
        <v>5765.0093103448271</v>
      </c>
      <c r="I2483" s="1">
        <v>45847</v>
      </c>
      <c r="J2483" t="s">
        <v>40</v>
      </c>
      <c r="K2483" t="s">
        <v>16</v>
      </c>
      <c r="L2483" s="2">
        <f t="shared" si="191"/>
        <v>2882.5046551724135</v>
      </c>
      <c r="M2483" s="4">
        <f t="shared" si="192"/>
        <v>0.6</v>
      </c>
      <c r="N2483" s="1">
        <f t="shared" si="193"/>
        <v>45847</v>
      </c>
      <c r="O2483" s="3">
        <f>(Table13[[#This Row],[Units_Sold]]*Table13[[#This Row],[Unit_Price_Cleaned]]*(1-Table13[[#This Row],[Discount Cleaned]]))</f>
        <v>2306.0037241379309</v>
      </c>
      <c r="P2483" t="str">
        <f t="shared" si="194"/>
        <v>Profit</v>
      </c>
      <c r="Q2483" t="str" cm="1">
        <f t="array" ref="Q2483">IF(K2483="",INDEX($K$2:$K$2501,MATCH(MAX(COUNTIF($K$2:$K$2501,$K$2:$K$2501)),COUNTIF($K$2:$K$2501,$K$2:$K$2501),0)),K2483)</f>
        <v>B2C</v>
      </c>
    </row>
    <row r="2484" spans="1:17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 s="3">
        <f t="shared" si="190"/>
        <v>-2339.7800000000002</v>
      </c>
      <c r="J2484" t="s">
        <v>46</v>
      </c>
      <c r="K2484" t="s">
        <v>16</v>
      </c>
      <c r="L2484" s="2">
        <f t="shared" si="191"/>
        <v>1169.8900000000001</v>
      </c>
      <c r="M2484" s="4">
        <f t="shared" si="192"/>
        <v>0.6</v>
      </c>
      <c r="N2484" s="1">
        <f t="shared" si="193"/>
        <v>45782</v>
      </c>
      <c r="O2484" s="3">
        <f>(Table13[[#This Row],[Units_Sold]]*Table13[[#This Row],[Unit_Price_Cleaned]]*(1-Table13[[#This Row],[Discount Cleaned]]))</f>
        <v>-935.91200000000015</v>
      </c>
      <c r="P2484" t="str">
        <f t="shared" si="194"/>
        <v>Loss</v>
      </c>
      <c r="Q2484" t="str" cm="1">
        <f t="array" ref="Q2484">IF(K2484="",INDEX($K$2:$K$2501,MATCH(MAX(COUNTIF($K$2:$K$2501,$K$2:$K$2501)),COUNTIF($K$2:$K$2501,$K$2:$K$2501),0)),K2484)</f>
        <v>B2C</v>
      </c>
    </row>
    <row r="2485" spans="1:17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 s="3">
        <f t="shared" si="190"/>
        <v>8328.6606000000011</v>
      </c>
      <c r="J2485" t="s">
        <v>56</v>
      </c>
      <c r="K2485" t="s">
        <v>23</v>
      </c>
      <c r="L2485" s="2">
        <f t="shared" si="191"/>
        <v>2776.2202000000002</v>
      </c>
      <c r="M2485" s="4">
        <f t="shared" si="192"/>
        <v>0.6</v>
      </c>
      <c r="N2485" s="1">
        <f t="shared" si="193"/>
        <v>45782</v>
      </c>
      <c r="O2485" s="3">
        <f>(Table13[[#This Row],[Units_Sold]]*Table13[[#This Row],[Unit_Price_Cleaned]]*(1-Table13[[#This Row],[Discount Cleaned]]))</f>
        <v>3331.4642400000007</v>
      </c>
      <c r="P2485" t="str">
        <f t="shared" si="194"/>
        <v>Profit</v>
      </c>
      <c r="Q2485" t="str" cm="1">
        <f t="array" ref="Q2485">IF(K2485="",INDEX($K$2:$K$2501,MATCH(MAX(COUNTIF($K$2:$K$2501,$K$2:$K$2501)),COUNTIF($K$2:$K$2501,$K$2:$K$2501),0)),K2485)</f>
        <v>B2B</v>
      </c>
    </row>
    <row r="2486" spans="1:17" x14ac:dyDescent="0.3">
      <c r="A2486">
        <v>3484</v>
      </c>
      <c r="B2486" t="s">
        <v>2495</v>
      </c>
      <c r="C2486" t="s">
        <v>33</v>
      </c>
      <c r="D2486" t="s">
        <v>82</v>
      </c>
      <c r="E2486">
        <v>2</v>
      </c>
      <c r="H2486" s="3">
        <f t="shared" si="190"/>
        <v>5552.4404000000004</v>
      </c>
      <c r="J2486" t="s">
        <v>46</v>
      </c>
      <c r="K2486" t="s">
        <v>16</v>
      </c>
      <c r="L2486" s="2">
        <f t="shared" si="191"/>
        <v>2776.2202000000002</v>
      </c>
      <c r="M2486" s="4">
        <f t="shared" si="192"/>
        <v>0.6</v>
      </c>
      <c r="N2486" s="1">
        <f t="shared" si="193"/>
        <v>45782</v>
      </c>
      <c r="O2486" s="3">
        <f>(Table13[[#This Row],[Units_Sold]]*Table13[[#This Row],[Unit_Price_Cleaned]]*(1-Table13[[#This Row],[Discount Cleaned]]))</f>
        <v>2220.9761600000002</v>
      </c>
      <c r="P2486" t="str">
        <f t="shared" si="194"/>
        <v>Profit</v>
      </c>
      <c r="Q2486" t="str" cm="1">
        <f t="array" ref="Q2486">IF(K2486="",INDEX($K$2:$K$2501,MATCH(MAX(COUNTIF($K$2:$K$2501,$K$2:$K$2501)),COUNTIF($K$2:$K$2501,$K$2:$K$2501),0)),K2486)</f>
        <v>B2C</v>
      </c>
    </row>
    <row r="2487" spans="1:17" x14ac:dyDescent="0.3">
      <c r="A2487">
        <v>3485</v>
      </c>
      <c r="B2487" t="s">
        <v>2496</v>
      </c>
      <c r="C2487" t="s">
        <v>29</v>
      </c>
      <c r="D2487" t="s">
        <v>120</v>
      </c>
      <c r="E2487">
        <v>2</v>
      </c>
      <c r="F2487">
        <v>2951.53</v>
      </c>
      <c r="H2487" s="3">
        <f t="shared" si="190"/>
        <v>5903.06</v>
      </c>
      <c r="I2487" s="1">
        <v>45547</v>
      </c>
      <c r="J2487" t="s">
        <v>46</v>
      </c>
      <c r="K2487" t="s">
        <v>16</v>
      </c>
      <c r="L2487" s="2">
        <f t="shared" si="191"/>
        <v>2951.53</v>
      </c>
      <c r="M2487" s="4">
        <f t="shared" si="192"/>
        <v>0.6</v>
      </c>
      <c r="N2487" s="1">
        <f t="shared" si="193"/>
        <v>45547</v>
      </c>
      <c r="O2487" s="3">
        <f>(Table13[[#This Row],[Units_Sold]]*Table13[[#This Row],[Unit_Price_Cleaned]]*(1-Table13[[#This Row],[Discount Cleaned]]))</f>
        <v>2361.2240000000002</v>
      </c>
      <c r="P2487" t="str">
        <f t="shared" si="194"/>
        <v>Profit</v>
      </c>
      <c r="Q2487" t="str" cm="1">
        <f t="array" ref="Q2487">IF(K2487="",INDEX($K$2:$K$2501,MATCH(MAX(COUNTIF($K$2:$K$2501,$K$2:$K$2501)),COUNTIF($K$2:$K$2501,$K$2:$K$2501),0)),K2487)</f>
        <v>B2C</v>
      </c>
    </row>
    <row r="2488" spans="1:17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 s="3">
        <f t="shared" si="190"/>
        <v>-5431.091698113205</v>
      </c>
      <c r="J2488" t="s">
        <v>56</v>
      </c>
      <c r="L2488" s="2">
        <f t="shared" si="191"/>
        <v>2715.5458490566025</v>
      </c>
      <c r="M2488" s="4">
        <f t="shared" si="192"/>
        <v>0.6</v>
      </c>
      <c r="N2488" s="1">
        <f t="shared" si="193"/>
        <v>45782</v>
      </c>
      <c r="O2488" s="3">
        <f>(Table13[[#This Row],[Units_Sold]]*Table13[[#This Row],[Unit_Price_Cleaned]]*(1-Table13[[#This Row],[Discount Cleaned]]))</f>
        <v>-2172.436679245282</v>
      </c>
      <c r="P2488" t="str">
        <f t="shared" si="194"/>
        <v>Loss</v>
      </c>
      <c r="Q2488" t="str" cm="1">
        <f t="array" ref="Q2488">IF(K2488="",INDEX($K$2:$K$2501,MATCH(MAX(COUNTIF($K$2:$K$2501,$K$2:$K$2501)),COUNTIF($K$2:$K$2501,$K$2:$K$2501),0)),K2488)</f>
        <v>B2B</v>
      </c>
    </row>
    <row r="2489" spans="1:17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 s="3">
        <f t="shared" si="190"/>
        <v>8418.7000000000007</v>
      </c>
      <c r="I2489" s="1">
        <v>45670</v>
      </c>
      <c r="J2489" t="s">
        <v>40</v>
      </c>
      <c r="K2489" t="s">
        <v>16</v>
      </c>
      <c r="L2489" s="2">
        <f t="shared" si="191"/>
        <v>1683.74</v>
      </c>
      <c r="M2489" s="4">
        <f t="shared" si="192"/>
        <v>0.57999999999999996</v>
      </c>
      <c r="N2489" s="1">
        <f t="shared" si="193"/>
        <v>45670</v>
      </c>
      <c r="O2489" s="3">
        <f>(Table13[[#This Row],[Units_Sold]]*Table13[[#This Row],[Unit_Price_Cleaned]]*(1-Table13[[#This Row],[Discount Cleaned]]))</f>
        <v>3535.8540000000007</v>
      </c>
      <c r="P2489" t="str">
        <f t="shared" si="194"/>
        <v>Profit</v>
      </c>
      <c r="Q2489" t="str" cm="1">
        <f t="array" ref="Q2489">IF(K2489="",INDEX($K$2:$K$2501,MATCH(MAX(COUNTIF($K$2:$K$2501,$K$2:$K$2501)),COUNTIF($K$2:$K$2501,$K$2:$K$2501),0)),K2489)</f>
        <v>B2C</v>
      </c>
    </row>
    <row r="2490" spans="1:17" x14ac:dyDescent="0.3">
      <c r="A2490">
        <v>3488</v>
      </c>
      <c r="B2490" t="s">
        <v>2499</v>
      </c>
      <c r="C2490" t="s">
        <v>29</v>
      </c>
      <c r="D2490" t="s">
        <v>120</v>
      </c>
      <c r="E2490">
        <v>2</v>
      </c>
      <c r="F2490">
        <v>3029.54</v>
      </c>
      <c r="H2490" s="3">
        <f t="shared" si="190"/>
        <v>6059.08</v>
      </c>
      <c r="I2490" s="1">
        <v>45641</v>
      </c>
      <c r="J2490" t="s">
        <v>22</v>
      </c>
      <c r="L2490" s="2">
        <f t="shared" si="191"/>
        <v>3029.54</v>
      </c>
      <c r="M2490" s="4">
        <f t="shared" si="192"/>
        <v>0.6</v>
      </c>
      <c r="N2490" s="1">
        <f t="shared" si="193"/>
        <v>45641</v>
      </c>
      <c r="O2490" s="3">
        <f>(Table13[[#This Row],[Units_Sold]]*Table13[[#This Row],[Unit_Price_Cleaned]]*(1-Table13[[#This Row],[Discount Cleaned]]))</f>
        <v>2423.6320000000001</v>
      </c>
      <c r="P2490" t="str">
        <f t="shared" si="194"/>
        <v>Profit</v>
      </c>
      <c r="Q2490" t="str" cm="1">
        <f t="array" ref="Q2490">IF(K2490="",INDEX($K$2:$K$2501,MATCH(MAX(COUNTIF($K$2:$K$2501,$K$2:$K$2501)),COUNTIF($K$2:$K$2501,$K$2:$K$2501),0)),K2490)</f>
        <v>B2B</v>
      </c>
    </row>
    <row r="2491" spans="1:17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 s="3">
        <f t="shared" si="190"/>
        <v>1198.1400000000001</v>
      </c>
      <c r="J2491" t="s">
        <v>15</v>
      </c>
      <c r="K2491" t="s">
        <v>23</v>
      </c>
      <c r="L2491" s="2">
        <f t="shared" si="191"/>
        <v>599.07000000000005</v>
      </c>
      <c r="M2491" s="4">
        <f t="shared" si="192"/>
        <v>0.15</v>
      </c>
      <c r="N2491" s="1">
        <f t="shared" si="193"/>
        <v>45782</v>
      </c>
      <c r="O2491" s="3">
        <f>(Table13[[#This Row],[Units_Sold]]*Table13[[#This Row],[Unit_Price_Cleaned]]*(1-Table13[[#This Row],[Discount Cleaned]]))</f>
        <v>1018.4190000000001</v>
      </c>
      <c r="P2491" t="str">
        <f t="shared" si="194"/>
        <v>Profit</v>
      </c>
      <c r="Q2491" t="str" cm="1">
        <f t="array" ref="Q2491">IF(K2491="",INDEX($K$2:$K$2501,MATCH(MAX(COUNTIF($K$2:$K$2501,$K$2:$K$2501)),COUNTIF($K$2:$K$2501,$K$2:$K$2501),0)),K2491)</f>
        <v>B2B</v>
      </c>
    </row>
    <row r="2492" spans="1:17" x14ac:dyDescent="0.3">
      <c r="A2492">
        <v>3490</v>
      </c>
      <c r="B2492" t="s">
        <v>2501</v>
      </c>
      <c r="C2492" t="s">
        <v>38</v>
      </c>
      <c r="D2492" t="s">
        <v>91</v>
      </c>
      <c r="E2492">
        <v>2</v>
      </c>
      <c r="F2492">
        <v>2784.76</v>
      </c>
      <c r="G2492">
        <v>0.86</v>
      </c>
      <c r="H2492" s="3">
        <f t="shared" si="190"/>
        <v>5569.52</v>
      </c>
      <c r="I2492" s="1">
        <v>45246</v>
      </c>
      <c r="J2492" t="s">
        <v>56</v>
      </c>
      <c r="L2492" s="2">
        <f t="shared" si="191"/>
        <v>2784.76</v>
      </c>
      <c r="M2492" s="4">
        <f t="shared" si="192"/>
        <v>0.86</v>
      </c>
      <c r="N2492" s="1">
        <f t="shared" si="193"/>
        <v>45246</v>
      </c>
      <c r="O2492" s="3">
        <f>(Table13[[#This Row],[Units_Sold]]*Table13[[#This Row],[Unit_Price_Cleaned]]*(1-Table13[[#This Row],[Discount Cleaned]]))</f>
        <v>779.73280000000011</v>
      </c>
      <c r="P2492" t="str">
        <f t="shared" si="194"/>
        <v>Profit</v>
      </c>
      <c r="Q2492" t="str" cm="1">
        <f t="array" ref="Q2492">IF(K2492="",INDEX($K$2:$K$2501,MATCH(MAX(COUNTIF($K$2:$K$2501,$K$2:$K$2501)),COUNTIF($K$2:$K$2501,$K$2:$K$2501),0)),K2492)</f>
        <v>B2B</v>
      </c>
    </row>
    <row r="2493" spans="1:17" x14ac:dyDescent="0.3">
      <c r="A2493">
        <v>3491</v>
      </c>
      <c r="B2493" t="s">
        <v>2502</v>
      </c>
      <c r="C2493" t="s">
        <v>13</v>
      </c>
      <c r="D2493" t="s">
        <v>36</v>
      </c>
      <c r="E2493">
        <v>2</v>
      </c>
      <c r="F2493">
        <v>4126.3900000000003</v>
      </c>
      <c r="H2493" s="3">
        <f t="shared" si="190"/>
        <v>8252.7800000000007</v>
      </c>
      <c r="I2493" s="1">
        <v>45621</v>
      </c>
      <c r="J2493" t="s">
        <v>22</v>
      </c>
      <c r="K2493" t="s">
        <v>23</v>
      </c>
      <c r="L2493" s="2">
        <f t="shared" si="191"/>
        <v>4126.3900000000003</v>
      </c>
      <c r="M2493" s="4">
        <f t="shared" si="192"/>
        <v>0.6</v>
      </c>
      <c r="N2493" s="1">
        <f t="shared" si="193"/>
        <v>45621</v>
      </c>
      <c r="O2493" s="3">
        <f>(Table13[[#This Row],[Units_Sold]]*Table13[[#This Row],[Unit_Price_Cleaned]]*(1-Table13[[#This Row],[Discount Cleaned]]))</f>
        <v>3301.1120000000005</v>
      </c>
      <c r="P2493" t="str">
        <f t="shared" si="194"/>
        <v>Profit</v>
      </c>
      <c r="Q2493" t="str" cm="1">
        <f t="array" ref="Q2493">IF(K2493="",INDEX($K$2:$K$2501,MATCH(MAX(COUNTIF($K$2:$K$2501,$K$2:$K$2501)),COUNTIF($K$2:$K$2501,$K$2:$K$2501),0)),K2493)</f>
        <v>B2B</v>
      </c>
    </row>
    <row r="2494" spans="1:17" x14ac:dyDescent="0.3">
      <c r="A2494">
        <v>3492</v>
      </c>
      <c r="B2494" t="s">
        <v>2503</v>
      </c>
      <c r="C2494" t="s">
        <v>13</v>
      </c>
      <c r="D2494" t="s">
        <v>102</v>
      </c>
      <c r="E2494">
        <v>2</v>
      </c>
      <c r="F2494">
        <v>3084.73</v>
      </c>
      <c r="G2494">
        <v>0.86</v>
      </c>
      <c r="H2494" s="3">
        <f t="shared" si="190"/>
        <v>6169.46</v>
      </c>
      <c r="J2494" t="s">
        <v>22</v>
      </c>
      <c r="L2494" s="2">
        <f t="shared" si="191"/>
        <v>3084.73</v>
      </c>
      <c r="M2494" s="4">
        <f t="shared" si="192"/>
        <v>0.86</v>
      </c>
      <c r="N2494" s="1">
        <f t="shared" si="193"/>
        <v>45782</v>
      </c>
      <c r="O2494" s="3">
        <f>(Table13[[#This Row],[Units_Sold]]*Table13[[#This Row],[Unit_Price_Cleaned]]*(1-Table13[[#This Row],[Discount Cleaned]]))</f>
        <v>863.72440000000006</v>
      </c>
      <c r="P2494" t="str">
        <f t="shared" si="194"/>
        <v>Profit</v>
      </c>
      <c r="Q2494" t="str" cm="1">
        <f t="array" ref="Q2494">IF(K2494="",INDEX($K$2:$K$2501,MATCH(MAX(COUNTIF($K$2:$K$2501,$K$2:$K$2501)),COUNTIF($K$2:$K$2501,$K$2:$K$2501),0)),K2494)</f>
        <v>B2B</v>
      </c>
    </row>
    <row r="2495" spans="1:17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 s="3">
        <f t="shared" si="190"/>
        <v>14677.8</v>
      </c>
      <c r="I2495" s="1">
        <v>45678</v>
      </c>
      <c r="J2495" t="s">
        <v>15</v>
      </c>
      <c r="L2495" s="2">
        <f t="shared" si="191"/>
        <v>2935.56</v>
      </c>
      <c r="M2495" s="4">
        <f t="shared" si="192"/>
        <v>0.6</v>
      </c>
      <c r="N2495" s="1">
        <f t="shared" si="193"/>
        <v>45678</v>
      </c>
      <c r="O2495" s="3">
        <f>(Table13[[#This Row],[Units_Sold]]*Table13[[#This Row],[Unit_Price_Cleaned]]*(1-Table13[[#This Row],[Discount Cleaned]]))</f>
        <v>5871.12</v>
      </c>
      <c r="P2495" t="str">
        <f t="shared" si="194"/>
        <v>Profit</v>
      </c>
      <c r="Q2495" t="str" cm="1">
        <f t="array" ref="Q2495">IF(K2495="",INDEX($K$2:$K$2501,MATCH(MAX(COUNTIF($K$2:$K$2501,$K$2:$K$2501)),COUNTIF($K$2:$K$2501,$K$2:$K$2501),0)),K2495)</f>
        <v>B2B</v>
      </c>
    </row>
    <row r="2496" spans="1:17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 s="3">
        <f t="shared" si="190"/>
        <v>0</v>
      </c>
      <c r="J2496" t="s">
        <v>18</v>
      </c>
      <c r="L2496" s="2">
        <f t="shared" si="191"/>
        <v>2381.2677586206896</v>
      </c>
      <c r="M2496" s="4">
        <f t="shared" si="192"/>
        <v>0.6</v>
      </c>
      <c r="N2496" s="1">
        <f t="shared" si="193"/>
        <v>45782</v>
      </c>
      <c r="O2496" s="3">
        <f>(Table13[[#This Row],[Units_Sold]]*Table13[[#This Row],[Unit_Price_Cleaned]]*(1-Table13[[#This Row],[Discount Cleaned]]))</f>
        <v>0</v>
      </c>
      <c r="P2496" t="str">
        <f t="shared" si="194"/>
        <v>Loss</v>
      </c>
      <c r="Q2496" t="str" cm="1">
        <f t="array" ref="Q2496">IF(K2496="",INDEX($K$2:$K$2501,MATCH(MAX(COUNTIF($K$2:$K$2501,$K$2:$K$2501)),COUNTIF($K$2:$K$2501,$K$2:$K$2501),0)),K2496)</f>
        <v>B2B</v>
      </c>
    </row>
    <row r="2497" spans="1:17" x14ac:dyDescent="0.3">
      <c r="A2497">
        <v>3495</v>
      </c>
      <c r="B2497" t="s">
        <v>2506</v>
      </c>
      <c r="C2497" t="s">
        <v>33</v>
      </c>
      <c r="D2497" t="s">
        <v>44</v>
      </c>
      <c r="E2497">
        <v>2</v>
      </c>
      <c r="F2497">
        <v>848.79</v>
      </c>
      <c r="H2497" s="3">
        <f t="shared" si="190"/>
        <v>1697.58</v>
      </c>
      <c r="J2497" t="s">
        <v>22</v>
      </c>
      <c r="L2497" s="2">
        <f t="shared" si="191"/>
        <v>848.79</v>
      </c>
      <c r="M2497" s="4">
        <f t="shared" si="192"/>
        <v>0.6</v>
      </c>
      <c r="N2497" s="1">
        <f t="shared" si="193"/>
        <v>45782</v>
      </c>
      <c r="O2497" s="3">
        <f>(Table13[[#This Row],[Units_Sold]]*Table13[[#This Row],[Unit_Price_Cleaned]]*(1-Table13[[#This Row],[Discount Cleaned]]))</f>
        <v>679.03200000000004</v>
      </c>
      <c r="P2497" t="str">
        <f t="shared" si="194"/>
        <v>Profit</v>
      </c>
      <c r="Q2497" t="str" cm="1">
        <f t="array" ref="Q2497">IF(K2497="",INDEX($K$2:$K$2501,MATCH(MAX(COUNTIF($K$2:$K$2501,$K$2:$K$2501)),COUNTIF($K$2:$K$2501,$K$2:$K$2501),0)),K2497)</f>
        <v>B2B</v>
      </c>
    </row>
    <row r="2498" spans="1:17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 s="3">
        <f t="shared" si="190"/>
        <v>11555.485714285714</v>
      </c>
      <c r="I2498" s="1">
        <v>45361</v>
      </c>
      <c r="J2498" t="s">
        <v>56</v>
      </c>
      <c r="K2498" t="s">
        <v>23</v>
      </c>
      <c r="L2498" s="2">
        <f t="shared" si="191"/>
        <v>2888.8714285714286</v>
      </c>
      <c r="M2498" s="4">
        <f t="shared" si="192"/>
        <v>0.6</v>
      </c>
      <c r="N2498" s="1">
        <f t="shared" si="193"/>
        <v>45361</v>
      </c>
      <c r="O2498" s="3">
        <f>(Table13[[#This Row],[Units_Sold]]*Table13[[#This Row],[Unit_Price_Cleaned]]*(1-Table13[[#This Row],[Discount Cleaned]]))</f>
        <v>4622.1942857142858</v>
      </c>
      <c r="P2498" t="str">
        <f t="shared" ref="P2498:P2501" si="195">IF(O2498&gt;500,"Profit","Loss")</f>
        <v>Profit</v>
      </c>
      <c r="Q2498" t="str" cm="1">
        <f t="array" ref="Q2498">IF(K2498="",INDEX($K$2:$K$2501,MATCH(MAX(COUNTIF($K$2:$K$2501,$K$2:$K$2501)),COUNTIF($K$2:$K$2501,$K$2:$K$2501),0)),K2498)</f>
        <v>B2B</v>
      </c>
    </row>
    <row r="2499" spans="1:17" x14ac:dyDescent="0.3">
      <c r="A2499">
        <v>3497</v>
      </c>
      <c r="B2499" t="s">
        <v>2508</v>
      </c>
      <c r="C2499" t="s">
        <v>20</v>
      </c>
      <c r="D2499" t="s">
        <v>80</v>
      </c>
      <c r="E2499">
        <v>2</v>
      </c>
      <c r="F2499">
        <v>3389.24</v>
      </c>
      <c r="G2499">
        <v>1.06</v>
      </c>
      <c r="H2499" s="3">
        <f t="shared" si="190"/>
        <v>6778.48</v>
      </c>
      <c r="J2499" t="s">
        <v>18</v>
      </c>
      <c r="K2499" t="s">
        <v>16</v>
      </c>
      <c r="L2499" s="2">
        <f t="shared" si="191"/>
        <v>3389.24</v>
      </c>
      <c r="M2499" s="4">
        <f t="shared" si="192"/>
        <v>1.06</v>
      </c>
      <c r="N2499" s="1">
        <f t="shared" si="193"/>
        <v>45782</v>
      </c>
      <c r="O2499" s="3">
        <f>(Table13[[#This Row],[Units_Sold]]*Table13[[#This Row],[Unit_Price_Cleaned]]*(1-Table13[[#This Row],[Discount Cleaned]]))</f>
        <v>-406.70880000000034</v>
      </c>
      <c r="P2499" t="str">
        <f t="shared" si="195"/>
        <v>Loss</v>
      </c>
      <c r="Q2499" t="str" cm="1">
        <f t="array" ref="Q2499">IF(K2499="",INDEX($K$2:$K$2501,MATCH(MAX(COUNTIF($K$2:$K$2501,$K$2:$K$2501)),COUNTIF($K$2:$K$2501,$K$2:$K$2501),0)),K2499)</f>
        <v>B2C</v>
      </c>
    </row>
    <row r="2500" spans="1:17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 s="3">
        <f t="shared" si="190"/>
        <v>19220.95</v>
      </c>
      <c r="I2500" s="1">
        <v>45497</v>
      </c>
      <c r="J2500" t="s">
        <v>56</v>
      </c>
      <c r="L2500" s="2">
        <f t="shared" si="191"/>
        <v>3844.19</v>
      </c>
      <c r="M2500" s="4">
        <f t="shared" si="192"/>
        <v>0.6</v>
      </c>
      <c r="N2500" s="1">
        <f t="shared" si="193"/>
        <v>45497</v>
      </c>
      <c r="O2500" s="3">
        <f>(Table13[[#This Row],[Units_Sold]]*Table13[[#This Row],[Unit_Price_Cleaned]]*(1-Table13[[#This Row],[Discount Cleaned]]))</f>
        <v>7688.380000000001</v>
      </c>
      <c r="P2500" t="str">
        <f t="shared" si="195"/>
        <v>Profit</v>
      </c>
      <c r="Q2500" t="str" cm="1">
        <f t="array" ref="Q2500">IF(K2500="",INDEX($K$2:$K$2501,MATCH(MAX(COUNTIF($K$2:$K$2501,$K$2:$K$2501)),COUNTIF($K$2:$K$2501,$K$2:$K$2501),0)),K2500)</f>
        <v>B2B</v>
      </c>
    </row>
    <row r="2501" spans="1:17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 s="3">
        <f t="shared" si="190"/>
        <v>7438.5</v>
      </c>
      <c r="J2501" t="s">
        <v>22</v>
      </c>
      <c r="K2501" t="s">
        <v>16</v>
      </c>
      <c r="L2501" s="2">
        <f t="shared" si="191"/>
        <v>1239.75</v>
      </c>
      <c r="M2501" s="4">
        <f t="shared" si="192"/>
        <v>0.6</v>
      </c>
      <c r="N2501" s="1">
        <f t="shared" si="193"/>
        <v>45782</v>
      </c>
      <c r="O2501" s="3">
        <f>(Table13[[#This Row],[Units_Sold]]*Table13[[#This Row],[Unit_Price_Cleaned]]*(1-Table13[[#This Row],[Discount Cleaned]]))</f>
        <v>2975.4</v>
      </c>
      <c r="P2501" t="str">
        <f t="shared" si="195"/>
        <v>Profit</v>
      </c>
      <c r="Q2501" t="str" cm="1">
        <f t="array" ref="Q2501">IF(K2501="",INDEX($K$2:$K$2501,MATCH(MAX(COUNTIF($K$2:$K$2501,$K$2:$K$2501)),COUNTIF($K$2:$K$2501,$K$2:$K$2501),0)),K2501)</f>
        <v>B2C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BE86F7-BF4B-4FED-9BF4-ABDF15FCA6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Snitch_Fashion_Sales_Uncleaned</vt:lpstr>
      <vt:lpstr>Cleaned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meganathan ravi</cp:lastModifiedBy>
  <dcterms:created xsi:type="dcterms:W3CDTF">2026-01-05T12:17:15Z</dcterms:created>
  <dcterms:modified xsi:type="dcterms:W3CDTF">2026-01-07T02:11:53Z</dcterms:modified>
</cp:coreProperties>
</file>